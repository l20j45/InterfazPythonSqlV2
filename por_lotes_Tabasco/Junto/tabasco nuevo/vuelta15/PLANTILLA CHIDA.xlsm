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15\"/>
    </mc:Choice>
  </mc:AlternateContent>
  <xr:revisionPtr revIDLastSave="0" documentId="13_ncr:1_{7CE09941-B5F7-4132-80F8-109343B3311F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0" i="1" l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BN10" i="1" l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BN321" i="1"/>
  <c r="BN322" i="1"/>
  <c r="BN323" i="1"/>
  <c r="BN324" i="1"/>
  <c r="BN325" i="1"/>
  <c r="BN326" i="1"/>
  <c r="BN327" i="1"/>
  <c r="BN328" i="1"/>
  <c r="BN329" i="1"/>
  <c r="BN330" i="1"/>
  <c r="BN331" i="1"/>
  <c r="BN332" i="1"/>
  <c r="BN333" i="1"/>
  <c r="BN334" i="1"/>
  <c r="BN335" i="1"/>
  <c r="BN336" i="1"/>
  <c r="BN337" i="1"/>
  <c r="BN338" i="1"/>
  <c r="BN339" i="1"/>
  <c r="BN340" i="1"/>
  <c r="BN341" i="1"/>
  <c r="BN342" i="1"/>
  <c r="BN343" i="1"/>
  <c r="BN344" i="1"/>
  <c r="BN345" i="1"/>
  <c r="BN346" i="1"/>
  <c r="BN347" i="1"/>
  <c r="BN348" i="1"/>
  <c r="BN349" i="1"/>
  <c r="BN350" i="1"/>
  <c r="BN351" i="1"/>
  <c r="BN352" i="1"/>
  <c r="BN353" i="1"/>
  <c r="BN354" i="1"/>
  <c r="BN355" i="1"/>
  <c r="BN356" i="1"/>
  <c r="BN357" i="1"/>
  <c r="BN358" i="1"/>
  <c r="BN359" i="1"/>
  <c r="BN360" i="1"/>
  <c r="BN361" i="1"/>
  <c r="BN362" i="1"/>
  <c r="BN363" i="1"/>
  <c r="BN364" i="1"/>
  <c r="BN365" i="1"/>
  <c r="BN366" i="1"/>
  <c r="BN367" i="1"/>
  <c r="BN368" i="1"/>
  <c r="BN369" i="1"/>
  <c r="BN370" i="1"/>
  <c r="BN371" i="1"/>
  <c r="BN372" i="1"/>
  <c r="BN373" i="1"/>
  <c r="BN374" i="1"/>
  <c r="BN375" i="1"/>
  <c r="BN376" i="1"/>
  <c r="BN377" i="1"/>
  <c r="BN378" i="1"/>
  <c r="BN379" i="1"/>
  <c r="BN380" i="1"/>
  <c r="BN381" i="1"/>
  <c r="BN382" i="1"/>
  <c r="BN383" i="1"/>
  <c r="BN384" i="1"/>
  <c r="BN385" i="1"/>
  <c r="BN386" i="1"/>
  <c r="BN387" i="1"/>
  <c r="BN388" i="1"/>
  <c r="BN389" i="1"/>
  <c r="BN390" i="1"/>
  <c r="BN391" i="1"/>
  <c r="BN392" i="1"/>
  <c r="BN393" i="1"/>
  <c r="BN394" i="1"/>
  <c r="BN395" i="1"/>
  <c r="BN396" i="1"/>
  <c r="BN397" i="1"/>
  <c r="BN398" i="1"/>
  <c r="BN399" i="1"/>
  <c r="BN400" i="1"/>
  <c r="BN401" i="1"/>
  <c r="BN402" i="1"/>
  <c r="BN403" i="1"/>
  <c r="BN404" i="1"/>
  <c r="BN405" i="1"/>
  <c r="BN406" i="1"/>
  <c r="BN407" i="1"/>
  <c r="BN408" i="1"/>
  <c r="BN409" i="1"/>
  <c r="BN410" i="1"/>
  <c r="BN411" i="1"/>
  <c r="BN412" i="1"/>
  <c r="BN413" i="1"/>
  <c r="BN414" i="1"/>
  <c r="BN415" i="1"/>
  <c r="BN416" i="1"/>
  <c r="BN417" i="1"/>
  <c r="BN418" i="1"/>
  <c r="BN419" i="1"/>
  <c r="BN420" i="1"/>
  <c r="BN421" i="1"/>
  <c r="BN422" i="1"/>
  <c r="BN423" i="1"/>
  <c r="BN424" i="1"/>
  <c r="BN425" i="1"/>
  <c r="BN426" i="1"/>
  <c r="BN427" i="1"/>
  <c r="BN428" i="1"/>
  <c r="BN429" i="1"/>
  <c r="BN430" i="1"/>
  <c r="BN431" i="1"/>
  <c r="BN432" i="1"/>
  <c r="BN433" i="1"/>
  <c r="BN434" i="1"/>
  <c r="BN435" i="1"/>
  <c r="BN436" i="1"/>
  <c r="BN437" i="1"/>
  <c r="BN438" i="1"/>
  <c r="BN439" i="1"/>
  <c r="BN440" i="1"/>
  <c r="BN441" i="1"/>
  <c r="BN442" i="1"/>
  <c r="BN443" i="1"/>
  <c r="BN444" i="1"/>
  <c r="BN445" i="1"/>
  <c r="BN446" i="1"/>
  <c r="BN447" i="1"/>
  <c r="BN448" i="1"/>
  <c r="BN449" i="1"/>
  <c r="BN450" i="1"/>
  <c r="BN451" i="1"/>
  <c r="BN452" i="1"/>
  <c r="BN453" i="1"/>
  <c r="BN454" i="1"/>
  <c r="BN455" i="1"/>
  <c r="BN456" i="1"/>
  <c r="BN457" i="1"/>
  <c r="BN458" i="1"/>
  <c r="BN459" i="1"/>
  <c r="BN460" i="1"/>
  <c r="BN461" i="1"/>
  <c r="BN462" i="1"/>
  <c r="BN463" i="1"/>
  <c r="BN464" i="1"/>
  <c r="BN465" i="1"/>
  <c r="BN466" i="1"/>
  <c r="BN467" i="1"/>
  <c r="BN468" i="1"/>
  <c r="BN469" i="1"/>
  <c r="BN470" i="1"/>
  <c r="BN471" i="1"/>
  <c r="BN472" i="1"/>
  <c r="BN473" i="1"/>
  <c r="BN474" i="1"/>
  <c r="BN475" i="1"/>
  <c r="BN476" i="1"/>
  <c r="BN477" i="1"/>
  <c r="BN478" i="1"/>
  <c r="BN479" i="1"/>
  <c r="BN480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CD9" i="1" a="1"/>
  <c r="CD9" i="1" l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126" i="1" a="1"/>
  <c r="CD145" i="1" a="1"/>
  <c r="CD49" i="1" a="1"/>
  <c r="CD25" i="1" a="1"/>
  <c r="CD340" i="1" a="1"/>
  <c r="CD178" i="1" a="1"/>
  <c r="CD443" i="1" a="1"/>
  <c r="CD50" i="1" a="1"/>
  <c r="CD82" i="1" a="1"/>
  <c r="CD134" i="1" a="1"/>
  <c r="CD198" i="1" a="1"/>
  <c r="CD372" i="1" a="1"/>
  <c r="CD209" i="1" a="1"/>
  <c r="CD171" i="1" a="1"/>
  <c r="CD392" i="1" a="1"/>
  <c r="CD96" i="1" a="1"/>
  <c r="CD160" i="1" a="1"/>
  <c r="CD225" i="1" a="1"/>
  <c r="CD398" i="1" a="1"/>
  <c r="CD39" i="1" a="1"/>
  <c r="CD193" i="1" a="1"/>
  <c r="CD98" i="1" a="1"/>
  <c r="CD162" i="1" a="1"/>
  <c r="CD227" i="1" a="1"/>
  <c r="CD405" i="1" a="1"/>
  <c r="CD11" i="1" a="1"/>
  <c r="CD116" i="1" a="1"/>
  <c r="CD20" i="1" a="1"/>
  <c r="CD72" i="1" a="1"/>
  <c r="CD118" i="1" a="1"/>
  <c r="CD182" i="1" a="1"/>
  <c r="CD359" i="1" a="1"/>
  <c r="CD617" i="1" a="1"/>
  <c r="CD71" i="1" a="1"/>
  <c r="CD481" i="1" a="1"/>
  <c r="CD99" i="1" a="1"/>
  <c r="CD163" i="1" a="1"/>
  <c r="CD229" i="1" a="1"/>
  <c r="CD411" i="1" a="1"/>
  <c r="CD316" i="1" a="1"/>
  <c r="CD380" i="1" a="1"/>
  <c r="CD444" i="1" a="1"/>
  <c r="CD508" i="1" a="1"/>
  <c r="CD573" i="1" a="1"/>
  <c r="CD252" i="1" a="1"/>
  <c r="CD284" i="1" a="1"/>
  <c r="CD342" i="1" a="1"/>
  <c r="CD406" i="1" a="1"/>
  <c r="CD470" i="1" a="1"/>
  <c r="CD534" i="1" a="1"/>
  <c r="CD324" i="1" a="1"/>
  <c r="CD388" i="1" a="1"/>
  <c r="CD452" i="1" a="1"/>
  <c r="CD516" i="1" a="1"/>
  <c r="CD577" i="1" a="1"/>
  <c r="CD253" i="1" a="1"/>
  <c r="CD285" i="1" a="1"/>
  <c r="CD344" i="1" a="1"/>
  <c r="CD408" i="1" a="1"/>
  <c r="CD472" i="1" a="1"/>
  <c r="CD536" i="1" a="1"/>
  <c r="CD319" i="1" a="1"/>
  <c r="CD383" i="1" a="1"/>
  <c r="CD447" i="1" a="1"/>
  <c r="CD511" i="1" a="1"/>
  <c r="CD581" i="1" a="1"/>
  <c r="CD238" i="1" a="1"/>
  <c r="CD270" i="1" a="1"/>
  <c r="CD307" i="1" a="1"/>
  <c r="CD371" i="1" a="1"/>
  <c r="CD435" i="1" a="1"/>
  <c r="CD499" i="1" a="1"/>
  <c r="CD563" i="1" a="1"/>
  <c r="CD602" i="1" a="1"/>
  <c r="CD575" i="1" a="1"/>
  <c r="CD607" i="1" a="1"/>
  <c r="CD576" i="1" a="1"/>
  <c r="CD608" i="1" a="1"/>
  <c r="CD57" i="1" a="1"/>
  <c r="CD21" i="1" a="1"/>
  <c r="CD85" i="1" a="1"/>
  <c r="CD100" i="1" a="1"/>
  <c r="CD391" i="1" a="1"/>
  <c r="CD197" i="1" a="1"/>
  <c r="CD494" i="1" a="1"/>
  <c r="CD54" i="1" a="1"/>
  <c r="CD86" i="1" a="1"/>
  <c r="CD140" i="1" a="1"/>
  <c r="CD204" i="1" a="1"/>
  <c r="CD423" i="1" a="1"/>
  <c r="CD314" i="1" a="1"/>
  <c r="CD184" i="1" a="1"/>
  <c r="CD469" i="1" a="1"/>
  <c r="CD109" i="1" a="1"/>
  <c r="CD173" i="1" a="1"/>
  <c r="CD233" i="1" a="1"/>
  <c r="CD424" i="1" a="1"/>
  <c r="CD51" i="1" a="1"/>
  <c r="CD206" i="1" a="1"/>
  <c r="CD104" i="1" a="1"/>
  <c r="CD168" i="1" a="1"/>
  <c r="CD235" i="1" a="1"/>
  <c r="CD430" i="1" a="1"/>
  <c r="CD19" i="1" a="1"/>
  <c r="CD129" i="1" a="1"/>
  <c r="CD28" i="1" a="1"/>
  <c r="CD76" i="1" a="1"/>
  <c r="CD124" i="1" a="1"/>
  <c r="CD188" i="1" a="1"/>
  <c r="CD385" i="1" a="1"/>
  <c r="CD183" i="1" a="1"/>
  <c r="CD83" i="1" a="1"/>
  <c r="CD16" i="1" a="1"/>
  <c r="CD106" i="1" a="1"/>
  <c r="CD170" i="1" a="1"/>
  <c r="CD239" i="1" a="1"/>
  <c r="CD437" i="1" a="1"/>
  <c r="CD322" i="1" a="1"/>
  <c r="CD386" i="1" a="1"/>
  <c r="CD450" i="1" a="1"/>
  <c r="CD514" i="1" a="1"/>
  <c r="CD589" i="1" a="1"/>
  <c r="CD256" i="1" a="1"/>
  <c r="CD288" i="1" a="1"/>
  <c r="CD349" i="1" a="1"/>
  <c r="CD413" i="1" a="1"/>
  <c r="CD477" i="1" a="1"/>
  <c r="CD541" i="1" a="1"/>
  <c r="CD330" i="1" a="1"/>
  <c r="CD394" i="1" a="1"/>
  <c r="CD458" i="1" a="1"/>
  <c r="CD522" i="1" a="1"/>
  <c r="CD593" i="1" a="1"/>
  <c r="CD257" i="1" a="1"/>
  <c r="CD289" i="1" a="1"/>
  <c r="CD350" i="1" a="1"/>
  <c r="CD414" i="1" a="1"/>
  <c r="CD478" i="1" a="1"/>
  <c r="CD542" i="1" a="1"/>
  <c r="CD332" i="1" a="1"/>
  <c r="CD396" i="1" a="1"/>
  <c r="CD460" i="1" a="1"/>
  <c r="CD524" i="1" a="1"/>
  <c r="CD597" i="1" a="1"/>
  <c r="CD242" i="1" a="1"/>
  <c r="CD274" i="1" a="1"/>
  <c r="CD320" i="1" a="1"/>
  <c r="CD384" i="1" a="1"/>
  <c r="CD448" i="1" a="1"/>
  <c r="CD512" i="1" a="1"/>
  <c r="CD574" i="1" a="1"/>
  <c r="CD606" i="1" a="1"/>
  <c r="CD579" i="1" a="1"/>
  <c r="CD611" i="1" a="1"/>
  <c r="CD580" i="1" a="1"/>
  <c r="CD612" i="1" a="1"/>
  <c r="CD89" i="1" a="1"/>
  <c r="CD151" i="1" a="1"/>
  <c r="CD65" i="1" a="1"/>
  <c r="CD13" i="1" a="1"/>
  <c r="CD545" i="1" a="1"/>
  <c r="CD210" i="1" a="1"/>
  <c r="CD520" i="1" a="1"/>
  <c r="CD58" i="1" a="1"/>
  <c r="CD90" i="1" a="1"/>
  <c r="CD153" i="1" a="1"/>
  <c r="CD217" i="1" a="1"/>
  <c r="CD449" i="1" a="1"/>
  <c r="CD468" i="1" a="1"/>
  <c r="CD203" i="1" a="1"/>
  <c r="CD571" i="1" a="1"/>
  <c r="CD115" i="1" a="1"/>
  <c r="CD179" i="1" a="1"/>
  <c r="CD247" i="1" a="1"/>
  <c r="CD475" i="1" a="1"/>
  <c r="CD63" i="1" a="1"/>
  <c r="CD353" i="1" a="1"/>
  <c r="CD117" i="1" a="1"/>
  <c r="CD181" i="1" a="1"/>
  <c r="CD251" i="1" a="1"/>
  <c r="CD456" i="1" a="1"/>
  <c r="CD31" i="1" a="1"/>
  <c r="CD148" i="1" a="1"/>
  <c r="CD36" i="1" a="1"/>
  <c r="CD80" i="1" a="1"/>
  <c r="CD137" i="1" a="1"/>
  <c r="CD201" i="1" a="1"/>
  <c r="CD410" i="1" a="1"/>
  <c r="CD417" i="1" a="1"/>
  <c r="CD97" i="1" a="1"/>
  <c r="CD24" i="1" a="1"/>
  <c r="CD112" i="1" a="1"/>
  <c r="CD176" i="1" a="1"/>
  <c r="CD255" i="1" a="1"/>
  <c r="CD462" i="1" a="1"/>
  <c r="CD329" i="1" a="1"/>
  <c r="CD393" i="1" a="1"/>
  <c r="CD457" i="1" a="1"/>
  <c r="CD521" i="1" a="1"/>
  <c r="CD605" i="1" a="1"/>
  <c r="CD260" i="1" a="1"/>
  <c r="CD292" i="1" a="1"/>
  <c r="CD355" i="1" a="1"/>
  <c r="CD419" i="1" a="1"/>
  <c r="CD483" i="1" a="1"/>
  <c r="CD547" i="1" a="1"/>
  <c r="CD337" i="1" a="1"/>
  <c r="CD401" i="1" a="1"/>
  <c r="CD465" i="1" a="1"/>
  <c r="CD529" i="1" a="1"/>
  <c r="CD609" i="1" a="1"/>
  <c r="CD261" i="1" a="1"/>
  <c r="CD293" i="1" a="1"/>
  <c r="CD357" i="1" a="1"/>
  <c r="CD421" i="1" a="1"/>
  <c r="CD485" i="1" a="1"/>
  <c r="CD549" i="1" a="1"/>
  <c r="CD338" i="1" a="1"/>
  <c r="CD402" i="1" a="1"/>
  <c r="CD466" i="1" a="1"/>
  <c r="CD530" i="1" a="1"/>
  <c r="CD613" i="1" a="1"/>
  <c r="CD246" i="1" a="1"/>
  <c r="CD278" i="1" a="1"/>
  <c r="CD326" i="1" a="1"/>
  <c r="CD390" i="1" a="1"/>
  <c r="CD454" i="1" a="1"/>
  <c r="CD518" i="1" a="1"/>
  <c r="CD578" i="1" a="1"/>
  <c r="CD610" i="1" a="1"/>
  <c r="CD583" i="1" a="1"/>
  <c r="CD615" i="1" a="1"/>
  <c r="CD584" i="1" a="1"/>
  <c r="CD616" i="1" a="1"/>
  <c r="CD17" i="1" a="1"/>
  <c r="CD53" i="1" a="1"/>
  <c r="CD41" i="1" a="1"/>
  <c r="CD45" i="1" a="1"/>
  <c r="CD101" i="1" a="1"/>
  <c r="CD223" i="1" a="1"/>
  <c r="CD10" i="1" a="1"/>
  <c r="CD62" i="1" a="1"/>
  <c r="CD95" i="1" a="1"/>
  <c r="CD159" i="1" a="1"/>
  <c r="CD224" i="1" a="1"/>
  <c r="CD474" i="1" a="1"/>
  <c r="CD570" i="1" a="1"/>
  <c r="CD216" i="1" a="1"/>
  <c r="CD14" i="1" a="1"/>
  <c r="CD122" i="1" a="1"/>
  <c r="CD186" i="1" a="1"/>
  <c r="CD263" i="1" a="1"/>
  <c r="CD501" i="1" a="1"/>
  <c r="CD75" i="1" a="1"/>
  <c r="CD404" i="1" a="1"/>
  <c r="CD123" i="1" a="1"/>
  <c r="CD187" i="1" a="1"/>
  <c r="CD267" i="1" a="1"/>
  <c r="CD507" i="1" a="1"/>
  <c r="CD43" i="1" a="1"/>
  <c r="CD174" i="1" a="1"/>
  <c r="CD44" i="1" a="1"/>
  <c r="CD84" i="1" a="1"/>
  <c r="CD143" i="1" a="1"/>
  <c r="CD207" i="1" a="1"/>
  <c r="CD436" i="1" a="1"/>
  <c r="CD15" i="1" a="1"/>
  <c r="CD110" i="1" a="1"/>
  <c r="CD32" i="1" a="1"/>
  <c r="CD125" i="1" a="1"/>
  <c r="CD189" i="1" a="1"/>
  <c r="CD271" i="1" a="1"/>
  <c r="CD488" i="1" a="1"/>
  <c r="CD335" i="1" a="1"/>
  <c r="CD399" i="1" a="1"/>
  <c r="CD463" i="1" a="1"/>
  <c r="CD527" i="1" a="1"/>
  <c r="CD621" i="1" a="1"/>
  <c r="CD264" i="1" a="1"/>
  <c r="CD304" i="1" a="1"/>
  <c r="CD368" i="1" a="1"/>
  <c r="CD432" i="1" a="1"/>
  <c r="CD496" i="1" a="1"/>
  <c r="CD560" i="1" a="1"/>
  <c r="CD343" i="1" a="1"/>
  <c r="CD407" i="1" a="1"/>
  <c r="CD471" i="1" a="1"/>
  <c r="CD535" i="1" a="1"/>
  <c r="CD625" i="1" a="1"/>
  <c r="CD265" i="1" a="1"/>
  <c r="CD299" i="1" a="1"/>
  <c r="CD363" i="1" a="1"/>
  <c r="CD427" i="1" a="1"/>
  <c r="CD491" i="1" a="1"/>
  <c r="CD555" i="1" a="1"/>
  <c r="CD345" i="1" a="1"/>
  <c r="CD409" i="1" a="1"/>
  <c r="CD473" i="1" a="1"/>
  <c r="CD537" i="1" a="1"/>
  <c r="CD629" i="1" a="1"/>
  <c r="CD250" i="1" a="1"/>
  <c r="CD282" i="1" a="1"/>
  <c r="CD333" i="1" a="1"/>
  <c r="CD397" i="1" a="1"/>
  <c r="CD461" i="1" a="1"/>
  <c r="CD525" i="1" a="1"/>
  <c r="CD582" i="1" a="1"/>
  <c r="CD614" i="1" a="1"/>
  <c r="CD587" i="1" a="1"/>
  <c r="CD619" i="1" a="1"/>
  <c r="CD588" i="1" a="1"/>
  <c r="CD620" i="1" a="1"/>
  <c r="CD132" i="1" a="1"/>
  <c r="CD33" i="1" a="1"/>
  <c r="CD73" i="1" a="1"/>
  <c r="CD77" i="1" a="1"/>
  <c r="CD114" i="1" a="1"/>
  <c r="CD243" i="1" a="1"/>
  <c r="CD18" i="1" a="1"/>
  <c r="CD66" i="1" a="1"/>
  <c r="CD102" i="1" a="1"/>
  <c r="CD166" i="1" a="1"/>
  <c r="CD232" i="1" a="1"/>
  <c r="CD500" i="1" a="1"/>
  <c r="CD107" i="1" a="1"/>
  <c r="CD231" i="1" a="1"/>
  <c r="CD22" i="1" a="1"/>
  <c r="CD128" i="1" a="1"/>
  <c r="CD192" i="1" a="1"/>
  <c r="CD279" i="1" a="1"/>
  <c r="CD526" i="1" a="1"/>
  <c r="CD87" i="1" a="1"/>
  <c r="CD455" i="1" a="1"/>
  <c r="CD130" i="1" a="1"/>
  <c r="CD194" i="1" a="1"/>
  <c r="CD283" i="1" a="1"/>
  <c r="CD533" i="1" a="1"/>
  <c r="CD55" i="1" a="1"/>
  <c r="CD199" i="1" a="1"/>
  <c r="CD52" i="1" a="1"/>
  <c r="CD88" i="1" a="1"/>
  <c r="CD150" i="1" a="1"/>
  <c r="CD214" i="1" a="1"/>
  <c r="CD487" i="1" a="1"/>
  <c r="CD23" i="1" a="1"/>
  <c r="CD142" i="1" a="1"/>
  <c r="CD40" i="1" a="1"/>
  <c r="CD131" i="1" a="1"/>
  <c r="CD195" i="1" a="1"/>
  <c r="CD287" i="1" a="1"/>
  <c r="CD539" i="1" a="1"/>
  <c r="CD348" i="1" a="1"/>
  <c r="CD412" i="1" a="1"/>
  <c r="CD476" i="1" a="1"/>
  <c r="CD540" i="1" a="1"/>
  <c r="CD236" i="1" a="1"/>
  <c r="CD268" i="1" a="1"/>
  <c r="CD310" i="1" a="1"/>
  <c r="CD374" i="1" a="1"/>
  <c r="CD438" i="1" a="1"/>
  <c r="CD502" i="1" a="1"/>
  <c r="CD566" i="1" a="1"/>
  <c r="CD356" i="1" a="1"/>
  <c r="CD420" i="1" a="1"/>
  <c r="CD484" i="1" a="1"/>
  <c r="CD548" i="1" a="1"/>
  <c r="CD237" i="1" a="1"/>
  <c r="CD269" i="1" a="1"/>
  <c r="CD312" i="1" a="1"/>
  <c r="CD376" i="1" a="1"/>
  <c r="CD440" i="1" a="1"/>
  <c r="CD504" i="1" a="1"/>
  <c r="CD568" i="1" a="1"/>
  <c r="CD351" i="1" a="1"/>
  <c r="CD415" i="1" a="1"/>
  <c r="CD479" i="1" a="1"/>
  <c r="CD543" i="1" a="1"/>
  <c r="CD222" i="1" a="1"/>
  <c r="CD254" i="1" a="1"/>
  <c r="CD286" i="1" a="1"/>
  <c r="CD339" i="1" a="1"/>
  <c r="CD403" i="1" a="1"/>
  <c r="CD467" i="1" a="1"/>
  <c r="CD531" i="1" a="1"/>
  <c r="CD586" i="1" a="1"/>
  <c r="CD618" i="1" a="1"/>
  <c r="CD591" i="1" a="1"/>
  <c r="CD623" i="1" a="1"/>
  <c r="CD592" i="1" a="1"/>
  <c r="CD624" i="1" a="1"/>
  <c r="CD29" i="1" a="1"/>
  <c r="CD37" i="1" a="1"/>
  <c r="CD113" i="1" a="1"/>
  <c r="CD119" i="1" a="1"/>
  <c r="CD133" i="1" a="1"/>
  <c r="CD275" i="1" a="1"/>
  <c r="CD26" i="1" a="1"/>
  <c r="CD70" i="1" a="1"/>
  <c r="CD108" i="1" a="1"/>
  <c r="CD172" i="1" a="1"/>
  <c r="CD295" i="1" a="1"/>
  <c r="CD551" i="1" a="1"/>
  <c r="CD120" i="1" a="1"/>
  <c r="CD259" i="1" a="1"/>
  <c r="CD30" i="1" a="1"/>
  <c r="CD141" i="1" a="1"/>
  <c r="CD205" i="1" a="1"/>
  <c r="CD296" i="1" a="1"/>
  <c r="CD552" i="1" a="1"/>
  <c r="CD103" i="1" a="1"/>
  <c r="CD506" i="1" a="1"/>
  <c r="CD136" i="1" a="1"/>
  <c r="CD200" i="1" a="1"/>
  <c r="CD302" i="1" a="1"/>
  <c r="CD558" i="1" a="1"/>
  <c r="CD67" i="1" a="1"/>
  <c r="CD327" i="1" a="1"/>
  <c r="CD60" i="1" a="1"/>
  <c r="CD92" i="1" a="1"/>
  <c r="CD156" i="1" a="1"/>
  <c r="CD220" i="1" a="1"/>
  <c r="CD513" i="1" a="1"/>
  <c r="CD35" i="1" a="1"/>
  <c r="CD161" i="1" a="1"/>
  <c r="CD48" i="1" a="1"/>
  <c r="CD138" i="1" a="1"/>
  <c r="CD202" i="1" a="1"/>
  <c r="CD309" i="1" a="1"/>
  <c r="CD565" i="1" a="1"/>
  <c r="CD354" i="1" a="1"/>
  <c r="CD418" i="1" a="1"/>
  <c r="CD482" i="1" a="1"/>
  <c r="CD546" i="1" a="1"/>
  <c r="CD240" i="1" a="1"/>
  <c r="CD272" i="1" a="1"/>
  <c r="CD317" i="1" a="1"/>
  <c r="CD381" i="1" a="1"/>
  <c r="CD445" i="1" a="1"/>
  <c r="CD509" i="1" a="1"/>
  <c r="CD298" i="1" a="1"/>
  <c r="CD362" i="1" a="1"/>
  <c r="CD426" i="1" a="1"/>
  <c r="CD490" i="1" a="1"/>
  <c r="CD554" i="1" a="1"/>
  <c r="CD241" i="1" a="1"/>
  <c r="CD273" i="1" a="1"/>
  <c r="CD318" i="1" a="1"/>
  <c r="CD382" i="1" a="1"/>
  <c r="CD446" i="1" a="1"/>
  <c r="CD510" i="1" a="1"/>
  <c r="CD300" i="1" a="1"/>
  <c r="CD364" i="1" a="1"/>
  <c r="CD428" i="1" a="1"/>
  <c r="CD492" i="1" a="1"/>
  <c r="CD556" i="1" a="1"/>
  <c r="CD226" i="1" a="1"/>
  <c r="CD258" i="1" a="1"/>
  <c r="CD290" i="1" a="1"/>
  <c r="CD352" i="1" a="1"/>
  <c r="CD416" i="1" a="1"/>
  <c r="CD480" i="1" a="1"/>
  <c r="CD544" i="1" a="1"/>
  <c r="CD590" i="1" a="1"/>
  <c r="CD622" i="1" a="1"/>
  <c r="CD595" i="1" a="1"/>
  <c r="CD627" i="1" a="1"/>
  <c r="CD596" i="1" a="1"/>
  <c r="CD628" i="1" a="1"/>
  <c r="CD61" i="1" a="1"/>
  <c r="CD69" i="1" a="1"/>
  <c r="CD164" i="1" a="1"/>
  <c r="CD190" i="1" a="1"/>
  <c r="CD146" i="1" a="1"/>
  <c r="CD315" i="1" a="1"/>
  <c r="CD34" i="1" a="1"/>
  <c r="CD74" i="1" a="1"/>
  <c r="CD121" i="1" a="1"/>
  <c r="CD185" i="1" a="1"/>
  <c r="CD321" i="1" a="1"/>
  <c r="CD585" i="1" a="1"/>
  <c r="CD139" i="1" a="1"/>
  <c r="CD291" i="1" a="1"/>
  <c r="CD38" i="1" a="1"/>
  <c r="CD147" i="1" a="1"/>
  <c r="CD211" i="1" a="1"/>
  <c r="CD347" i="1" a="1"/>
  <c r="CD519" i="1" a="1"/>
  <c r="CD135" i="1" a="1"/>
  <c r="CD532" i="1" a="1"/>
  <c r="CD149" i="1" a="1"/>
  <c r="CD213" i="1" a="1"/>
  <c r="CD328" i="1" a="1"/>
  <c r="CD177" i="1" a="1"/>
  <c r="CD79" i="1" a="1"/>
  <c r="CD378" i="1" a="1"/>
  <c r="CD64" i="1" a="1"/>
  <c r="CD105" i="1" a="1"/>
  <c r="CD169" i="1" a="1"/>
  <c r="CD228" i="1" a="1"/>
  <c r="CD538" i="1" a="1"/>
  <c r="CD47" i="1" a="1"/>
  <c r="CD180" i="1" a="1"/>
  <c r="CD56" i="1" a="1"/>
  <c r="CD144" i="1" a="1"/>
  <c r="CD208" i="1" a="1"/>
  <c r="CD334" i="1" a="1"/>
  <c r="CD297" i="1" a="1"/>
  <c r="CD361" i="1" a="1"/>
  <c r="CD425" i="1" a="1"/>
  <c r="CD489" i="1" a="1"/>
  <c r="CD553" i="1" a="1"/>
  <c r="CD244" i="1" a="1"/>
  <c r="CD276" i="1" a="1"/>
  <c r="CD323" i="1" a="1"/>
  <c r="CD387" i="1" a="1"/>
  <c r="CD451" i="1" a="1"/>
  <c r="CD515" i="1" a="1"/>
  <c r="CD305" i="1" a="1"/>
  <c r="CD369" i="1" a="1"/>
  <c r="CD433" i="1" a="1"/>
  <c r="CD497" i="1" a="1"/>
  <c r="CD561" i="1" a="1"/>
  <c r="CD245" i="1" a="1"/>
  <c r="CD277" i="1" a="1"/>
  <c r="CD325" i="1" a="1"/>
  <c r="CD389" i="1" a="1"/>
  <c r="CD453" i="1" a="1"/>
  <c r="CD517" i="1" a="1"/>
  <c r="CD306" i="1" a="1"/>
  <c r="CD370" i="1" a="1"/>
  <c r="CD434" i="1" a="1"/>
  <c r="CD498" i="1" a="1"/>
  <c r="CD562" i="1" a="1"/>
  <c r="CD230" i="1" a="1"/>
  <c r="CD262" i="1" a="1"/>
  <c r="CD294" i="1" a="1"/>
  <c r="CD358" i="1" a="1"/>
  <c r="CD422" i="1" a="1"/>
  <c r="CD486" i="1" a="1"/>
  <c r="CD550" i="1" a="1"/>
  <c r="CD594" i="1" a="1"/>
  <c r="CD626" i="1" a="1"/>
  <c r="CD599" i="1" a="1"/>
  <c r="CD631" i="1" a="1"/>
  <c r="CD600" i="1" a="1"/>
  <c r="CD632" i="1" a="1"/>
  <c r="CD42" i="1" a="1"/>
  <c r="CD218" i="1" a="1"/>
  <c r="CD219" i="1" a="1"/>
  <c r="CD308" i="1" a="1"/>
  <c r="CD360" i="1" a="1"/>
  <c r="CD336" i="1" a="1"/>
  <c r="CD503" i="1" a="1"/>
  <c r="CD313" i="1" a="1"/>
  <c r="CD266" i="1" a="1"/>
  <c r="CD603" i="1" a="1"/>
  <c r="CD366" i="1" a="1"/>
  <c r="CD154" i="1" a="1"/>
  <c r="CD379" i="1" a="1"/>
  <c r="CD564" i="1" a="1"/>
  <c r="CD431" i="1" a="1"/>
  <c r="CD464" i="1" a="1"/>
  <c r="CD331" i="1" a="1"/>
  <c r="CD441" i="1" a="1"/>
  <c r="CD301" i="1" a="1"/>
  <c r="CD630" i="1" a="1"/>
  <c r="CD165" i="1" a="1"/>
  <c r="CD78" i="1" a="1"/>
  <c r="CD191" i="1" a="1"/>
  <c r="CD46" i="1" a="1"/>
  <c r="CD167" i="1" a="1"/>
  <c r="CD442" i="1" a="1"/>
  <c r="CD111" i="1" a="1"/>
  <c r="CD93" i="1" a="1"/>
  <c r="CD367" i="1" a="1"/>
  <c r="CD248" i="1" a="1"/>
  <c r="CD528" i="1" a="1"/>
  <c r="CD567" i="1" a="1"/>
  <c r="CD395" i="1" a="1"/>
  <c r="CD505" i="1" a="1"/>
  <c r="CD429" i="1" a="1"/>
  <c r="CD604" i="1" a="1"/>
  <c r="CD215" i="1" a="1"/>
  <c r="CD557" i="1" a="1"/>
  <c r="CD81" i="1" a="1"/>
  <c r="CD152" i="1" a="1"/>
  <c r="CD27" i="1" a="1"/>
  <c r="CD91" i="1" a="1"/>
  <c r="CD175" i="1" a="1"/>
  <c r="CD157" i="1" a="1"/>
  <c r="CD559" i="1" a="1"/>
  <c r="CD375" i="1" a="1"/>
  <c r="CD281" i="1" a="1"/>
  <c r="CD377" i="1" a="1"/>
  <c r="CD365" i="1" a="1"/>
  <c r="CD572" i="1" a="1"/>
  <c r="CD158" i="1" a="1"/>
  <c r="CD196" i="1" a="1"/>
  <c r="CD601" i="1" a="1"/>
  <c r="CD12" i="1" a="1"/>
  <c r="CD59" i="1" a="1"/>
  <c r="CD221" i="1" a="1"/>
  <c r="CD495" i="1" a="1"/>
  <c r="CD400" i="1" a="1"/>
  <c r="CD439" i="1" a="1"/>
  <c r="CD459" i="1" a="1"/>
  <c r="CD234" i="1" a="1"/>
  <c r="CD598" i="1" a="1"/>
  <c r="CD94" i="1" a="1"/>
  <c r="CD127" i="1" a="1"/>
  <c r="CD346" i="1" a="1"/>
  <c r="CD341" i="1" a="1"/>
  <c r="CD373" i="1" a="1"/>
  <c r="CD155" i="1" a="1"/>
  <c r="CD68" i="1" a="1"/>
  <c r="CD212" i="1" a="1"/>
  <c r="CD303" i="1" a="1"/>
  <c r="CD280" i="1" a="1"/>
  <c r="CD311" i="1" a="1"/>
  <c r="CD249" i="1" a="1"/>
  <c r="CD523" i="1" a="1"/>
  <c r="CD569" i="1" a="1"/>
  <c r="CD493" i="1" a="1"/>
  <c r="CD6" i="1" a="1"/>
  <c r="CD8" i="1" a="1"/>
  <c r="CD7" i="1" a="1"/>
  <c r="CD493" i="1" l="1"/>
  <c r="CD569" i="1"/>
  <c r="CD523" i="1"/>
  <c r="CD249" i="1"/>
  <c r="CD311" i="1"/>
  <c r="CD280" i="1"/>
  <c r="CD303" i="1"/>
  <c r="CD212" i="1"/>
  <c r="CD68" i="1"/>
  <c r="CD155" i="1"/>
  <c r="CD373" i="1"/>
  <c r="CD341" i="1"/>
  <c r="CD346" i="1"/>
  <c r="CD127" i="1"/>
  <c r="CD94" i="1"/>
  <c r="CD598" i="1"/>
  <c r="CD234" i="1"/>
  <c r="CD459" i="1"/>
  <c r="CD439" i="1"/>
  <c r="CD400" i="1"/>
  <c r="CD495" i="1"/>
  <c r="CD221" i="1"/>
  <c r="CD59" i="1"/>
  <c r="CD12" i="1"/>
  <c r="CD601" i="1"/>
  <c r="CD196" i="1"/>
  <c r="CD158" i="1"/>
  <c r="CD572" i="1"/>
  <c r="CD365" i="1"/>
  <c r="CD377" i="1"/>
  <c r="CD281" i="1"/>
  <c r="CD375" i="1"/>
  <c r="CD559" i="1"/>
  <c r="CD157" i="1"/>
  <c r="CD175" i="1"/>
  <c r="CD91" i="1"/>
  <c r="CD27" i="1"/>
  <c r="CD152" i="1"/>
  <c r="CD81" i="1"/>
  <c r="CD557" i="1"/>
  <c r="CD215" i="1"/>
  <c r="CD604" i="1"/>
  <c r="CD429" i="1"/>
  <c r="CD505" i="1"/>
  <c r="CD395" i="1"/>
  <c r="CD567" i="1"/>
  <c r="CD528" i="1"/>
  <c r="CD248" i="1"/>
  <c r="CD367" i="1"/>
  <c r="CD93" i="1"/>
  <c r="CD111" i="1"/>
  <c r="CD442" i="1"/>
  <c r="CD167" i="1"/>
  <c r="CD46" i="1"/>
  <c r="CD191" i="1"/>
  <c r="CD78" i="1"/>
  <c r="CD165" i="1"/>
  <c r="CD630" i="1"/>
  <c r="CD301" i="1"/>
  <c r="CD441" i="1"/>
  <c r="CD331" i="1"/>
  <c r="CD464" i="1"/>
  <c r="CD431" i="1"/>
  <c r="CD564" i="1"/>
  <c r="CD379" i="1"/>
  <c r="CD154" i="1"/>
  <c r="CD366" i="1"/>
  <c r="CD603" i="1"/>
  <c r="CD266" i="1"/>
  <c r="CD313" i="1"/>
  <c r="CD503" i="1"/>
  <c r="CD336" i="1"/>
  <c r="CD360" i="1"/>
  <c r="CD308" i="1"/>
  <c r="CD219" i="1"/>
  <c r="CD218" i="1"/>
  <c r="CD42" i="1"/>
  <c r="CD632" i="1"/>
  <c r="CD600" i="1"/>
  <c r="CD631" i="1"/>
  <c r="CD599" i="1"/>
  <c r="CD626" i="1"/>
  <c r="CD594" i="1"/>
  <c r="CD550" i="1"/>
  <c r="CD486" i="1"/>
  <c r="CD422" i="1"/>
  <c r="CD358" i="1"/>
  <c r="CD294" i="1"/>
  <c r="CD262" i="1"/>
  <c r="CD230" i="1"/>
  <c r="CD562" i="1"/>
  <c r="CD498" i="1"/>
  <c r="CD434" i="1"/>
  <c r="CD370" i="1"/>
  <c r="CD306" i="1"/>
  <c r="CD517" i="1"/>
  <c r="CD453" i="1"/>
  <c r="CD389" i="1"/>
  <c r="CD325" i="1"/>
  <c r="CD277" i="1"/>
  <c r="CD245" i="1"/>
  <c r="CD561" i="1"/>
  <c r="CD497" i="1"/>
  <c r="CD433" i="1"/>
  <c r="CD369" i="1"/>
  <c r="CD305" i="1"/>
  <c r="CD515" i="1"/>
  <c r="CD451" i="1"/>
  <c r="CD387" i="1"/>
  <c r="CD323" i="1"/>
  <c r="CD276" i="1"/>
  <c r="CD244" i="1"/>
  <c r="CD553" i="1"/>
  <c r="CD489" i="1"/>
  <c r="CD425" i="1"/>
  <c r="CD361" i="1"/>
  <c r="CD297" i="1"/>
  <c r="CD334" i="1"/>
  <c r="CD208" i="1"/>
  <c r="CD144" i="1"/>
  <c r="CD56" i="1"/>
  <c r="CD180" i="1"/>
  <c r="CD47" i="1"/>
  <c r="CD538" i="1"/>
  <c r="CD228" i="1"/>
  <c r="CD169" i="1"/>
  <c r="CD105" i="1"/>
  <c r="CD64" i="1"/>
  <c r="CD378" i="1"/>
  <c r="CD79" i="1"/>
  <c r="CD177" i="1"/>
  <c r="CD328" i="1"/>
  <c r="CD213" i="1"/>
  <c r="CD149" i="1"/>
  <c r="CD532" i="1"/>
  <c r="CD135" i="1"/>
  <c r="CD519" i="1"/>
  <c r="CD347" i="1"/>
  <c r="CD211" i="1"/>
  <c r="CD147" i="1"/>
  <c r="CD38" i="1"/>
  <c r="CD291" i="1"/>
  <c r="CD139" i="1"/>
  <c r="CD585" i="1"/>
  <c r="CD321" i="1"/>
  <c r="CD185" i="1"/>
  <c r="CD121" i="1"/>
  <c r="CD74" i="1"/>
  <c r="CD34" i="1"/>
  <c r="CD315" i="1"/>
  <c r="CD146" i="1"/>
  <c r="CD190" i="1"/>
  <c r="CD164" i="1"/>
  <c r="CD69" i="1"/>
  <c r="CD61" i="1"/>
  <c r="CD628" i="1"/>
  <c r="CD596" i="1"/>
  <c r="CD627" i="1"/>
  <c r="CD595" i="1"/>
  <c r="CD622" i="1"/>
  <c r="CD590" i="1"/>
  <c r="CD544" i="1"/>
  <c r="CD480" i="1"/>
  <c r="CD416" i="1"/>
  <c r="CD352" i="1"/>
  <c r="CD290" i="1"/>
  <c r="CD258" i="1"/>
  <c r="CD226" i="1"/>
  <c r="CD556" i="1"/>
  <c r="CD492" i="1"/>
  <c r="CD428" i="1"/>
  <c r="CD364" i="1"/>
  <c r="CD300" i="1"/>
  <c r="CD510" i="1"/>
  <c r="CD446" i="1"/>
  <c r="CD382" i="1"/>
  <c r="CD318" i="1"/>
  <c r="CD273" i="1"/>
  <c r="CD241" i="1"/>
  <c r="CD554" i="1"/>
  <c r="CD490" i="1"/>
  <c r="CD426" i="1"/>
  <c r="CD362" i="1"/>
  <c r="CD298" i="1"/>
  <c r="CD509" i="1"/>
  <c r="CD445" i="1"/>
  <c r="CD381" i="1"/>
  <c r="CD317" i="1"/>
  <c r="CD272" i="1"/>
  <c r="CD240" i="1"/>
  <c r="CD546" i="1"/>
  <c r="CD482" i="1"/>
  <c r="CD418" i="1"/>
  <c r="CD354" i="1"/>
  <c r="CD565" i="1"/>
  <c r="CD309" i="1"/>
  <c r="CD202" i="1"/>
  <c r="CD138" i="1"/>
  <c r="CD48" i="1"/>
  <c r="CD161" i="1"/>
  <c r="CD35" i="1"/>
  <c r="CD513" i="1"/>
  <c r="CD220" i="1"/>
  <c r="CD156" i="1"/>
  <c r="CD92" i="1"/>
  <c r="CD60" i="1"/>
  <c r="CD327" i="1"/>
  <c r="CD67" i="1"/>
  <c r="CD558" i="1"/>
  <c r="CD302" i="1"/>
  <c r="CD200" i="1"/>
  <c r="CD136" i="1"/>
  <c r="CD506" i="1"/>
  <c r="CD103" i="1"/>
  <c r="CD552" i="1"/>
  <c r="CD296" i="1"/>
  <c r="CD205" i="1"/>
  <c r="CD141" i="1"/>
  <c r="CD30" i="1"/>
  <c r="CD259" i="1"/>
  <c r="CD120" i="1"/>
  <c r="CD551" i="1"/>
  <c r="CD295" i="1"/>
  <c r="CD172" i="1"/>
  <c r="CD108" i="1"/>
  <c r="CD70" i="1"/>
  <c r="CD26" i="1"/>
  <c r="CD275" i="1"/>
  <c r="CD133" i="1"/>
  <c r="CD119" i="1"/>
  <c r="CD113" i="1"/>
  <c r="CD37" i="1"/>
  <c r="CD29" i="1"/>
  <c r="CD624" i="1"/>
  <c r="CD592" i="1"/>
  <c r="CD623" i="1"/>
  <c r="CD591" i="1"/>
  <c r="CD618" i="1"/>
  <c r="CD586" i="1"/>
  <c r="CD531" i="1"/>
  <c r="CD467" i="1"/>
  <c r="CD403" i="1"/>
  <c r="CD339" i="1"/>
  <c r="CD286" i="1"/>
  <c r="CD254" i="1"/>
  <c r="CD222" i="1"/>
  <c r="CD543" i="1"/>
  <c r="CD479" i="1"/>
  <c r="CD415" i="1"/>
  <c r="CD351" i="1"/>
  <c r="CD568" i="1"/>
  <c r="CD504" i="1"/>
  <c r="CD440" i="1"/>
  <c r="CD376" i="1"/>
  <c r="CD312" i="1"/>
  <c r="CD269" i="1"/>
  <c r="CD237" i="1"/>
  <c r="CD548" i="1"/>
  <c r="CD484" i="1"/>
  <c r="CD420" i="1"/>
  <c r="CD356" i="1"/>
  <c r="CD566" i="1"/>
  <c r="CD502" i="1"/>
  <c r="CD438" i="1"/>
  <c r="CD374" i="1"/>
  <c r="CD310" i="1"/>
  <c r="CD268" i="1"/>
  <c r="CD236" i="1"/>
  <c r="CD540" i="1"/>
  <c r="CD476" i="1"/>
  <c r="CD412" i="1"/>
  <c r="CD348" i="1"/>
  <c r="CD539" i="1"/>
  <c r="CD287" i="1"/>
  <c r="CD195" i="1"/>
  <c r="CD131" i="1"/>
  <c r="CD40" i="1"/>
  <c r="CD142" i="1"/>
  <c r="CD23" i="1"/>
  <c r="CD487" i="1"/>
  <c r="CD214" i="1"/>
  <c r="CD150" i="1"/>
  <c r="CD88" i="1"/>
  <c r="CD52" i="1"/>
  <c r="CD199" i="1"/>
  <c r="CD55" i="1"/>
  <c r="CD533" i="1"/>
  <c r="CD283" i="1"/>
  <c r="CD194" i="1"/>
  <c r="CD130" i="1"/>
  <c r="CD455" i="1"/>
  <c r="CD87" i="1"/>
  <c r="CD526" i="1"/>
  <c r="CD279" i="1"/>
  <c r="CD192" i="1"/>
  <c r="CD128" i="1"/>
  <c r="CD22" i="1"/>
  <c r="CD231" i="1"/>
  <c r="CD107" i="1"/>
  <c r="CD500" i="1"/>
  <c r="CD232" i="1"/>
  <c r="CD166" i="1"/>
  <c r="CD102" i="1"/>
  <c r="CD66" i="1"/>
  <c r="CD18" i="1"/>
  <c r="CD243" i="1"/>
  <c r="CD114" i="1"/>
  <c r="CD77" i="1"/>
  <c r="CD73" i="1"/>
  <c r="CD33" i="1"/>
  <c r="CD132" i="1"/>
  <c r="CD620" i="1"/>
  <c r="CD588" i="1"/>
  <c r="CD619" i="1"/>
  <c r="CD587" i="1"/>
  <c r="CD614" i="1"/>
  <c r="CD582" i="1"/>
  <c r="CD525" i="1"/>
  <c r="CD461" i="1"/>
  <c r="CD397" i="1"/>
  <c r="CD333" i="1"/>
  <c r="CD282" i="1"/>
  <c r="CD250" i="1"/>
  <c r="CD629" i="1"/>
  <c r="CD537" i="1"/>
  <c r="CD473" i="1"/>
  <c r="CD409" i="1"/>
  <c r="CD345" i="1"/>
  <c r="CD555" i="1"/>
  <c r="CD491" i="1"/>
  <c r="CD427" i="1"/>
  <c r="CD363" i="1"/>
  <c r="CD299" i="1"/>
  <c r="CD265" i="1"/>
  <c r="CD625" i="1"/>
  <c r="CD535" i="1"/>
  <c r="CD471" i="1"/>
  <c r="CD407" i="1"/>
  <c r="CD343" i="1"/>
  <c r="CD560" i="1"/>
  <c r="CD496" i="1"/>
  <c r="CD432" i="1"/>
  <c r="CD368" i="1"/>
  <c r="CD304" i="1"/>
  <c r="CD264" i="1"/>
  <c r="CD621" i="1"/>
  <c r="CD527" i="1"/>
  <c r="CD463" i="1"/>
  <c r="CD399" i="1"/>
  <c r="CD335" i="1"/>
  <c r="CD488" i="1"/>
  <c r="CD271" i="1"/>
  <c r="CD189" i="1"/>
  <c r="CD125" i="1"/>
  <c r="CD32" i="1"/>
  <c r="CD110" i="1"/>
  <c r="CD15" i="1"/>
  <c r="CD436" i="1"/>
  <c r="CD207" i="1"/>
  <c r="CD143" i="1"/>
  <c r="CD84" i="1"/>
  <c r="CD44" i="1"/>
  <c r="CD174" i="1"/>
  <c r="CD43" i="1"/>
  <c r="CD507" i="1"/>
  <c r="CD267" i="1"/>
  <c r="CD187" i="1"/>
  <c r="CD123" i="1"/>
  <c r="CD404" i="1"/>
  <c r="CD75" i="1"/>
  <c r="CD501" i="1"/>
  <c r="CD263" i="1"/>
  <c r="CD186" i="1"/>
  <c r="CD122" i="1"/>
  <c r="CD14" i="1"/>
  <c r="CD216" i="1"/>
  <c r="CD570" i="1"/>
  <c r="CD474" i="1"/>
  <c r="CD224" i="1"/>
  <c r="CD159" i="1"/>
  <c r="CD95" i="1"/>
  <c r="CD62" i="1"/>
  <c r="CD10" i="1"/>
  <c r="CD223" i="1"/>
  <c r="CD101" i="1"/>
  <c r="CD45" i="1"/>
  <c r="CD41" i="1"/>
  <c r="CD53" i="1"/>
  <c r="CD17" i="1"/>
  <c r="CD616" i="1"/>
  <c r="CD584" i="1"/>
  <c r="CD615" i="1"/>
  <c r="CD583" i="1"/>
  <c r="CD610" i="1"/>
  <c r="CD578" i="1"/>
  <c r="CD518" i="1"/>
  <c r="CD454" i="1"/>
  <c r="CD390" i="1"/>
  <c r="CD326" i="1"/>
  <c r="CD278" i="1"/>
  <c r="CD246" i="1"/>
  <c r="CD613" i="1"/>
  <c r="CD530" i="1"/>
  <c r="CD466" i="1"/>
  <c r="CD402" i="1"/>
  <c r="CD338" i="1"/>
  <c r="CD549" i="1"/>
  <c r="CD485" i="1"/>
  <c r="CD421" i="1"/>
  <c r="CD357" i="1"/>
  <c r="CD293" i="1"/>
  <c r="CD261" i="1"/>
  <c r="CD609" i="1"/>
  <c r="CD529" i="1"/>
  <c r="CD465" i="1"/>
  <c r="CD401" i="1"/>
  <c r="CD337" i="1"/>
  <c r="CD547" i="1"/>
  <c r="CD483" i="1"/>
  <c r="CD419" i="1"/>
  <c r="CD355" i="1"/>
  <c r="CD292" i="1"/>
  <c r="CD260" i="1"/>
  <c r="CD605" i="1"/>
  <c r="CD521" i="1"/>
  <c r="CD457" i="1"/>
  <c r="CD393" i="1"/>
  <c r="CD329" i="1"/>
  <c r="CD462" i="1"/>
  <c r="CD255" i="1"/>
  <c r="CD176" i="1"/>
  <c r="CD112" i="1"/>
  <c r="CD24" i="1"/>
  <c r="CD97" i="1"/>
  <c r="CD417" i="1"/>
  <c r="CD410" i="1"/>
  <c r="CD201" i="1"/>
  <c r="CD137" i="1"/>
  <c r="CD80" i="1"/>
  <c r="CD36" i="1"/>
  <c r="CD148" i="1"/>
  <c r="CD31" i="1"/>
  <c r="CD456" i="1"/>
  <c r="CD251" i="1"/>
  <c r="CD181" i="1"/>
  <c r="CD117" i="1"/>
  <c r="CD353" i="1"/>
  <c r="CD63" i="1"/>
  <c r="CD475" i="1"/>
  <c r="CD247" i="1"/>
  <c r="CD179" i="1"/>
  <c r="CD115" i="1"/>
  <c r="CD571" i="1"/>
  <c r="CD203" i="1"/>
  <c r="CD468" i="1"/>
  <c r="CD449" i="1"/>
  <c r="CD217" i="1"/>
  <c r="CD153" i="1"/>
  <c r="CD90" i="1"/>
  <c r="CD58" i="1"/>
  <c r="CD520" i="1"/>
  <c r="CD210" i="1"/>
  <c r="CD545" i="1"/>
  <c r="CD13" i="1"/>
  <c r="CD65" i="1"/>
  <c r="CD151" i="1"/>
  <c r="CD89" i="1"/>
  <c r="CD612" i="1"/>
  <c r="CD580" i="1"/>
  <c r="CD611" i="1"/>
  <c r="CD579" i="1"/>
  <c r="CD606" i="1"/>
  <c r="CD574" i="1"/>
  <c r="CD512" i="1"/>
  <c r="CD448" i="1"/>
  <c r="CD384" i="1"/>
  <c r="CD320" i="1"/>
  <c r="CD274" i="1"/>
  <c r="CD242" i="1"/>
  <c r="CD597" i="1"/>
  <c r="CD524" i="1"/>
  <c r="CD460" i="1"/>
  <c r="CD396" i="1"/>
  <c r="CD332" i="1"/>
  <c r="CD542" i="1"/>
  <c r="CD478" i="1"/>
  <c r="CD414" i="1"/>
  <c r="CD350" i="1"/>
  <c r="CD289" i="1"/>
  <c r="CD257" i="1"/>
  <c r="CD593" i="1"/>
  <c r="CD522" i="1"/>
  <c r="CD458" i="1"/>
  <c r="CD394" i="1"/>
  <c r="CD330" i="1"/>
  <c r="CD541" i="1"/>
  <c r="CD477" i="1"/>
  <c r="CD413" i="1"/>
  <c r="CD349" i="1"/>
  <c r="CD288" i="1"/>
  <c r="CD256" i="1"/>
  <c r="CD589" i="1"/>
  <c r="CD514" i="1"/>
  <c r="CD450" i="1"/>
  <c r="CD386" i="1"/>
  <c r="CD322" i="1"/>
  <c r="CD437" i="1"/>
  <c r="CD239" i="1"/>
  <c r="CD170" i="1"/>
  <c r="CD106" i="1"/>
  <c r="CD16" i="1"/>
  <c r="CD83" i="1"/>
  <c r="CD183" i="1"/>
  <c r="CD385" i="1"/>
  <c r="CD188" i="1"/>
  <c r="CD124" i="1"/>
  <c r="CD76" i="1"/>
  <c r="CD28" i="1"/>
  <c r="CD129" i="1"/>
  <c r="CD19" i="1"/>
  <c r="CD430" i="1"/>
  <c r="CD235" i="1"/>
  <c r="CD168" i="1"/>
  <c r="CD104" i="1"/>
  <c r="CD206" i="1"/>
  <c r="CD51" i="1"/>
  <c r="CD424" i="1"/>
  <c r="CD233" i="1"/>
  <c r="CD173" i="1"/>
  <c r="CD109" i="1"/>
  <c r="CD469" i="1"/>
  <c r="CD184" i="1"/>
  <c r="CD314" i="1"/>
  <c r="CD423" i="1"/>
  <c r="CD204" i="1"/>
  <c r="CD140" i="1"/>
  <c r="CD86" i="1"/>
  <c r="CD54" i="1"/>
  <c r="CD494" i="1"/>
  <c r="CD197" i="1"/>
  <c r="CD391" i="1"/>
  <c r="CD100" i="1"/>
  <c r="CD85" i="1"/>
  <c r="CD21" i="1"/>
  <c r="CD57" i="1"/>
  <c r="CD608" i="1"/>
  <c r="CD576" i="1"/>
  <c r="CD607" i="1"/>
  <c r="CD575" i="1"/>
  <c r="CD602" i="1"/>
  <c r="CD563" i="1"/>
  <c r="CD499" i="1"/>
  <c r="CD435" i="1"/>
  <c r="CD371" i="1"/>
  <c r="CD307" i="1"/>
  <c r="CD270" i="1"/>
  <c r="CD238" i="1"/>
  <c r="CD581" i="1"/>
  <c r="CD511" i="1"/>
  <c r="CD447" i="1"/>
  <c r="CD383" i="1"/>
  <c r="CD319" i="1"/>
  <c r="CD536" i="1"/>
  <c r="CD472" i="1"/>
  <c r="CD408" i="1"/>
  <c r="CD344" i="1"/>
  <c r="CD285" i="1"/>
  <c r="CD253" i="1"/>
  <c r="CD577" i="1"/>
  <c r="CD516" i="1"/>
  <c r="CD452" i="1"/>
  <c r="CD388" i="1"/>
  <c r="CD324" i="1"/>
  <c r="CD534" i="1"/>
  <c r="CD470" i="1"/>
  <c r="CD406" i="1"/>
  <c r="CD342" i="1"/>
  <c r="CD284" i="1"/>
  <c r="CD252" i="1"/>
  <c r="CD573" i="1"/>
  <c r="CD508" i="1"/>
  <c r="CD444" i="1"/>
  <c r="CD380" i="1"/>
  <c r="CD316" i="1"/>
  <c r="CD411" i="1"/>
  <c r="CD229" i="1"/>
  <c r="CD163" i="1"/>
  <c r="CD99" i="1"/>
  <c r="CD481" i="1"/>
  <c r="CD71" i="1"/>
  <c r="CD617" i="1"/>
  <c r="CD359" i="1"/>
  <c r="CD182" i="1"/>
  <c r="CD118" i="1"/>
  <c r="CD72" i="1"/>
  <c r="CD20" i="1"/>
  <c r="CD116" i="1"/>
  <c r="CD11" i="1"/>
  <c r="CD405" i="1"/>
  <c r="CD227" i="1"/>
  <c r="CD162" i="1"/>
  <c r="CD98" i="1"/>
  <c r="CD193" i="1"/>
  <c r="CD39" i="1"/>
  <c r="CD398" i="1"/>
  <c r="CD225" i="1"/>
  <c r="CD160" i="1"/>
  <c r="CD96" i="1"/>
  <c r="CD392" i="1"/>
  <c r="CD171" i="1"/>
  <c r="CD209" i="1"/>
  <c r="CD372" i="1"/>
  <c r="CD198" i="1"/>
  <c r="CD134" i="1"/>
  <c r="CD82" i="1"/>
  <c r="CD50" i="1"/>
  <c r="CD443" i="1"/>
  <c r="CD178" i="1"/>
  <c r="CD340" i="1"/>
  <c r="CD25" i="1"/>
  <c r="CD49" i="1"/>
  <c r="CD145" i="1"/>
  <c r="CD126" i="1"/>
  <c r="CD7" i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<sst xmlns="http://schemas.openxmlformats.org/spreadsheetml/2006/main" count="35419" uniqueCount="3383">
  <si>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</si>
  <si>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</si>
  <si>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</si>
  <si>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</si>
  <si>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</si>
  <si>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</si>
  <si>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</si>
  <si>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</si>
  <si>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</si>
  <si>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</si>
  <si>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</si>
  <si>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</si>
  <si>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</si>
  <si>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</si>
  <si>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</si>
  <si>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</si>
  <si>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</si>
  <si>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</si>
  <si>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</si>
  <si>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</si>
  <si>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</si>
  <si>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</si>
  <si>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</si>
  <si>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</si>
  <si>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</si>
  <si>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</si>
  <si>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</si>
  <si>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</si>
  <si>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</si>
  <si>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</si>
  <si>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</si>
  <si>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</si>
  <si>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</si>
  <si>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</si>
  <si>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</si>
  <si>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</si>
  <si>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</si>
  <si>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</si>
  <si>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</si>
  <si>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</si>
  <si>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</si>
  <si>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</si>
  <si>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</si>
  <si>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</si>
  <si>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</si>
  <si>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</si>
  <si>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</si>
  <si>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</si>
  <si>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</si>
  <si>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</si>
  <si>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</si>
  <si>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</si>
  <si>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</si>
  <si>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</si>
  <si>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</si>
  <si>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</si>
  <si>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</si>
  <si>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</si>
  <si>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</si>
  <si>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</si>
  <si>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</si>
  <si>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</si>
  <si>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</si>
  <si>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</si>
  <si>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</si>
  <si>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</si>
  <si>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</si>
  <si>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</si>
  <si>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</si>
  <si>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</si>
  <si>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</si>
  <si>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</si>
  <si>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</si>
  <si>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</si>
  <si>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</si>
  <si>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</si>
  <si>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</si>
  <si>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</si>
  <si>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</si>
  <si>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</si>
  <si>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</si>
  <si>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</si>
  <si>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</si>
  <si>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</si>
  <si>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</si>
  <si>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</si>
  <si>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</si>
  <si>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</si>
  <si>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</si>
  <si>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</si>
  <si>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</si>
  <si>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</si>
  <si>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</si>
  <si>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</si>
  <si>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</si>
  <si>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</si>
  <si>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</si>
  <si>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</si>
  <si>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</si>
  <si>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</si>
  <si>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</si>
  <si>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</si>
  <si>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</si>
  <si>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</si>
  <si>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</si>
  <si>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</si>
  <si>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</si>
  <si>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</si>
  <si>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</si>
  <si>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</si>
  <si>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</si>
  <si>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</si>
  <si>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</si>
  <si>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</si>
  <si>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</si>
  <si>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</si>
  <si>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</si>
  <si>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</si>
  <si>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</si>
  <si>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</si>
  <si>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</si>
  <si>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</si>
  <si>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</si>
  <si>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</si>
  <si>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</si>
  <si>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</si>
  <si>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</si>
  <si>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</si>
  <si>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</si>
  <si>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</si>
  <si>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</si>
  <si>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</si>
  <si>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</si>
  <si>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</si>
  <si>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</si>
  <si>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</si>
  <si>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</si>
  <si>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</si>
  <si>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</si>
  <si>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</si>
  <si>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</si>
  <si>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</si>
  <si>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</si>
  <si>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</si>
  <si>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CysKOYjLR6BCL3FS</t>
  </si>
  <si>
    <t>CAR2022-0483</t>
  </si>
  <si>
    <t>eMnaDKAzchrKWuN3</t>
  </si>
  <si>
    <t>CAR2022-0604</t>
  </si>
  <si>
    <t>m1DMidLRQF0T5IA7</t>
  </si>
  <si>
    <t>CAR2022-0608</t>
  </si>
  <si>
    <t>G18xEOkICbtiXm6U</t>
  </si>
  <si>
    <t>CAR2022-0616</t>
  </si>
  <si>
    <t>n2EPd3Xv9guYq4EW</t>
  </si>
  <si>
    <t>CAR2022-0613</t>
  </si>
  <si>
    <t>92KAyZ0UlVpr9XKf</t>
  </si>
  <si>
    <t>CAR2022-0615</t>
  </si>
  <si>
    <t>ZsDQqdvnIAz3FwST</t>
  </si>
  <si>
    <t>CAR2022-0605</t>
  </si>
  <si>
    <t>crlDk25cc12E5WMh</t>
  </si>
  <si>
    <t>CAR2022-0498</t>
  </si>
  <si>
    <t>XvkQWOPDj0OerAMM</t>
  </si>
  <si>
    <t>CAR2022-0496</t>
  </si>
  <si>
    <t>IZyaF9V5H5VjOfns</t>
  </si>
  <si>
    <t>CAR2022-0808</t>
  </si>
  <si>
    <t>hVgykeh8amYueiwu</t>
  </si>
  <si>
    <t>CAR2022-0809</t>
  </si>
  <si>
    <t>Q3hvAyuzqAZNlivn</t>
  </si>
  <si>
    <t>CAR2022-0635</t>
  </si>
  <si>
    <t>Lm8CleMJnwkSthxn</t>
  </si>
  <si>
    <t>CAR2022-0645</t>
  </si>
  <si>
    <t>M6UybQeuFN7TsG3O</t>
  </si>
  <si>
    <t>CAR2022-0642</t>
  </si>
  <si>
    <t>ShQkMDQQk1L5yGks</t>
  </si>
  <si>
    <t>CAR2022-0681</t>
  </si>
  <si>
    <t>ryLFDoxTaPUdqrOB</t>
  </si>
  <si>
    <t>CAR2022-0686</t>
  </si>
  <si>
    <t>bbykNX1eaL8oMnhW</t>
  </si>
  <si>
    <t>CAR2022-0692</t>
  </si>
  <si>
    <t>4hJ9ahqgXAwpsY5v</t>
  </si>
  <si>
    <t>CAR2022-0472</t>
  </si>
  <si>
    <t>iWGvdUTUzu7SZfsc</t>
  </si>
  <si>
    <t>CAR2022-0696</t>
  </si>
  <si>
    <t>jQd27bpqrsFbrygR</t>
  </si>
  <si>
    <t>CAR2022-0622</t>
  </si>
  <si>
    <t>XHnyBH4lCXXBKEJv</t>
  </si>
  <si>
    <t>CAR2022-0699</t>
  </si>
  <si>
    <t>j2FTPpTS594373R3</t>
  </si>
  <si>
    <t>CAR2022-0803</t>
  </si>
  <si>
    <t>rZjHqlR7pjZf9Meh</t>
  </si>
  <si>
    <t>CAR2022-0802</t>
  </si>
  <si>
    <t>mFFw4Rk4mKCFLMSP</t>
  </si>
  <si>
    <t>CAR2022-0698</t>
  </si>
  <si>
    <t>8HWP9Nvx5lwuiJLT</t>
  </si>
  <si>
    <t>CAR2022-0695</t>
  </si>
  <si>
    <t>JVLovNTjYOlvQsVh</t>
  </si>
  <si>
    <t>CAR2022-0800</t>
  </si>
  <si>
    <t>3HT6cXLnkQFwn3g5</t>
  </si>
  <si>
    <t>CAR2022-0801</t>
  </si>
  <si>
    <t>7UnPIFcQNluBwzuw</t>
  </si>
  <si>
    <t>CAR2022-0489</t>
  </si>
  <si>
    <t>ElDJ05Ldv2JlQcak</t>
  </si>
  <si>
    <t>CAR2022-0637</t>
  </si>
  <si>
    <t>GHgFuNorSNkntIat</t>
  </si>
  <si>
    <t>CAR2022-0491</t>
  </si>
  <si>
    <t>AXccrbC1pF4JasLV</t>
  </si>
  <si>
    <t>CAR2022-0619</t>
  </si>
  <si>
    <t>OLavup9pREy3faKL</t>
  </si>
  <si>
    <t>CAR2022-0497</t>
  </si>
  <si>
    <t>EZ0yNlhp3K6DCtk3</t>
  </si>
  <si>
    <t>CAR2022-0614</t>
  </si>
  <si>
    <t>kCDE6crD19NOJ491</t>
  </si>
  <si>
    <t>CAR2022-0626</t>
  </si>
  <si>
    <t>eo4XWGFe12donLlp</t>
  </si>
  <si>
    <t>CAR2022-0618</t>
  </si>
  <si>
    <t>7JXOt8CFKpVKO7DN</t>
  </si>
  <si>
    <t>CAR2022-0624</t>
  </si>
  <si>
    <t>HMvZpfQXYvxaEwOF</t>
  </si>
  <si>
    <t>CAR2022-0625</t>
  </si>
  <si>
    <t>DBMxZ4pH8I58DQrH</t>
  </si>
  <si>
    <t>CAR2022-0611</t>
  </si>
  <si>
    <t>kQdaTTW2zn1c4n8C</t>
  </si>
  <si>
    <t>CAR2022-0627</t>
  </si>
  <si>
    <t>VbzxnU93HQQ2bnGi</t>
  </si>
  <si>
    <t>CAR2022-0640</t>
  </si>
  <si>
    <t>akHREAiVBgzqVn4q</t>
  </si>
  <si>
    <t>CAR2022-0639</t>
  </si>
  <si>
    <t>aieiuZIg2zMpRooO</t>
  </si>
  <si>
    <t>CAR2022-0633</t>
  </si>
  <si>
    <t>KiUpj8YoeikHiHU4</t>
  </si>
  <si>
    <t>CAR2022-0632</t>
  </si>
  <si>
    <t>0I6qb38qDyFYBFB3</t>
  </si>
  <si>
    <t>CAR2022-0631</t>
  </si>
  <si>
    <t>7wJNZGqgC5ieFmY2</t>
  </si>
  <si>
    <t>CAR2022-0649</t>
  </si>
  <si>
    <t>6SBtVJq34vQLvH4p</t>
  </si>
  <si>
    <t>CAR2022-0651</t>
  </si>
  <si>
    <t>u4pdZJXOBQ2llQoi</t>
  </si>
  <si>
    <t>CAR2022-0650</t>
  </si>
  <si>
    <t>qXpbHAKquqooVDoj</t>
  </si>
  <si>
    <t>CAR2022-0647</t>
  </si>
  <si>
    <t>tNm9kvIe5yjFGG2M</t>
  </si>
  <si>
    <t>CAR2022-0481</t>
  </si>
  <si>
    <t>h5kkE67Vi9SPBjM7</t>
  </si>
  <si>
    <t>CAR2022-0487</t>
  </si>
  <si>
    <t>PvEGrDZcPHc11Eid</t>
  </si>
  <si>
    <t>CAR2022-0630</t>
  </si>
  <si>
    <t>oJbwIYYbGzd0NDli</t>
  </si>
  <si>
    <t>CAR2022-0674</t>
  </si>
  <si>
    <t>R82zPUETm6yLbhS8</t>
  </si>
  <si>
    <t>CAR2022-0655</t>
  </si>
  <si>
    <t>la03myu28sbVOdqJ</t>
  </si>
  <si>
    <t>CAR2022-0664</t>
  </si>
  <si>
    <t>pyJuRh0OUT2n3OZa</t>
  </si>
  <si>
    <t>CAR2022-0654</t>
  </si>
  <si>
    <t>0YZmMJO0JrqY97OY</t>
  </si>
  <si>
    <t>CAR2022-0679</t>
  </si>
  <si>
    <t>tpjwEMzVgZm3kUIa</t>
  </si>
  <si>
    <t>CAR2022-0677</t>
  </si>
  <si>
    <t>4fJziNCk6anIgdpk</t>
  </si>
  <si>
    <t>CAR2022-0676</t>
  </si>
  <si>
    <t>XkJOjdXHf5FDuafQ</t>
  </si>
  <si>
    <t>CAR2022-0672</t>
  </si>
  <si>
    <t>ArMDs7vBRCH0m06H</t>
  </si>
  <si>
    <t>CAR2022-0663</t>
  </si>
  <si>
    <t>HvDeqWvoPv5ZkLjb</t>
  </si>
  <si>
    <t>CAR2022-0660</t>
  </si>
  <si>
    <t>OR36OaaMWbzYlRij</t>
  </si>
  <si>
    <t>CAR2022-0662</t>
  </si>
  <si>
    <t>qbWDbZqZWDqePL2q</t>
  </si>
  <si>
    <t>CAR2022-0656</t>
  </si>
  <si>
    <t>Aub3Jsq2iZjP2Adg</t>
  </si>
  <si>
    <t>CAR2022-0657</t>
  </si>
  <si>
    <t>6j8IgbiBYED4aq27</t>
  </si>
  <si>
    <t>CAR2022-0659</t>
  </si>
  <si>
    <t>5CuahtKUPEfIKnF5</t>
  </si>
  <si>
    <t>CAR2022-0658</t>
  </si>
  <si>
    <t>0NpPpkiMiShpC9Tn</t>
  </si>
  <si>
    <t>CAR2022-0670</t>
  </si>
  <si>
    <t>7hEYyZYE2yOLuAQB</t>
  </si>
  <si>
    <t>CAR-2022-0671</t>
  </si>
  <si>
    <t>3tZPgxgWEkRId2xM</t>
  </si>
  <si>
    <t>CAR2022-0669</t>
  </si>
  <si>
    <t>ulO608sdPrpzCzp2</t>
  </si>
  <si>
    <t>CAR2022-0636</t>
  </si>
  <si>
    <t>RglebciggQ3TflmR</t>
  </si>
  <si>
    <t>CAR2022-0643</t>
  </si>
  <si>
    <t>GDQNRpe1z3W5sWAv</t>
  </si>
  <si>
    <t>CAR2022-0638</t>
  </si>
  <si>
    <t>vxGQl0HSYtt66jRm</t>
  </si>
  <si>
    <t>CAR2022-0641</t>
  </si>
  <si>
    <t>Z5ojQezzxg1ljQ2a</t>
  </si>
  <si>
    <t>CAR2022-0623</t>
  </si>
  <si>
    <t>XYBKqpx4S5eFtcHI</t>
  </si>
  <si>
    <t>CAR2022-0668</t>
  </si>
  <si>
    <t>usQhp5NEL8WlqoK1</t>
  </si>
  <si>
    <t>CAR2022-0691</t>
  </si>
  <si>
    <t>PvzgpU8dfxpE0CuV</t>
  </si>
  <si>
    <t>CAR2022-0806</t>
  </si>
  <si>
    <t>pdbWzwItEXKR18Cg</t>
  </si>
  <si>
    <t>CAR2022-0678</t>
  </si>
  <si>
    <t>YLwLt3p7SKpiGv70</t>
  </si>
  <si>
    <t>CAR2022-0418</t>
  </si>
  <si>
    <t>xSkc8qYk8hgqqmLC</t>
  </si>
  <si>
    <t>CAR2022-0815</t>
  </si>
  <si>
    <t>KMQgvSUXLEdu8hqi</t>
  </si>
  <si>
    <t>CAR2022-0814</t>
  </si>
  <si>
    <t>nv1pXDTILq5pgCIW</t>
  </si>
  <si>
    <t>CAR2022-0816</t>
  </si>
  <si>
    <t>VqN29zbmP4BtDXwz</t>
  </si>
  <si>
    <t>CAR2022-0682</t>
  </si>
  <si>
    <t>qXcdJX6zQDL5HAPY</t>
  </si>
  <si>
    <t>CAR2022-0684</t>
  </si>
  <si>
    <t>w6sz7hATXrsAvWMN</t>
  </si>
  <si>
    <t>CAR2022-0685</t>
  </si>
  <si>
    <t>JtK13QvydvGJvNMl</t>
  </si>
  <si>
    <t>CAR2022-0690</t>
  </si>
  <si>
    <t>Dzrh97uLj2yQxkYb</t>
  </si>
  <si>
    <t>CAR2022-0812</t>
  </si>
  <si>
    <t>yIGGyQ8Ql8S9G3io</t>
  </si>
  <si>
    <t>CAR2022-0680</t>
  </si>
  <si>
    <t>wBx0B78c6r3wj80a</t>
  </si>
  <si>
    <t>CAR2022-0693</t>
  </si>
  <si>
    <t>EwQhKzod2fAFC0Vn</t>
  </si>
  <si>
    <t>CAR2022-0821</t>
  </si>
  <si>
    <t>JfxhghfeZbqDvqX6</t>
  </si>
  <si>
    <t>CAR2022-0675</t>
  </si>
  <si>
    <t>C3fEiNAfcbZ5bNAL</t>
  </si>
  <si>
    <t>CAR2022-0810</t>
  </si>
  <si>
    <t>IbDgUq7Fh5BIBMmK</t>
  </si>
  <si>
    <t>CAR2022-0849</t>
  </si>
  <si>
    <t>PryTaN5GrY74iI27</t>
  </si>
  <si>
    <t>CAR2022-0893</t>
  </si>
  <si>
    <t>uT45gmiWwYRwr4gA</t>
  </si>
  <si>
    <t>CAR2022-0874</t>
  </si>
  <si>
    <t>mMYlJ5fAQ3URDO32</t>
  </si>
  <si>
    <t>CAR2022-0881</t>
  </si>
  <si>
    <t>Pckzxz1cb3uiMteq</t>
  </si>
  <si>
    <t>CAR2022-0882</t>
  </si>
  <si>
    <t>mjObDo9mwb4iqeL7</t>
  </si>
  <si>
    <t>CAR2022-0883</t>
  </si>
  <si>
    <t>VZg7tyr1UUScz2IK</t>
  </si>
  <si>
    <t>CAR2022-0822</t>
  </si>
  <si>
    <t>2kgD7a1FiJayeuL2</t>
  </si>
  <si>
    <t>CAR2022-0877</t>
  </si>
  <si>
    <t>d1SFjXhFTXChm2sH</t>
  </si>
  <si>
    <t>CAR2022-0876</t>
  </si>
  <si>
    <t>C1QtUYkYiYlElk8b</t>
  </si>
  <si>
    <t>CAR2022-0864</t>
  </si>
  <si>
    <t>NFiv68hJmTTQLyzF</t>
  </si>
  <si>
    <t>CAR2022-0873</t>
  </si>
  <si>
    <t>1f5Cmmn8CZPnb5J3</t>
  </si>
  <si>
    <t>CAR2022-0811</t>
  </si>
  <si>
    <t>FAwUtuQYDiTfNmwn</t>
  </si>
  <si>
    <t>CAR2022-0852</t>
  </si>
  <si>
    <t>dGZKbEI3Fh4d7p5a</t>
  </si>
  <si>
    <t>CAR2022-0879</t>
  </si>
  <si>
    <t>DeiWYr2R84HXdh3I</t>
  </si>
  <si>
    <t>CAR2022-0689</t>
  </si>
  <si>
    <t>6CQnuVh4nE3AxxEv</t>
  </si>
  <si>
    <t>CAR2022-0826</t>
  </si>
  <si>
    <t>MqFNoiIC3AonNQfB</t>
  </si>
  <si>
    <t>CAR2022-0667</t>
  </si>
  <si>
    <t>I0OsGV7Tn5U8exkQ</t>
  </si>
  <si>
    <t>CAR2022-0666</t>
  </si>
  <si>
    <t>osjVoGDfgER4dUgc</t>
  </si>
  <si>
    <t>CAR2022-0665</t>
  </si>
  <si>
    <t>ag1tP3feCCWBs67T</t>
  </si>
  <si>
    <t>CAR2022-0846</t>
  </si>
  <si>
    <t>mVbdMqU1Y7Sx0z55</t>
  </si>
  <si>
    <t>CAR2022-0071</t>
  </si>
  <si>
    <t>88C2Y8IpqB4y7fcV</t>
  </si>
  <si>
    <t>CAR2022-0847</t>
  </si>
  <si>
    <t>innxk34zqY40FqF9</t>
  </si>
  <si>
    <t>CAR2022-0420</t>
  </si>
  <si>
    <t>Dod8K9JXhhDE0Rcp</t>
  </si>
  <si>
    <t>CAR2022-0851</t>
  </si>
  <si>
    <t>Cds1aSLtpPpE2g2n</t>
  </si>
  <si>
    <t>CAR2022-0836</t>
  </si>
  <si>
    <t>3KZIe3eJsp7gQcX0</t>
  </si>
  <si>
    <t>CAR2022-0844</t>
  </si>
  <si>
    <t>v7t4raD1anFx9LGT</t>
  </si>
  <si>
    <t>CAR2022-0688</t>
  </si>
  <si>
    <t>mbxmSSJ0VxXfLD17</t>
  </si>
  <si>
    <t>CAR2022-0607</t>
  </si>
  <si>
    <t>vfub8JR3XlrLLA4i</t>
  </si>
  <si>
    <t>CAR2022-0842</t>
  </si>
  <si>
    <t>7CRo1AvhwgzaJwn6</t>
  </si>
  <si>
    <t>CAR2022-0813</t>
  </si>
  <si>
    <t>mC3LLoiWmwslR3Hq</t>
  </si>
  <si>
    <t>CAR2022-0838</t>
  </si>
  <si>
    <t>oKvt9Ns3pH4ORLeT</t>
  </si>
  <si>
    <t>CAR2022-0804</t>
  </si>
  <si>
    <t>AZU1HYvAH3pfVz1s</t>
  </si>
  <si>
    <t>CAR2022-0807</t>
  </si>
  <si>
    <t>AzSVlyZRfqPLXweI</t>
  </si>
  <si>
    <t>CAR2022-0805</t>
  </si>
  <si>
    <t>IaQuJZspCHE4uT0X</t>
  </si>
  <si>
    <t>CAR2022-0818</t>
  </si>
  <si>
    <t>MUEYJTPK27rQUZIw</t>
  </si>
  <si>
    <t>CAR2022-0828</t>
  </si>
  <si>
    <t>XIzj9SRWFxU4Nyfu</t>
  </si>
  <si>
    <t>CAR2022-0697</t>
  </si>
  <si>
    <t>77FsHhqdOPZ7G5lP</t>
  </si>
  <si>
    <t>CAR2022-02819</t>
  </si>
  <si>
    <t>SwDE9MKrH6LGhEB8</t>
  </si>
  <si>
    <t>CAR2022-0652</t>
  </si>
  <si>
    <t>CtBrL7jM8IjPC2v8</t>
  </si>
  <si>
    <t>CAR2022-0868</t>
  </si>
  <si>
    <t>HWgFt31AKLu7zlgU</t>
  </si>
  <si>
    <t>CAR2022-0866</t>
  </si>
  <si>
    <t>nt0WEZPy1PF6eOaE</t>
  </si>
  <si>
    <t>CAR2022-0871</t>
  </si>
  <si>
    <t>SbMTaGMcEQnigX66</t>
  </si>
  <si>
    <t>CAR2022-0825</t>
  </si>
  <si>
    <t>8Z4tez6tpQf9JmRC</t>
  </si>
  <si>
    <t>CAR2022-0835</t>
  </si>
  <si>
    <t>24gjOcZrpNsbYKM2</t>
  </si>
  <si>
    <t>CAR2022-0848</t>
  </si>
  <si>
    <t>sMLUsQYwPzryLj0M</t>
  </si>
  <si>
    <t>CAR2022-0869</t>
  </si>
  <si>
    <t>23aF8gP20SSZOPp9</t>
  </si>
  <si>
    <t>CAR2022-1016</t>
  </si>
  <si>
    <t>Opo6kA3F6B5dPTsQ</t>
  </si>
  <si>
    <t>CAR2022-1017</t>
  </si>
  <si>
    <t>V3MJtGfwvVHPuxt2</t>
  </si>
  <si>
    <t>CAR2022-1015</t>
  </si>
  <si>
    <t>vswtzpzc1QpdXrvu</t>
  </si>
  <si>
    <t>CAR2022-1012</t>
  </si>
  <si>
    <t>MKtkn70mMfdQ2xK3</t>
  </si>
  <si>
    <t>CAR2022-1023</t>
  </si>
  <si>
    <t>Cv5J2fNWsflWvKeP</t>
  </si>
  <si>
    <t>CAR2022-1020</t>
  </si>
  <si>
    <t>55v8CIvqbSCCszEj</t>
  </si>
  <si>
    <t>CAR2022-1014</t>
  </si>
  <si>
    <t>JEUaL8RV6BU1eskV</t>
  </si>
  <si>
    <t>CAR2022-0895</t>
  </si>
  <si>
    <t>wvcND1ifKYC2oZcO</t>
  </si>
  <si>
    <t>CAR2022-0617</t>
  </si>
  <si>
    <t>9VsVVkDAyd1DETdQ</t>
  </si>
  <si>
    <t>CAR2022-0629</t>
  </si>
  <si>
    <t>8H7yuIskUgqyhp7r</t>
  </si>
  <si>
    <t>CAR2022-0817</t>
  </si>
  <si>
    <t>q5ifL9sgi0nEENPf</t>
  </si>
  <si>
    <t>CAR2022-1026</t>
  </si>
  <si>
    <t>2XSf2CZD70vtXhi4</t>
  </si>
  <si>
    <t>CAR2022-1019</t>
  </si>
  <si>
    <t>apL0c5WnWLxT20J6</t>
  </si>
  <si>
    <t>CAR2022-1011</t>
  </si>
  <si>
    <t>FXiyRVoDyb4URjyG</t>
  </si>
  <si>
    <t>CAR2022-1021</t>
  </si>
  <si>
    <t>XWt34KvJWBIyqa0l</t>
  </si>
  <si>
    <t>CAR2022-1024</t>
  </si>
  <si>
    <t>SjkIQRBLxTJkvKrw</t>
  </si>
  <si>
    <t>CAR2022-0890</t>
  </si>
  <si>
    <t>jjPqfYwTA7315uk0</t>
  </si>
  <si>
    <t>CAR2022-1040</t>
  </si>
  <si>
    <t>vSV9odZqKlacC9rP</t>
  </si>
  <si>
    <t>CAR20222-1035</t>
  </si>
  <si>
    <t>tkZijYycC82hvIND</t>
  </si>
  <si>
    <t>CAR2022-1029</t>
  </si>
  <si>
    <t>KA3O9htBfwtlUZEb</t>
  </si>
  <si>
    <t>CAR2022-1042</t>
  </si>
  <si>
    <t>K4dvMHdcxzYjr98E</t>
  </si>
  <si>
    <t>CAR2022-1028</t>
  </si>
  <si>
    <t>vJ1ySYagBvEZ6rZ3</t>
  </si>
  <si>
    <t>CAR2022-1034</t>
  </si>
  <si>
    <t>VJXopTqPvC2WwhCX</t>
  </si>
  <si>
    <t>CAR2022-0889</t>
  </si>
  <si>
    <t>cfvZ5QLChpyqfd0b</t>
  </si>
  <si>
    <t>CAR2022-0891</t>
  </si>
  <si>
    <t>kJBqNdQpmr1PLejL</t>
  </si>
  <si>
    <t>CAR2022-0896</t>
  </si>
  <si>
    <t>noyXz9NYpY9wEqMx</t>
  </si>
  <si>
    <t>CAR2022-1010</t>
  </si>
  <si>
    <t>F2jjyvbmBIsMhfcm</t>
  </si>
  <si>
    <t>CAR2022-1038</t>
  </si>
  <si>
    <t>UbPr6stB317ie19H</t>
  </si>
  <si>
    <t>CAR2022-1043</t>
  </si>
  <si>
    <t>IEQO1wlSP7rL4XFE</t>
  </si>
  <si>
    <t>CAR2022-1033</t>
  </si>
  <si>
    <t>VOiUIpW47tVRc1He</t>
  </si>
  <si>
    <t>CAR2022-1008</t>
  </si>
  <si>
    <t>7RYv4kzUkKmdU5Or</t>
  </si>
  <si>
    <t>CAR2022-0885</t>
  </si>
  <si>
    <t>T2oJzJlEsdPyGsYw</t>
  </si>
  <si>
    <t>CAR2022-0897</t>
  </si>
  <si>
    <t>j2txMk7wtnE62Pg7</t>
  </si>
  <si>
    <t>CAR2022-1007</t>
  </si>
  <si>
    <t>co4DpzQjOJF2ELTy</t>
  </si>
  <si>
    <t>CAR2022-1006</t>
  </si>
  <si>
    <t>GWdPNs4dNRmtMImb</t>
  </si>
  <si>
    <t>CAR2022-1003</t>
  </si>
  <si>
    <t>FowBOPfOojoyndNC</t>
  </si>
  <si>
    <t>CAR2022-0899</t>
  </si>
  <si>
    <t>dHY2AXzQezJmmYYH</t>
  </si>
  <si>
    <t>CAR20210849</t>
  </si>
  <si>
    <t>cEqS3IzbN7E5evd4</t>
  </si>
  <si>
    <t>xYz1lXLgD4YkzQYp</t>
  </si>
  <si>
    <t>CAR2019-3518</t>
  </si>
  <si>
    <t>tqusfnLNtKDzIuVH</t>
  </si>
  <si>
    <t>CAR2019-0849</t>
  </si>
  <si>
    <t>933fX5S4R5khpIu4</t>
  </si>
  <si>
    <t>CAR2020-2290</t>
  </si>
  <si>
    <t>7op6h5EaQdekZ6wD</t>
  </si>
  <si>
    <t>CAR2020-5422</t>
  </si>
  <si>
    <t>nTUveEnw2YA4HlLa</t>
  </si>
  <si>
    <t>CAR2019-3283</t>
  </si>
  <si>
    <t>lzSfhxq9wZk703iZ</t>
  </si>
  <si>
    <t>CAR2020-0416</t>
  </si>
  <si>
    <t>ug4LuHFnYHOEMOLr</t>
  </si>
  <si>
    <t>CAR2019-0238</t>
  </si>
  <si>
    <t>UHNSavWWYqnPvTId</t>
  </si>
  <si>
    <t>CAR2021-7656</t>
  </si>
  <si>
    <t>Cp6lqKxZTILrVkL7</t>
  </si>
  <si>
    <t>CAR2018-0886</t>
  </si>
  <si>
    <t>idhqQ9vdritZQhrj</t>
  </si>
  <si>
    <t>us5xUksL931b9Alb</t>
  </si>
  <si>
    <t>mftMCMDnNVHJuNza</t>
  </si>
  <si>
    <t>zHcXOUI3hL06I3uI</t>
  </si>
  <si>
    <t>FMGdt0sUJ53Gio1h</t>
  </si>
  <si>
    <t>1xOYfzinZaG4WpO6</t>
  </si>
  <si>
    <t>Go31FZ6xBOYrN1bi</t>
  </si>
  <si>
    <t>CAR2022-1046</t>
  </si>
  <si>
    <t>auaTfIx1KcoBeefa</t>
  </si>
  <si>
    <t>f4TcskN88GewNIAg</t>
  </si>
  <si>
    <t>G4zCXE0wENsl8lHv</t>
  </si>
  <si>
    <t>ShVwUssYuLo3XWI8</t>
  </si>
  <si>
    <t>CAR2021-5034</t>
  </si>
  <si>
    <t>24HQpXCvxIu66oCB</t>
  </si>
  <si>
    <t>CAR2021-4828</t>
  </si>
  <si>
    <t>QJosFwbWif3KZHtK</t>
  </si>
  <si>
    <t>CAR2021-5462</t>
  </si>
  <si>
    <t>gABX5aWRXiU7cdIS</t>
  </si>
  <si>
    <t>CAR2021-5460</t>
  </si>
  <si>
    <t>nmruBxEJhoZ5c76O</t>
  </si>
  <si>
    <t>CAR2021-7509</t>
  </si>
  <si>
    <t>NSb46GnYrx3Lr99V</t>
  </si>
  <si>
    <t>COM2021-0531</t>
  </si>
  <si>
    <t>Txd9Zh827BOZTrPJ</t>
  </si>
  <si>
    <t>COM2021-3756</t>
  </si>
  <si>
    <t>UEtttknEfpOno6R9</t>
  </si>
  <si>
    <t>COM2021-1957</t>
  </si>
  <si>
    <t>n7d8i93qNnuLfU2X</t>
  </si>
  <si>
    <t>COM2022-0153</t>
  </si>
  <si>
    <t>ORGct4V8YSj2oQ5a</t>
  </si>
  <si>
    <t>PAR2021-3993</t>
  </si>
  <si>
    <t>P4WEflStc2NP5EEL</t>
  </si>
  <si>
    <t>PAR2021-3992</t>
  </si>
  <si>
    <t>tUMUbolDlcOTsvz7</t>
  </si>
  <si>
    <t>PAR2022-0145</t>
  </si>
  <si>
    <t>H7SPdsnFTSXdXde7</t>
  </si>
  <si>
    <t>CAR2021-1499</t>
  </si>
  <si>
    <t>N9lw1TxtNpiySV1O</t>
  </si>
  <si>
    <t>COM2021-6245</t>
  </si>
  <si>
    <t>E2cB4K1z3QtJefjg</t>
  </si>
  <si>
    <t>CAR2021-0833-1</t>
  </si>
  <si>
    <t>WaHYYqFQTnbN4rzO</t>
  </si>
  <si>
    <t>PAR2021-1551</t>
  </si>
  <si>
    <t>UK1DGoTn47HNwnp6</t>
  </si>
  <si>
    <t>PAR2020-0953</t>
  </si>
  <si>
    <t>vJuLdsg7vTvZNiTd</t>
  </si>
  <si>
    <t>PAR2019-3094</t>
  </si>
  <si>
    <t>ZKU0KrLPu9ZWg4ro</t>
  </si>
  <si>
    <t>PAR2021-0810</t>
  </si>
  <si>
    <t>xDPiFRvkk9VlXwk8</t>
  </si>
  <si>
    <t>PAR2020-0353</t>
  </si>
  <si>
    <t>t949Enh4CjnvKbMB</t>
  </si>
  <si>
    <t>PAR2016-1639</t>
  </si>
  <si>
    <t>PnxJKw5UvXY4Q66n</t>
  </si>
  <si>
    <t>PAR2020-3397</t>
  </si>
  <si>
    <t>WloEfXywzi9um2ZD</t>
  </si>
  <si>
    <t>PAR2020-0941</t>
  </si>
  <si>
    <t>mRkfdDnheztPQANQ</t>
  </si>
  <si>
    <t>PAR2019-3019</t>
  </si>
  <si>
    <t>bgJlaZGbTg0eo2OD</t>
  </si>
  <si>
    <t>PAR2019-1675</t>
  </si>
  <si>
    <t>wfL6fruatTLT62tR</t>
  </si>
  <si>
    <t>PAR2019-2351</t>
  </si>
  <si>
    <t>uUL4wVGPbBl4EWjG</t>
  </si>
  <si>
    <t>PAR2020-0346</t>
  </si>
  <si>
    <t>buKzRPIMYP0dXn77</t>
  </si>
  <si>
    <t>CAR2021-5684</t>
  </si>
  <si>
    <t>7xqrNek8mlOLH51z</t>
  </si>
  <si>
    <t>CAR2021-6639</t>
  </si>
  <si>
    <t>n7P8Np6faGhjpvpp</t>
  </si>
  <si>
    <t>CAR2021-6675</t>
  </si>
  <si>
    <t>jIokKOADcL5xfzG0</t>
  </si>
  <si>
    <t>CAR2021-6876</t>
  </si>
  <si>
    <t>Mfh1MuOyd9xnHNO4</t>
  </si>
  <si>
    <t>CAR2020-4175</t>
  </si>
  <si>
    <t>9yycE2Ro4MLNaQNY</t>
  </si>
  <si>
    <t>CAR2017-4174</t>
  </si>
  <si>
    <t>uJ6R0DIjNxd5KlnU</t>
  </si>
  <si>
    <t>CAR2021-5861-1</t>
  </si>
  <si>
    <t>f4VUuBlO1MZX4BeW</t>
  </si>
  <si>
    <t>CAR2021-6896</t>
  </si>
  <si>
    <t>4cjHveYRGfdH0feA</t>
  </si>
  <si>
    <t>CAR2021-6070</t>
  </si>
  <si>
    <t>SQQ2MCojkQC1Cl3y</t>
  </si>
  <si>
    <t>CAR2021-6842</t>
  </si>
  <si>
    <t>3yLVSTroovG1u2Qd</t>
  </si>
  <si>
    <t>CAR2017-2865</t>
  </si>
  <si>
    <t>7WKjNN2U0eU2LEsc</t>
  </si>
  <si>
    <t>CAR2021-6874</t>
  </si>
  <si>
    <t>VWuuMgsGYKqtDAT4</t>
  </si>
  <si>
    <t>COM2021-3546</t>
  </si>
  <si>
    <t>igbcwCBvAgS247Q9</t>
  </si>
  <si>
    <t>COM2021-3711</t>
  </si>
  <si>
    <t>tdOV0Oiayy7z549I</t>
  </si>
  <si>
    <t>COM2021-3924</t>
  </si>
  <si>
    <t>qzpdgKZQt6JfimLM</t>
  </si>
  <si>
    <t>COM2021-5954</t>
  </si>
  <si>
    <t>Ce9JBfHclPg03ByH</t>
  </si>
  <si>
    <t>COM2021-3148</t>
  </si>
  <si>
    <t>zNhbkWbWMUk0sOOQ</t>
  </si>
  <si>
    <t>COM2022-0150</t>
  </si>
  <si>
    <t>Kvuqig4HY85KizrV</t>
  </si>
  <si>
    <t>COM2019-0303</t>
  </si>
  <si>
    <t>R0aZdCoXk9fS5M29</t>
  </si>
  <si>
    <t>COM2019-0936</t>
  </si>
  <si>
    <t>uVUZffLfc3XvaHN7</t>
  </si>
  <si>
    <t>COM2019-1429</t>
  </si>
  <si>
    <t>4DcBToWAuz4rleP3</t>
  </si>
  <si>
    <t>COM2019-1655</t>
  </si>
  <si>
    <t>aMd2k1bpvTyp7lkF</t>
  </si>
  <si>
    <t>COM2019-1295</t>
  </si>
  <si>
    <t>oalLHi6GGSYEjG7p</t>
  </si>
  <si>
    <t>COM2019-2497</t>
  </si>
  <si>
    <t>2A7ioqRHCIwnng8L</t>
  </si>
  <si>
    <t>COM2021-1966</t>
  </si>
  <si>
    <t>7YmWRUCqrzPToZPV</t>
  </si>
  <si>
    <t>COM2020-3362</t>
  </si>
  <si>
    <t>WbFpOl48zobIv00n</t>
  </si>
  <si>
    <t>COM2019-0323</t>
  </si>
  <si>
    <t>umrugNyeqSXxFdsA</t>
  </si>
  <si>
    <t xml:space="preserve"> COM2019-2648</t>
  </si>
  <si>
    <t>oaZS0WRYnVmkHFkE</t>
  </si>
  <si>
    <t>COM2020-0799</t>
  </si>
  <si>
    <t>tLCg9hUnu16Ipfj4</t>
  </si>
  <si>
    <t>COM2019-0929</t>
  </si>
  <si>
    <t>dIxJ7yUmvHmSP1fA</t>
  </si>
  <si>
    <t>COM2019-0748</t>
  </si>
  <si>
    <t>SOWbi8Dqg0a75dUB</t>
  </si>
  <si>
    <t>COM2020-3521</t>
  </si>
  <si>
    <t>iowGau6Gxb9SWBKj</t>
  </si>
  <si>
    <t>PAR2019-0948</t>
  </si>
  <si>
    <t>MhYURWZHRx6iJ2am</t>
  </si>
  <si>
    <t>PAR2022-0124</t>
  </si>
  <si>
    <t>8Qu8vfIP7g1uLly2</t>
  </si>
  <si>
    <t>PAR2022-0128</t>
  </si>
  <si>
    <t>Wr9IODl17M4O27Ls</t>
  </si>
  <si>
    <t>PAR2019-0739</t>
  </si>
  <si>
    <t>p5hxQKgy69C5Eekc</t>
  </si>
  <si>
    <t>COM2020-3199</t>
  </si>
  <si>
    <t>NXtCjaeylmsnTuWN</t>
  </si>
  <si>
    <t>PAR2019-0773</t>
  </si>
  <si>
    <t>WwXhXKkQfnVfCYxf</t>
  </si>
  <si>
    <t>PAR2019-0759</t>
  </si>
  <si>
    <t>sTHNjy1uia6PWHaA</t>
  </si>
  <si>
    <t>COM2019-0743</t>
  </si>
  <si>
    <t>IZtmX71F3wgKHe0d</t>
  </si>
  <si>
    <t>COM2020-3372</t>
  </si>
  <si>
    <t>mdcmUcmN3jd0ihzJ</t>
  </si>
  <si>
    <t>COM2021-3762</t>
  </si>
  <si>
    <t>5sYQAbomoJyRBZdy</t>
  </si>
  <si>
    <t>COM2021-3773</t>
  </si>
  <si>
    <t>p4mOiAeyf0ZYzo3l</t>
  </si>
  <si>
    <t xml:space="preserve">  COM2021-3913</t>
  </si>
  <si>
    <t>44DDktyAT764iI2q</t>
  </si>
  <si>
    <t>COM2020-3324</t>
  </si>
  <si>
    <t>4zlB8427YFB9vryQ</t>
  </si>
  <si>
    <t>COM2019-0765</t>
  </si>
  <si>
    <t>59mUfVjjQycwKvp2</t>
  </si>
  <si>
    <t>COM2020-3373</t>
  </si>
  <si>
    <t>0IGkDlkZulcl8RNF</t>
  </si>
  <si>
    <t>COM2019-2661</t>
  </si>
  <si>
    <t>0uPFTu90HIolP3eA</t>
  </si>
  <si>
    <t>COM2021-2788</t>
  </si>
  <si>
    <t>w2k4rHHdzYqw5wdz</t>
  </si>
  <si>
    <t>COM2021-3317</t>
  </si>
  <si>
    <t>YrElhFbqg3msuqgV</t>
  </si>
  <si>
    <t>COM2021-3759</t>
  </si>
  <si>
    <t>yvVhtPDRXZgUJ7YZ</t>
  </si>
  <si>
    <t>COM2020-2144</t>
  </si>
  <si>
    <t>Yz8ABAaFKHXtxX5z</t>
  </si>
  <si>
    <t>COM2021-2903</t>
  </si>
  <si>
    <t>gHv4lSjuASHa4vAp</t>
  </si>
  <si>
    <t>COM2021-3115</t>
  </si>
  <si>
    <t>VAOfYiTFNE3f4Whs</t>
  </si>
  <si>
    <t>COM2020-2371</t>
  </si>
  <si>
    <t>PONnUfuhFQ9OW87U</t>
  </si>
  <si>
    <t>COM2020-2316</t>
  </si>
  <si>
    <t>YqcqUbmEqy6ttIyW</t>
  </si>
  <si>
    <t>COM2020-2313</t>
  </si>
  <si>
    <t>f3usr42hyBwjAHve</t>
  </si>
  <si>
    <t>COM2020-2191</t>
  </si>
  <si>
    <t>oQWOxnp2EXMZaFbU</t>
  </si>
  <si>
    <t>COM2021-2797</t>
  </si>
  <si>
    <t>3cFw62AyV0CpPOs2</t>
  </si>
  <si>
    <t>COM2021-2787</t>
  </si>
  <si>
    <t>KIbg9SXxl6kLGbXX</t>
  </si>
  <si>
    <t>COM2021-3372</t>
  </si>
  <si>
    <t>GWL6ZYoJ3aebxPUe</t>
  </si>
  <si>
    <t>COM2021-3102</t>
  </si>
  <si>
    <t>b7TJrr9ReUpfrOU9</t>
  </si>
  <si>
    <t>COM2021-2118</t>
  </si>
  <si>
    <t>KhTKAEWn1599tYM6</t>
  </si>
  <si>
    <t>COM2021-3112</t>
  </si>
  <si>
    <t>5XpxPRvPBJfDPgNZ</t>
  </si>
  <si>
    <t>CAR2021-7653</t>
  </si>
  <si>
    <t>9qw3TEoy9ssw7vgz</t>
  </si>
  <si>
    <t>CAR2020-2869</t>
  </si>
  <si>
    <t>NlZLQ0tN9A4Dh8j2</t>
  </si>
  <si>
    <t>CAR2021-6485</t>
  </si>
  <si>
    <t>MEdmdxDmyaErOmgO</t>
  </si>
  <si>
    <t>2QUtpSnLKWvqqpF0</t>
  </si>
  <si>
    <t>S5WcMImGhBWJxbLy</t>
  </si>
  <si>
    <t>CAR2021-7499</t>
  </si>
  <si>
    <t>IAw26FvE9M1yd4AH</t>
  </si>
  <si>
    <t>CAR2018-2084</t>
  </si>
  <si>
    <t>1BsT179tZ2Jnt944</t>
  </si>
  <si>
    <t>CAR2018-2519</t>
  </si>
  <si>
    <t>mk0634UksLdQX95U</t>
  </si>
  <si>
    <t>CAR2021-6025</t>
  </si>
  <si>
    <t>TImHOLSzQnDIMRLY</t>
  </si>
  <si>
    <t>CAR20201-6493</t>
  </si>
  <si>
    <t>3134kMlHlJsw5f6p</t>
  </si>
  <si>
    <t>CAR2021-0265</t>
  </si>
  <si>
    <t>WLHYEZH3ZcFmRWl8</t>
  </si>
  <si>
    <t>CAR2021-7533</t>
  </si>
  <si>
    <t>CDjmyXyonImiq6E5</t>
  </si>
  <si>
    <t>CAR2021-7637</t>
  </si>
  <si>
    <t>eIDxd5libJoptSNf</t>
  </si>
  <si>
    <t>IbW0JNKE4YlXLrYs</t>
  </si>
  <si>
    <t>CAR2021-6496</t>
  </si>
  <si>
    <t>HL7SrUcVhKUqZFbl</t>
  </si>
  <si>
    <t>4rqu7hoZTXKOKuYw</t>
  </si>
  <si>
    <t>CAR2018-1887</t>
  </si>
  <si>
    <t>oxlcVdq6lAuP6urX</t>
  </si>
  <si>
    <t>CAR2021-5889</t>
  </si>
  <si>
    <t>Rdh8lo2bPg9qfG7z</t>
  </si>
  <si>
    <t>CAR2022-0485</t>
  </si>
  <si>
    <t>8GlbjKY8DpdlvOfU</t>
  </si>
  <si>
    <t>CAR2021-7625</t>
  </si>
  <si>
    <t>Jla4NQZTJVYg7opJ</t>
  </si>
  <si>
    <t>CAR2021-7599</t>
  </si>
  <si>
    <t>mlJTUkEo46ZStpNI</t>
  </si>
  <si>
    <t>CAR2020-1006</t>
  </si>
  <si>
    <t>izhR6aPPkeJpXTwF</t>
  </si>
  <si>
    <t>CAR2020-0453</t>
  </si>
  <si>
    <t>4yHiBTZewFELj3U1</t>
  </si>
  <si>
    <t>CAR2021-6476</t>
  </si>
  <si>
    <t>pDLFlXZwCl4d2AcM</t>
  </si>
  <si>
    <t>CAR2019-0093</t>
  </si>
  <si>
    <t>wlDV0sChWunGSw7Z</t>
  </si>
  <si>
    <t>CAR2021-0201</t>
  </si>
  <si>
    <t>ipKmTEM6G1RyFAe2</t>
  </si>
  <si>
    <t>CAR2019-3561</t>
  </si>
  <si>
    <t>UE5W7lxSsVs2XQqD</t>
  </si>
  <si>
    <t>CAR2021-5437</t>
  </si>
  <si>
    <t>mDhkCSagA4EXClTh</t>
  </si>
  <si>
    <t>CAR2021-5401</t>
  </si>
  <si>
    <t>5OQ81FeqR6CmOKpE</t>
  </si>
  <si>
    <t>CAR2017-4116</t>
  </si>
  <si>
    <t>OMklJwOyJhAKyPXu</t>
  </si>
  <si>
    <t>CAR2018-2674</t>
  </si>
  <si>
    <t>uqYx2tuzT6PJd5AW</t>
  </si>
  <si>
    <t>CAR2021-7570</t>
  </si>
  <si>
    <t>N8i4uwKLgSGtMNNL</t>
  </si>
  <si>
    <t>CAR2021-7566</t>
  </si>
  <si>
    <t>D94qdypnji975LNr</t>
  </si>
  <si>
    <t>CAR2020-5263</t>
  </si>
  <si>
    <t>HQFQcHaxVIuaKAKH</t>
  </si>
  <si>
    <t>CAR2021-7506</t>
  </si>
  <si>
    <t>OH5eAQmQAGVXIRG4</t>
  </si>
  <si>
    <t>CAR2020-3099</t>
  </si>
  <si>
    <t>6gHJIq8tl7cwZVkl</t>
  </si>
  <si>
    <t>CAR2021-7081</t>
  </si>
  <si>
    <t>4JNTSmYQwpjyy88E</t>
  </si>
  <si>
    <t>CAR2020-5230</t>
  </si>
  <si>
    <t>v6sk4l7UUJ9VA61s</t>
  </si>
  <si>
    <t>CAR2021-7290</t>
  </si>
  <si>
    <t>VFHbgP4fNP1zEjdc</t>
  </si>
  <si>
    <t>CAR2021-4872</t>
  </si>
  <si>
    <t>n5Kh58CsdjxgI3HD</t>
  </si>
  <si>
    <t>CAR2021-3839</t>
  </si>
  <si>
    <t>RESzdswhlIgVN5dr</t>
  </si>
  <si>
    <t>CAR2021-6850</t>
  </si>
  <si>
    <t>4DDxDyIBnsVbJCLT</t>
  </si>
  <si>
    <t>CAR2018-2510</t>
  </si>
  <si>
    <t>BWzXk3gQ4gUoCFC2</t>
  </si>
  <si>
    <t>OdPpUPpa0wOmPM3i</t>
  </si>
  <si>
    <t>CAR2021-7578</t>
  </si>
  <si>
    <t>up5sjCNlqqrBDmm8</t>
  </si>
  <si>
    <t>CAR2021-7255</t>
  </si>
  <si>
    <t>3zJDVOvfo3YnqU7W</t>
  </si>
  <si>
    <t>CAR2021-5443</t>
  </si>
  <si>
    <t>cIh7I6uzoOyUIfyD</t>
  </si>
  <si>
    <t>CAR2019-0488</t>
  </si>
  <si>
    <t>k0aJN16vd3tdQ8Yo</t>
  </si>
  <si>
    <t>CAR2021-5449</t>
  </si>
  <si>
    <t>uISZSVtS2baSSBY9</t>
  </si>
  <si>
    <t>CAR2021-3463</t>
  </si>
  <si>
    <t>JLhyUNyMqjiyC6eZ</t>
  </si>
  <si>
    <t>TqJ08Bd9601ri7LO</t>
  </si>
  <si>
    <t>5x3qs3aJPvX13YJV</t>
  </si>
  <si>
    <t>CAR2021-7004</t>
  </si>
  <si>
    <t>9RG1xz3mksaoijFO</t>
  </si>
  <si>
    <t>CAR2019-3344</t>
  </si>
  <si>
    <t>yAbX5fxCgEGXACVG</t>
  </si>
  <si>
    <t>CAR2019-3507</t>
  </si>
  <si>
    <t>5kXSkcLL63xKoGsm</t>
  </si>
  <si>
    <t>CAR2020-5421</t>
  </si>
  <si>
    <t>8J85tKgJDk0AB1Oc</t>
  </si>
  <si>
    <t>COM2019-2237-1</t>
  </si>
  <si>
    <t>rMWNcP8x37agf1Gl</t>
  </si>
  <si>
    <t>PAR2020-1538</t>
  </si>
  <si>
    <t>X1EO024QIz3vAR4e</t>
  </si>
  <si>
    <t>PAR2021-1776</t>
  </si>
  <si>
    <t>P8vHw8dBU7HVA437</t>
  </si>
  <si>
    <t>PAR2020-1341</t>
  </si>
  <si>
    <t>KeH5vTWTQcrjokkz</t>
  </si>
  <si>
    <t>PAR2020-1701</t>
  </si>
  <si>
    <t>F5qazVG5idGyfjjG</t>
  </si>
  <si>
    <t>PAR2020-1326</t>
  </si>
  <si>
    <t>IzLE6flDihPRCFpx</t>
  </si>
  <si>
    <t>PAR2020-1925</t>
  </si>
  <si>
    <t>tCznRiIqtNNnPSks</t>
  </si>
  <si>
    <t>PAR2020-1391</t>
  </si>
  <si>
    <t>7YG23CYTd1ZVjlE3</t>
  </si>
  <si>
    <t>PAR2020-1198</t>
  </si>
  <si>
    <t>waKINiWXu2E91414</t>
  </si>
  <si>
    <t>PAR2020-1300</t>
  </si>
  <si>
    <t>ZfD0AvYhdCznq1by</t>
  </si>
  <si>
    <t>PAR2020-1969</t>
  </si>
  <si>
    <t>qy2UaTeymm3DpDRK</t>
  </si>
  <si>
    <t>PAR2020-1946</t>
  </si>
  <si>
    <t>S88IUug8uRTQfuBV</t>
  </si>
  <si>
    <t>PAR2020-1941</t>
  </si>
  <si>
    <t>ZTcW39UzaDldgUwg</t>
  </si>
  <si>
    <t>PAR2020-1949</t>
  </si>
  <si>
    <t>rNoWtSV5Ee3Q3m8I</t>
  </si>
  <si>
    <t>PAR2020-1960</t>
  </si>
  <si>
    <t>eKWEGs9VjEFlEp1W</t>
  </si>
  <si>
    <t>PAR2020-1324</t>
  </si>
  <si>
    <t>BYM2kfmBhGq8lIY1</t>
  </si>
  <si>
    <t>PAR2020-1915</t>
  </si>
  <si>
    <t>QwLUI4YrIVMrYtH0</t>
  </si>
  <si>
    <t>PAR2019-2534</t>
  </si>
  <si>
    <t>VBDpcUlWYGsJndjN</t>
  </si>
  <si>
    <t>PAR2021-3350</t>
  </si>
  <si>
    <t>plfGiYwitfbkF73Q</t>
  </si>
  <si>
    <t>PAR2020-1351</t>
  </si>
  <si>
    <t>uj77LJHzGA5sDXPt</t>
  </si>
  <si>
    <t>PAR2020-1373</t>
  </si>
  <si>
    <t>C2nCVqO8u0yDEknD</t>
  </si>
  <si>
    <t>PAR2020-1386</t>
  </si>
  <si>
    <t>7RxCJGplLVJdK5rD</t>
  </si>
  <si>
    <t>PAR2020-1385</t>
  </si>
  <si>
    <t>3Ki2qU4V6G3YF0d7</t>
  </si>
  <si>
    <t>PAR2020-2100</t>
  </si>
  <si>
    <t>UtJqU5TgYrSMCTVS</t>
  </si>
  <si>
    <t>PAR2020-1117</t>
  </si>
  <si>
    <t>ZELAmjI16uh9tZ9t</t>
  </si>
  <si>
    <t>PAR2021-3351</t>
  </si>
  <si>
    <t>rZ2HcAuT302MqLO0</t>
  </si>
  <si>
    <t>PAR2020-1597</t>
  </si>
  <si>
    <t>SqFvH9FyqfIwpafu</t>
  </si>
  <si>
    <t>PAR2021-0739</t>
  </si>
  <si>
    <t>6RcuwSRRBlw1CdLK</t>
  </si>
  <si>
    <t>PAR2020-1779</t>
  </si>
  <si>
    <t>XTU2cWLcH2cmh52t</t>
  </si>
  <si>
    <t>PAR2020-1335</t>
  </si>
  <si>
    <t>eFDeeTSjNqNnSjV6</t>
  </si>
  <si>
    <t>PAR2020-1353</t>
  </si>
  <si>
    <t>o2Pj7QgBbreiewIQ</t>
  </si>
  <si>
    <t>PAR2020-1382</t>
  </si>
  <si>
    <t>OOc8btrxEwJb8aFb</t>
  </si>
  <si>
    <t>PAR2020-1393</t>
  </si>
  <si>
    <t>wL14k9y0anNYzL6V</t>
  </si>
  <si>
    <t>CA2021-5467</t>
  </si>
  <si>
    <t>SPaS0Qip05PCpkcA</t>
  </si>
  <si>
    <t>CAR2021-7476</t>
  </si>
  <si>
    <t>ycwxxtXf6KS4aPdD</t>
  </si>
  <si>
    <t>CAR2021-5852</t>
  </si>
  <si>
    <t>OZxwqisMPOdytF4K</t>
  </si>
  <si>
    <t>CAR2021-5854</t>
  </si>
  <si>
    <t>Z6kF4RXAn01udXST</t>
  </si>
  <si>
    <t>CAR2021-5691</t>
  </si>
  <si>
    <t>aRApTyUQBIbLzgAC</t>
  </si>
  <si>
    <t>CAR2021-6447</t>
  </si>
  <si>
    <t>jarWF70Ge0plnVPO</t>
  </si>
  <si>
    <t>CAR2021-7518</t>
  </si>
  <si>
    <t>hbZwWQ1m8BdGwXJk</t>
  </si>
  <si>
    <t>CAR2021-6292</t>
  </si>
  <si>
    <t>5BRppjZLpH4jLGRN</t>
  </si>
  <si>
    <t>CAR2020-3695</t>
  </si>
  <si>
    <t>J2xRUNSUrO4A7zLY</t>
  </si>
  <si>
    <t>CAR2021-5896</t>
  </si>
  <si>
    <t>W4ADOwicseY6Zxu7</t>
  </si>
  <si>
    <t>CAR2021-6448</t>
  </si>
  <si>
    <t>esN1BcVrlgFTzRg4</t>
  </si>
  <si>
    <t>CAR2021-5853</t>
  </si>
  <si>
    <t>gNBU1ccH5JmRfCFs</t>
  </si>
  <si>
    <t>CAR2021-7465</t>
  </si>
  <si>
    <t>snhU5JHneeGXuD5R</t>
  </si>
  <si>
    <t>CAR2021-6218</t>
  </si>
  <si>
    <t>liWNNIOonFFFBYzk</t>
  </si>
  <si>
    <t>CAR2021-3200</t>
  </si>
  <si>
    <t>kV6bURjokrDkq1wP</t>
  </si>
  <si>
    <t>CAR2021-6806</t>
  </si>
  <si>
    <t>QPiUrJ9OVSVv1KMl</t>
  </si>
  <si>
    <t>CAR2019-1064</t>
  </si>
  <si>
    <t>XbiBRUK9NeDFPDTY</t>
  </si>
  <si>
    <t>CAR2021-0444</t>
  </si>
  <si>
    <t>6KUtqzmm4RCanVCo</t>
  </si>
  <si>
    <t>CAR2020-1232</t>
  </si>
  <si>
    <t>sZCsNAkzJSzxXFsQ</t>
  </si>
  <si>
    <t>CAR2021-0473</t>
  </si>
  <si>
    <t>PY1hs95kLX71wDaf</t>
  </si>
  <si>
    <t>CAR2021-6227</t>
  </si>
  <si>
    <t>a2WwxOlbhwvcTa5q</t>
  </si>
  <si>
    <t>CAR2019-3112</t>
  </si>
  <si>
    <t>VrN6lHJFpnfmJ86J</t>
  </si>
  <si>
    <t>CAR2019-0693</t>
  </si>
  <si>
    <t>rHrINiWj5Plyv4oE</t>
  </si>
  <si>
    <t>CAR2019-3741</t>
  </si>
  <si>
    <t>1Ev9Yt5gVHTGYNLW</t>
  </si>
  <si>
    <t>CAR2019-1078</t>
  </si>
  <si>
    <t>ChEge3X2Grwv5F9D</t>
  </si>
  <si>
    <t>CAR2019-1124</t>
  </si>
  <si>
    <t>2glf5UdTl6gpV7Jk</t>
  </si>
  <si>
    <t>CAR2019-1160</t>
  </si>
  <si>
    <t>JVDtrB4l6ZuKEidF</t>
  </si>
  <si>
    <t>CAR2021-0484</t>
  </si>
  <si>
    <t>pyWrtjEETxTJcDPV</t>
  </si>
  <si>
    <t>CAR2019-0893</t>
  </si>
  <si>
    <t>7A2OIZIHcaYC29uY</t>
  </si>
  <si>
    <t>CAR2021-2263</t>
  </si>
  <si>
    <t>LlKNVoyxVJV2YR9n</t>
  </si>
  <si>
    <t>CAR2019-0458</t>
  </si>
  <si>
    <t>lx9yqlLVBT3JnMyu</t>
  </si>
  <si>
    <t>CAR2020-0666</t>
  </si>
  <si>
    <t>71Nw48EfzQVg5Gwx</t>
  </si>
  <si>
    <t>CAR2019-1141</t>
  </si>
  <si>
    <t>Pq43mJ4clXfc8xiE</t>
  </si>
  <si>
    <t>CAR2020-0504</t>
  </si>
  <si>
    <t>oeVrLMJoRHcQaJ33</t>
  </si>
  <si>
    <t>CAR2021-2075</t>
  </si>
  <si>
    <t>dVPHqSRwap3nex8F</t>
  </si>
  <si>
    <t>CAR2021-2078</t>
  </si>
  <si>
    <t>F0EGY8AA7uRQDl7r</t>
  </si>
  <si>
    <t>CAR2021-2236</t>
  </si>
  <si>
    <t>7k6Z1EEvQyqIAEf1</t>
  </si>
  <si>
    <t>CAR2019-0403</t>
  </si>
  <si>
    <t>3e5rWGyHoo2FveQO</t>
  </si>
  <si>
    <t>CAR2019-1134</t>
  </si>
  <si>
    <t>csuv0DhUUVZK6OUk</t>
  </si>
  <si>
    <t>CAR2021-7670</t>
  </si>
  <si>
    <t>uDFcnjlytWchxQWC</t>
  </si>
  <si>
    <t>CAR2019-1342</t>
  </si>
  <si>
    <t>eelLpjyATmlRUQQU</t>
  </si>
  <si>
    <t>CAR2021-0613-1</t>
  </si>
  <si>
    <t>c1hXsaycBJCzZ2hG</t>
  </si>
  <si>
    <t>CAR2019-4002</t>
  </si>
  <si>
    <t>WY0QoGzqAMofhIWY</t>
  </si>
  <si>
    <t>CAR2020-0507</t>
  </si>
  <si>
    <t>4074vsg38iPJfx3F</t>
  </si>
  <si>
    <t>CAR2019-3736</t>
  </si>
  <si>
    <t>ipZqBtj4CDJZ51l2</t>
  </si>
  <si>
    <t>CAR2021-6647</t>
  </si>
  <si>
    <t>1eSR7QSUIxdFVH8x</t>
  </si>
  <si>
    <t>CAR2019-1246</t>
  </si>
  <si>
    <t>gou4VrMpHErWk9Wa</t>
  </si>
  <si>
    <t>CAR2019-0606</t>
  </si>
  <si>
    <t>Lg1CT5mu0zX4kJ0r</t>
  </si>
  <si>
    <t>CAR2018-2598</t>
  </si>
  <si>
    <t>X97aE0BnrPfR3Vz0</t>
  </si>
  <si>
    <t>CAR2021-7423</t>
  </si>
  <si>
    <t>Tbzx4rRUwCUHzRIK</t>
  </si>
  <si>
    <t>CAR2021-7044</t>
  </si>
  <si>
    <t>TV7GEwiiF9Ji98bk</t>
  </si>
  <si>
    <t>CAR2020-1884</t>
  </si>
  <si>
    <t>rkDqWWhFCffghuhE</t>
  </si>
  <si>
    <t>CAR2021-3659</t>
  </si>
  <si>
    <t>6B507R2te6P06Xwf</t>
  </si>
  <si>
    <t>CAR2020-2050</t>
  </si>
  <si>
    <t>8hAxkY3oMairDzfy</t>
  </si>
  <si>
    <t>CAR2020-3652</t>
  </si>
  <si>
    <t>5lVp1vthatVfznkN</t>
  </si>
  <si>
    <t>CAR2020-2297</t>
  </si>
  <si>
    <t>rROG5kidp6nEvCrO</t>
  </si>
  <si>
    <t>CAR2019-3552</t>
  </si>
  <si>
    <t>7uY0XBMkUhBbmffc</t>
  </si>
  <si>
    <t>CAR2020-0493</t>
  </si>
  <si>
    <t>1COjHhQS54SddJx9</t>
  </si>
  <si>
    <t>CAR2020-0491</t>
  </si>
  <si>
    <t>b4HQ4LWAL3mJl3vu</t>
  </si>
  <si>
    <t>CAR2020-0414</t>
  </si>
  <si>
    <t>JLetDGULT0VxR8OI</t>
  </si>
  <si>
    <t>CAR2019-3710</t>
  </si>
  <si>
    <t>bBVr7BuzdUyIywYe</t>
  </si>
  <si>
    <t>CAR2021-7069</t>
  </si>
  <si>
    <t>83Km0j1oPRtGYZhq</t>
  </si>
  <si>
    <t>CAR2021-1370</t>
  </si>
  <si>
    <t>1f9VyR6ZaBjQOaK2</t>
  </si>
  <si>
    <t>CAR2020-1683</t>
  </si>
  <si>
    <t>UUrhnAIx7CLn4waL</t>
  </si>
  <si>
    <t>CAR2021-7514</t>
  </si>
  <si>
    <t>0w7oujfZdc05QeVP</t>
  </si>
  <si>
    <t>CAR2021-1648</t>
  </si>
  <si>
    <t>e01nHc6YFwwoB2Gh</t>
  </si>
  <si>
    <t>CAR2016-2370</t>
  </si>
  <si>
    <t>oczzswESwTy9lKNT</t>
  </si>
  <si>
    <t>CAR2021-1026</t>
  </si>
  <si>
    <t>6SpPLKwpX261svs3</t>
  </si>
  <si>
    <t>CAR2021-7286</t>
  </si>
  <si>
    <t>9Y28YsMnFeIqxqNf</t>
  </si>
  <si>
    <t>CAR2019-1717</t>
  </si>
  <si>
    <t>Y6Roeq8aqhTcq4WY</t>
  </si>
  <si>
    <t>CAR2020-0444</t>
  </si>
  <si>
    <t>Q5gETXIC8imM7kpw</t>
  </si>
  <si>
    <t>CAR2021-5824</t>
  </si>
  <si>
    <t>S3Y0jo01EMkVKv8A</t>
  </si>
  <si>
    <t>CAR2021-2224</t>
  </si>
  <si>
    <t>DiBhUX2folC98fvx</t>
  </si>
  <si>
    <t>CAR2020-1283</t>
  </si>
  <si>
    <t>WQ7opurA7Nem8l61</t>
  </si>
  <si>
    <t>CAR2020-0445</t>
  </si>
  <si>
    <t>K75LucPh1FA3iZz6</t>
  </si>
  <si>
    <t>CAR2020-0265</t>
  </si>
  <si>
    <t>II8dIbVRSlAvLqYn</t>
  </si>
  <si>
    <t>CAR2021-6009</t>
  </si>
  <si>
    <t>VTfUtBeWr8IxzzFN</t>
  </si>
  <si>
    <t>CAR2021-7070</t>
  </si>
  <si>
    <t>GxxIf57TAe8QrxVO</t>
  </si>
  <si>
    <t>CAR2017-2830</t>
  </si>
  <si>
    <t>VDTZvtdjR3Za0vv7</t>
  </si>
  <si>
    <t>CAR2019-3527</t>
  </si>
  <si>
    <t>NrYhEfSUSVgK5HxZ</t>
  </si>
  <si>
    <t>CAR2021-6822</t>
  </si>
  <si>
    <t>5OKjT0b4X3TKEZzz</t>
  </si>
  <si>
    <t>CAR2019-3512</t>
  </si>
  <si>
    <t>NN7gjkijSB4UrkpQ</t>
  </si>
  <si>
    <t>CAR2020-4689</t>
  </si>
  <si>
    <t>yLvG0NSF8iowt940</t>
  </si>
  <si>
    <t>CAR2020-4810</t>
  </si>
  <si>
    <t>7KD4nRrNqaeJgcpA</t>
  </si>
  <si>
    <t>CAR2020-0603</t>
  </si>
  <si>
    <t>9zHsVVS4RuI81jXW</t>
  </si>
  <si>
    <t>CAR2020-0487</t>
  </si>
  <si>
    <t>mqHX9SNZHUEutAFU</t>
  </si>
  <si>
    <t>CAR2020-0658</t>
  </si>
  <si>
    <t>m2jNjtgKnf15QlD2</t>
  </si>
  <si>
    <t>CAR2020-0631</t>
  </si>
  <si>
    <t>7sczYljUqIYxUtPN</t>
  </si>
  <si>
    <t>CAR2021-6689</t>
  </si>
  <si>
    <t>RC5MUuQqkIuJxCbV</t>
  </si>
  <si>
    <t>CAR2019-2548</t>
  </si>
  <si>
    <t>7PYgyQ0p4Ve13sBy</t>
  </si>
  <si>
    <t>CAR2019-1204</t>
  </si>
  <si>
    <t>griM0Mmo8zDKIrOJ</t>
  </si>
  <si>
    <t>CAR2021-5098</t>
  </si>
  <si>
    <t>s4obbKvS90iZLQ6I</t>
  </si>
  <si>
    <t>CAR2020-2296</t>
  </si>
  <si>
    <t>IjvFFMkZGeNN7qNl</t>
  </si>
  <si>
    <t>CAR2021-7647</t>
  </si>
  <si>
    <t>vbOIx02zfI32LOL1</t>
  </si>
  <si>
    <t>CAR2020-0056</t>
  </si>
  <si>
    <t>ipmBnXp0NbazR9eA</t>
  </si>
  <si>
    <t>PhckI7NZ1ZacYDNb</t>
  </si>
  <si>
    <t>CAR2019-0091</t>
  </si>
  <si>
    <t>79qu67vhHJ5RVgaA</t>
  </si>
  <si>
    <t>CAR2018-1096</t>
  </si>
  <si>
    <t>I8wAocKCSxghNfHZ</t>
  </si>
  <si>
    <t>CAR2019-3506</t>
  </si>
  <si>
    <t>OiivFuGGJD7UUqTM</t>
  </si>
  <si>
    <t>CAR2020-4658</t>
  </si>
  <si>
    <t>LMXYklaA6gi6uPYY</t>
  </si>
  <si>
    <t>CAR2020-0849</t>
  </si>
  <si>
    <t>oXkJDqSKrJ9Mc3yB</t>
  </si>
  <si>
    <t>CAR2020-0476</t>
  </si>
  <si>
    <t>uH2RE8WnWda8xPUK</t>
  </si>
  <si>
    <t>CAR2021-2219</t>
  </si>
  <si>
    <t>unjABriW23BFT59z</t>
  </si>
  <si>
    <t>CAR2020-0828</t>
  </si>
  <si>
    <t>rtcNdQAdee3CB9fG</t>
  </si>
  <si>
    <t>CAR2020-4675</t>
  </si>
  <si>
    <t>Mdio4vhaf8cueac2</t>
  </si>
  <si>
    <t>CAR2021-2240</t>
  </si>
  <si>
    <t>Td4mb1ADwbu4euPe</t>
  </si>
  <si>
    <t>CAR2019-2532</t>
  </si>
  <si>
    <t>4QsxVJI9qKsXMbqr</t>
  </si>
  <si>
    <t>CAR2020-4021</t>
  </si>
  <si>
    <t>kMgqY70p629LZDd1</t>
  </si>
  <si>
    <t>CAR2020-4022</t>
  </si>
  <si>
    <t>bHZzjvZ8LwuD6IMy</t>
  </si>
  <si>
    <t>CAR2021-2091</t>
  </si>
  <si>
    <t>x16hKDaFrrZHVFyc</t>
  </si>
  <si>
    <t>CAR2021-1298</t>
  </si>
  <si>
    <t>kjUV4pyGQsFMRvj2</t>
  </si>
  <si>
    <t>xm4M1oHJVEevVWKs</t>
  </si>
  <si>
    <t>CAR2021-4875</t>
  </si>
  <si>
    <t>YAEAxqECyWCWWTzQ</t>
  </si>
  <si>
    <t>CAR2020-1267</t>
  </si>
  <si>
    <t>KR41pU6Dqwx5aw7u</t>
  </si>
  <si>
    <t>CAR2017-2739</t>
  </si>
  <si>
    <t>VGHneKQKqCRkPFEn</t>
  </si>
  <si>
    <t>CAR2019-1978</t>
  </si>
  <si>
    <t>cGQaBjhK7ECkrWJA</t>
  </si>
  <si>
    <t>CAR2020-1053</t>
  </si>
  <si>
    <t>IVhFSns9fDkZ2zw7</t>
  </si>
  <si>
    <t>CAR2019-3557</t>
  </si>
  <si>
    <t>2WsjVtPDmuIRrlz2</t>
  </si>
  <si>
    <t>CAR2021-7508</t>
  </si>
  <si>
    <t>9HzuLAPBI7lE84md</t>
  </si>
  <si>
    <t>CAR2021-6280</t>
  </si>
  <si>
    <t>GqojrLj1aFKzGf07</t>
  </si>
  <si>
    <t>CAR2021-7411</t>
  </si>
  <si>
    <t>pKvjCN472mhQcZUq</t>
  </si>
  <si>
    <t>CAR2021-0454</t>
  </si>
  <si>
    <t>LN1mExWPtBcLNd0H</t>
  </si>
  <si>
    <t>CAR2020-0218</t>
  </si>
  <si>
    <t>cB9Js4yyRP84lWHD</t>
  </si>
  <si>
    <t>CAR2020-1005</t>
  </si>
  <si>
    <t>bnIAASgZwqYb4Zxf</t>
  </si>
  <si>
    <t>CAR2020-4666</t>
  </si>
  <si>
    <t>ifUGC0oU5pSSUbwl</t>
  </si>
  <si>
    <t>CAR2020-5296</t>
  </si>
  <si>
    <t>dPcHgqOO6nkoPMSn</t>
  </si>
  <si>
    <t>CAR2018-0615</t>
  </si>
  <si>
    <t>dCgBu2eZSByq0waf</t>
  </si>
  <si>
    <t>CAR2020-2448</t>
  </si>
  <si>
    <t>PY3B1b4ewQqbu0M4</t>
  </si>
  <si>
    <t>CAR2021-7078</t>
  </si>
  <si>
    <t>3KVPJ8shahowH51Y</t>
  </si>
  <si>
    <t>CAR2021-5699</t>
  </si>
  <si>
    <t>RMuGho21ltfcVL2G</t>
  </si>
  <si>
    <t>CAR2020-0261</t>
  </si>
  <si>
    <t>pMJ69zp70izclwTF</t>
  </si>
  <si>
    <t>CAR2020-4257</t>
  </si>
  <si>
    <t>22gtBy36DJTlfarj</t>
  </si>
  <si>
    <t>CAR2020-0855</t>
  </si>
  <si>
    <t>ElfoEVBqeTksFRXD</t>
  </si>
  <si>
    <t>CAR2020-1056</t>
  </si>
  <si>
    <t>yNDw1SPuGhNOrqAG</t>
  </si>
  <si>
    <t>CAR2021-5698</t>
  </si>
  <si>
    <t>42FCF9DHIEZKNy0U</t>
  </si>
  <si>
    <t>CAR2021-5442</t>
  </si>
  <si>
    <t>Gpu6Y028a8usIHGE</t>
  </si>
  <si>
    <t>CAR2021-5438</t>
  </si>
  <si>
    <t>nLbWIYAPWe68jzVT</t>
  </si>
  <si>
    <t>CAR2021-5603</t>
  </si>
  <si>
    <t>E3d4AEbJxMXHBMmy</t>
  </si>
  <si>
    <t>CAR2021-4671</t>
  </si>
  <si>
    <t>B40oHj1XPq5FRnKp</t>
  </si>
  <si>
    <t>CAR2021-5682</t>
  </si>
  <si>
    <t>upBxKj7Zh5daObpJ</t>
  </si>
  <si>
    <t>CAR2021-5475</t>
  </si>
  <si>
    <t>wT1fhLWRAdYm7EpJ</t>
  </si>
  <si>
    <t>CAR2020-2268</t>
  </si>
  <si>
    <t>gNauXVsA1ZVyDBmS</t>
  </si>
  <si>
    <t>CAR2020-0683</t>
  </si>
  <si>
    <t>BjCkrK6jg2G9A0hN</t>
  </si>
  <si>
    <t>CAR2020-0670</t>
  </si>
  <si>
    <t>S4DtAzBoRlQjElPR</t>
  </si>
  <si>
    <t>CAR2020-2836</t>
  </si>
  <si>
    <t>j9sLSqaJrAfaDhxu</t>
  </si>
  <si>
    <t>CAR2020-1894</t>
  </si>
  <si>
    <t>f5SbyEuB003l5nqL</t>
  </si>
  <si>
    <t>CAR2020-4249</t>
  </si>
  <si>
    <t>ewuNNvobQzBrTUzN</t>
  </si>
  <si>
    <t>CAR2020-4246</t>
  </si>
  <si>
    <t>5Axy28XSihkjC9YC</t>
  </si>
  <si>
    <t>CAR2021-4672</t>
  </si>
  <si>
    <t>VygIVZOwxg5oNi59</t>
  </si>
  <si>
    <t>CAR2021-5604</t>
  </si>
  <si>
    <t>tOXX7ekv3IAUtKOy</t>
  </si>
  <si>
    <t>CAR2020-4841</t>
  </si>
  <si>
    <t>fb0iPwFQGv38RAQQ</t>
  </si>
  <si>
    <t>CAR2015-0718</t>
  </si>
  <si>
    <t>hs08DPotLTKp9Aqu</t>
  </si>
  <si>
    <t>CAR2020-4643</t>
  </si>
  <si>
    <t>pXULE6y12WNcR3Hp</t>
  </si>
  <si>
    <t>CAR2021-3853</t>
  </si>
  <si>
    <t>QFcERUv4tkWRfMVW</t>
  </si>
  <si>
    <t>CAR2018-0452</t>
  </si>
  <si>
    <t>Q8CEnP6cNnHUDfFH</t>
  </si>
  <si>
    <t>CAR2021-6246</t>
  </si>
  <si>
    <t>cvuDAv8Tnvjbqd6s</t>
  </si>
  <si>
    <t>COM2022-0157</t>
  </si>
  <si>
    <t>xTFYUWzudajQuyIH</t>
  </si>
  <si>
    <t>PAR2022-0127</t>
  </si>
  <si>
    <t>7K5jkkihHJKjTe2T</t>
  </si>
  <si>
    <t>PAR2021-4103</t>
  </si>
  <si>
    <t>zfHfAovwMrF2HPYT</t>
  </si>
  <si>
    <t>PAR2022-0191</t>
  </si>
  <si>
    <t>1IcDlXsV5kF63NFQ</t>
  </si>
  <si>
    <t>PAR2022-0192</t>
  </si>
  <si>
    <t>dtaKXjW9CJI4Q75Q</t>
  </si>
  <si>
    <t>PAR2021-3962</t>
  </si>
  <si>
    <t>1KbBqg4EhCW5QjtR</t>
  </si>
  <si>
    <t>PAR2022-0189</t>
  </si>
  <si>
    <t>LhFb82Aec35KryQx</t>
  </si>
  <si>
    <t>PAR2022-0188</t>
  </si>
  <si>
    <t>bU6veyj4yiL9rIgL</t>
  </si>
  <si>
    <t>COM2021-3167</t>
  </si>
  <si>
    <t>8Zy76JJCLzzA8Kmn</t>
  </si>
  <si>
    <t>COM2021-1303</t>
  </si>
  <si>
    <t>HxPex3bteUvPtAoe</t>
  </si>
  <si>
    <t>PAR2022-0009</t>
  </si>
  <si>
    <t>FHGVB7yQExB8ErAJ</t>
  </si>
  <si>
    <t>COM2021-0196</t>
  </si>
  <si>
    <t>tVvTi6s5WMknml1Y</t>
  </si>
  <si>
    <t>PAR2022-0190</t>
  </si>
  <si>
    <t>ciBLOPEmuHNGnMfJ</t>
  </si>
  <si>
    <t>PAR2018-1384</t>
  </si>
  <si>
    <t>XcnSqk83muKlKhw9</t>
  </si>
  <si>
    <t>PAR2021-1734</t>
  </si>
  <si>
    <t>w2dOIamA6skB1cuj</t>
  </si>
  <si>
    <t>PAR2021-1752</t>
  </si>
  <si>
    <t>nInxWhBJukXKDitO</t>
  </si>
  <si>
    <t>CAR2021-6661</t>
  </si>
  <si>
    <t>JJ1flmy8Q0qrwfWF</t>
  </si>
  <si>
    <t>CAR2021-3660</t>
  </si>
  <si>
    <t>FEj65S0bdLwq2MfX</t>
  </si>
  <si>
    <t>CAR2021-5644</t>
  </si>
  <si>
    <t>Z8hQxUBXZXvQs2kN</t>
  </si>
  <si>
    <t>CAR2018-0449</t>
  </si>
  <si>
    <t>jSQN1rsr60GkUrOt</t>
  </si>
  <si>
    <t>CAR2019-3579</t>
  </si>
  <si>
    <t>75xENgq15eapCdQ4</t>
  </si>
  <si>
    <t>CAR2019-0459</t>
  </si>
  <si>
    <t>TsMZVdzogMd0evCD</t>
  </si>
  <si>
    <t>CAR2021-2278</t>
  </si>
  <si>
    <t>KQqY7HpRtWvMEEd1</t>
  </si>
  <si>
    <t>CAR2021-6054</t>
  </si>
  <si>
    <t>ZkGJxtjkHMlmWxUj</t>
  </si>
  <si>
    <t>CAR2021-6626</t>
  </si>
  <si>
    <t>xotiCgr0iQoJKBqL</t>
  </si>
  <si>
    <t>CAR2021-6605</t>
  </si>
  <si>
    <t>87yPFr7cd4x02MNG</t>
  </si>
  <si>
    <t>CAR2021-6604</t>
  </si>
  <si>
    <t>IHQdMbevsxNY5N5E</t>
  </si>
  <si>
    <t>CAR2021-6606</t>
  </si>
  <si>
    <t>NhYebcbiQ5TBh9Sn</t>
  </si>
  <si>
    <t>CAR2021-5687</t>
  </si>
  <si>
    <t>6WJjhiFzSCH1xTh5</t>
  </si>
  <si>
    <t>CAR2020-4408</t>
  </si>
  <si>
    <t>p3qlF6A53FtIPop8</t>
  </si>
  <si>
    <t>lgcG0kexYQyomwG5</t>
  </si>
  <si>
    <t>1vkyi8eX5JjDKHdp</t>
  </si>
  <si>
    <t>CAR2021-6266</t>
  </si>
  <si>
    <t>fnz4Acywlao8K6Om</t>
  </si>
  <si>
    <t>kWWBsPcBbiwUH6bP</t>
  </si>
  <si>
    <t>CAR2020-0840</t>
  </si>
  <si>
    <t>AS8enJtr7vQy4GtM</t>
  </si>
  <si>
    <t>CAR2017-3942</t>
  </si>
  <si>
    <t>SeBTloFTcXgneAjz</t>
  </si>
  <si>
    <t>CAR2021-5416</t>
  </si>
  <si>
    <t>T3Cr9NnMq5Dui2ez</t>
  </si>
  <si>
    <t>CAR2021-5495</t>
  </si>
  <si>
    <t>HZsv5QvvUj49o875</t>
  </si>
  <si>
    <t>CAR2021-7627</t>
  </si>
  <si>
    <t>LIu6f2JIsNQe63yE</t>
  </si>
  <si>
    <t>CAR2019-1996</t>
  </si>
  <si>
    <t>idYBpzhv07llpEQ3</t>
  </si>
  <si>
    <t>CAR2021-7001</t>
  </si>
  <si>
    <t>Xr2Pc4KPwKo5OI0q</t>
  </si>
  <si>
    <t>CAR2021-7000</t>
  </si>
  <si>
    <t>Rb0exjA3PiSVb34d</t>
  </si>
  <si>
    <t>CAR2019-1947</t>
  </si>
  <si>
    <t>KRnSgZTrvAKLbIGx</t>
  </si>
  <si>
    <t>CAR2021-5430</t>
  </si>
  <si>
    <t>2YAVAjyDqwUOD78o</t>
  </si>
  <si>
    <t>CAR2021-4876</t>
  </si>
  <si>
    <t>apgnKklXmIGEoyRi</t>
  </si>
  <si>
    <t>CAR2021-6492</t>
  </si>
  <si>
    <t>ROlPBETW0PWzsfpr</t>
  </si>
  <si>
    <t>CAR2021-7564</t>
  </si>
  <si>
    <t>MJJI5evP1NwnmMsv</t>
  </si>
  <si>
    <t>CAR2021-7068</t>
  </si>
  <si>
    <t>mBuZ1dIbOI15VqEr</t>
  </si>
  <si>
    <t>CAR2021-7296</t>
  </si>
  <si>
    <t>I8LNSUYZ5ws4yKv2</t>
  </si>
  <si>
    <t>CAR2021-6257</t>
  </si>
  <si>
    <t>7pEPpVjv3L8fH184</t>
  </si>
  <si>
    <t>CAR2021-2212</t>
  </si>
  <si>
    <t>VPLMx2mIAciSMuPQ</t>
  </si>
  <si>
    <t>CAR2021-7051</t>
  </si>
  <si>
    <t>j2QUwljnEp3yGbfZ</t>
  </si>
  <si>
    <t>CAR2020-0279</t>
  </si>
  <si>
    <t>7O4dYTgH2yeAMXmW</t>
  </si>
  <si>
    <t>CAR2021-7071</t>
  </si>
  <si>
    <t>McnVKFiYJ3jNFZfG</t>
  </si>
  <si>
    <t>CAR2021-1649</t>
  </si>
  <si>
    <t>0zKvedBvSnQBGGoS</t>
  </si>
  <si>
    <t>CAR2021-5422</t>
  </si>
  <si>
    <t>hU0xDU1J7bLDuL9q</t>
  </si>
  <si>
    <t>CAR2020-4233</t>
  </si>
  <si>
    <t>H5oEgJXPWFT6nP84</t>
  </si>
  <si>
    <t>CAR2021-7009</t>
  </si>
  <si>
    <t>O2z67ZyPAfH50fAa</t>
  </si>
  <si>
    <t>CAR2021-6602</t>
  </si>
  <si>
    <t>DgPuEIzvPcduLE0t</t>
  </si>
  <si>
    <t>CAR2021-5439</t>
  </si>
  <si>
    <t>egYVNWtw3fU3sU9d</t>
  </si>
  <si>
    <t>CAR2019-0233</t>
  </si>
  <si>
    <t>VJ8zZIs8SC4rXVb0</t>
  </si>
  <si>
    <t>CAR2021-3440</t>
  </si>
  <si>
    <t>RslQhcC6JSKgC50c</t>
  </si>
  <si>
    <t>CAR2021-1407</t>
  </si>
  <si>
    <t>hb2x7RRMVwtieFdF</t>
  </si>
  <si>
    <t>CAR2021-7666</t>
  </si>
  <si>
    <t>Oa2lDwVmiXWOKUCq</t>
  </si>
  <si>
    <t>CAR2019-0664</t>
  </si>
  <si>
    <t>QRi8YdHIAFBaFvq5</t>
  </si>
  <si>
    <t>CAR2021-5411</t>
  </si>
  <si>
    <t>I5SpgbtrdAtYGT3F</t>
  </si>
  <si>
    <t>CAR2021-7252</t>
  </si>
  <si>
    <t>sKJLNdwGohF2xurm</t>
  </si>
  <si>
    <t>CAR2021-7261</t>
  </si>
  <si>
    <t>YsJy5k8CAmZMR05U</t>
  </si>
  <si>
    <t>CAR2020-1237</t>
  </si>
  <si>
    <t>5uGrf0ypxWzA2wap</t>
  </si>
  <si>
    <t>CAR2021-7573</t>
  </si>
  <si>
    <t>bBJODSAC6SiLrFQu</t>
  </si>
  <si>
    <t>CAR2021-7569</t>
  </si>
  <si>
    <t>5htNNRr5G5DuuQ75</t>
  </si>
  <si>
    <t>CAR2021-6248</t>
  </si>
  <si>
    <t>9haC5zdxQAIzCqyl</t>
  </si>
  <si>
    <t>CAR2021-1439</t>
  </si>
  <si>
    <t>R8UOtGrSNX8XiGwv</t>
  </si>
  <si>
    <t>CAR2021-3066</t>
  </si>
  <si>
    <t>DUQarxMjZk500mbB</t>
  </si>
  <si>
    <t>CAR2021-1285</t>
  </si>
  <si>
    <t>q4cc4tQE88iZGJay</t>
  </si>
  <si>
    <t>CAR2019-3588</t>
  </si>
  <si>
    <t>fXADJ6WZnQeXnRQF</t>
  </si>
  <si>
    <t>CAR2021-3482</t>
  </si>
  <si>
    <t>htIN5N87MCMVRxl2</t>
  </si>
  <si>
    <t>CAR2020-2009</t>
  </si>
  <si>
    <t>rpl4VQ5F6kH4hux6</t>
  </si>
  <si>
    <t>CAR2021-7563</t>
  </si>
  <si>
    <t>qYXXnEsHySDy4U2r</t>
  </si>
  <si>
    <t>CAR2019-3372</t>
  </si>
  <si>
    <t>1jD1XX3AMmuQp6i0</t>
  </si>
  <si>
    <t>CAR2020-0686</t>
  </si>
  <si>
    <t>zLTnmo5Sokhz4pns</t>
  </si>
  <si>
    <t>CAR2017-4440</t>
  </si>
  <si>
    <t>qd1Slt1d4TQnl1Pg</t>
  </si>
  <si>
    <t>CAR2020-0444-1</t>
  </si>
  <si>
    <t>jDVkWdVLbCU7PTWt</t>
  </si>
  <si>
    <t>CAR2021-7006</t>
  </si>
  <si>
    <t>q9VKmBdLe3FxPtwS</t>
  </si>
  <si>
    <t>CAR2021-2472</t>
  </si>
  <si>
    <t>iEd5fshHwdyyuC4l</t>
  </si>
  <si>
    <t>CAR2021-2463</t>
  </si>
  <si>
    <t>XgCi5MBBKdb2ozjm</t>
  </si>
  <si>
    <t>CAR2021-2423</t>
  </si>
  <si>
    <t>Wl3HbPi6tdICe5Ld</t>
  </si>
  <si>
    <t>CAR2021-7641</t>
  </si>
  <si>
    <t>I71rHVS440Tu5psT</t>
  </si>
  <si>
    <t>CAR2021-6059</t>
  </si>
  <si>
    <t>pf1O5R8ae80lPZs1</t>
  </si>
  <si>
    <t>CAR2021-5448</t>
  </si>
  <si>
    <t>fFKNG3lqxEclLMw9</t>
  </si>
  <si>
    <t>CAR2021-4895</t>
  </si>
  <si>
    <t>DIGNITY</t>
  </si>
  <si>
    <t>MEMORIAL</t>
  </si>
  <si>
    <t>DELUX</t>
  </si>
  <si>
    <t>ECONOLINE</t>
  </si>
  <si>
    <t>IMPERIAL DE LUJO</t>
  </si>
  <si>
    <t>ZAFIRO</t>
  </si>
  <si>
    <t>DEUX</t>
  </si>
  <si>
    <t xml:space="preserve">ZAFIRO </t>
  </si>
  <si>
    <t>ESPECIAL ANGELES</t>
  </si>
  <si>
    <t>CREMACION</t>
  </si>
  <si>
    <t>PRESIDENCIAL</t>
  </si>
  <si>
    <t xml:space="preserve">ESPECIAL ANGELES </t>
  </si>
  <si>
    <t>TABASCO</t>
  </si>
  <si>
    <t>CUNDUACAN</t>
  </si>
  <si>
    <t>HUIMANGUILLO</t>
  </si>
  <si>
    <t>TACOTALPA</t>
  </si>
  <si>
    <t>COMALCALCO</t>
  </si>
  <si>
    <t>PARAISO</t>
  </si>
  <si>
    <t>2022-01-29</t>
  </si>
  <si>
    <t>2022-01-31</t>
  </si>
  <si>
    <t>2022-02-05</t>
  </si>
  <si>
    <t>2022-02-01</t>
  </si>
  <si>
    <t>2022-02-02</t>
  </si>
  <si>
    <t>2022-02-04</t>
  </si>
  <si>
    <t>2022-01-27</t>
  </si>
  <si>
    <t>2022-01-28</t>
  </si>
  <si>
    <t>2022-02-03</t>
  </si>
  <si>
    <t>2022-01-21</t>
  </si>
  <si>
    <t>2022-02-06</t>
  </si>
  <si>
    <t>2022-02-07</t>
  </si>
  <si>
    <t>2022-02-12</t>
  </si>
  <si>
    <t>2022-02-11</t>
  </si>
  <si>
    <t>2022-02-10</t>
  </si>
  <si>
    <t>2022-02-09</t>
  </si>
  <si>
    <t>2022-02-08</t>
  </si>
  <si>
    <t>2022-01-10</t>
  </si>
  <si>
    <t>2022-01-22</t>
  </si>
  <si>
    <t>2022-02-15</t>
  </si>
  <si>
    <t>2022-02-16</t>
  </si>
  <si>
    <t>2022-02-18</t>
  </si>
  <si>
    <t>2019-11-16</t>
  </si>
  <si>
    <t>2019-03-29</t>
  </si>
  <si>
    <t>2020-08-12</t>
  </si>
  <si>
    <t>2020-12-15</t>
  </si>
  <si>
    <t>2019-12-01</t>
  </si>
  <si>
    <t>2020-02-06</t>
  </si>
  <si>
    <t>2019-01-29</t>
  </si>
  <si>
    <t>2021-12-23</t>
  </si>
  <si>
    <t>2018-06-11</t>
  </si>
  <si>
    <t>2021-08-31</t>
  </si>
  <si>
    <t>2021-08-24</t>
  </si>
  <si>
    <t>2021-09-20</t>
  </si>
  <si>
    <t>2021-12-11</t>
  </si>
  <si>
    <t>2021-02-13</t>
  </si>
  <si>
    <t>2021-11-23</t>
  </si>
  <si>
    <t>2021-06-10</t>
  </si>
  <si>
    <t>2022-01-14</t>
  </si>
  <si>
    <t>2021-12-24</t>
  </si>
  <si>
    <t>2022-01-11</t>
  </si>
  <si>
    <t>2021-04-24</t>
  </si>
  <si>
    <t>2021-10-19</t>
  </si>
  <si>
    <t>2021-03-06</t>
  </si>
  <si>
    <t>2021-05-10</t>
  </si>
  <si>
    <t>2020-07-26</t>
  </si>
  <si>
    <t>2019-11-19</t>
  </si>
  <si>
    <t>2021-03-08</t>
  </si>
  <si>
    <t>2020-01-31</t>
  </si>
  <si>
    <t>2016-06-23</t>
  </si>
  <si>
    <t>2020-12-22</t>
  </si>
  <si>
    <t>2022-06-23</t>
  </si>
  <si>
    <t>2020-07-02</t>
  </si>
  <si>
    <t>2019-06-30</t>
  </si>
  <si>
    <t>2019-08-27</t>
  </si>
  <si>
    <t>2020-01-30</t>
  </si>
  <si>
    <t>2021-09-29</t>
  </si>
  <si>
    <t>2021-11-06</t>
  </si>
  <si>
    <t>2021-11-05</t>
  </si>
  <si>
    <t>2021-11-12</t>
  </si>
  <si>
    <t>2020-03-09</t>
  </si>
  <si>
    <t>2017-12-02</t>
  </si>
  <si>
    <t>2021-10-06</t>
  </si>
  <si>
    <t>2021-11-13</t>
  </si>
  <si>
    <t>2021-10-14</t>
  </si>
  <si>
    <t>2021-11-11</t>
  </si>
  <si>
    <t>2017-03-06</t>
  </si>
  <si>
    <t>2021-11-16</t>
  </si>
  <si>
    <t>2021-12-02</t>
  </si>
  <si>
    <t>2021-12-09</t>
  </si>
  <si>
    <t>2021-10-09</t>
  </si>
  <si>
    <t>2022-01-12</t>
  </si>
  <si>
    <t>2019-02-04</t>
  </si>
  <si>
    <t>2019-04-29</t>
  </si>
  <si>
    <t>2019-05-29</t>
  </si>
  <si>
    <t>2019-06-26</t>
  </si>
  <si>
    <t>2019-05-27</t>
  </si>
  <si>
    <t>2019-09-20</t>
  </si>
  <si>
    <t>2021-06-15</t>
  </si>
  <si>
    <t>2019-02-10</t>
  </si>
  <si>
    <t>2020-09-29</t>
  </si>
  <si>
    <t>2020-03-25</t>
  </si>
  <si>
    <t>2019-04-26</t>
  </si>
  <si>
    <t>2019-04-10</t>
  </si>
  <si>
    <t>2020-12-26</t>
  </si>
  <si>
    <t>2019-05-02</t>
  </si>
  <si>
    <t>2022-01-07</t>
  </si>
  <si>
    <t>2021-01-08</t>
  </si>
  <si>
    <t>2019-04-09</t>
  </si>
  <si>
    <t>2020-12-09</t>
  </si>
  <si>
    <t>2019-04-13</t>
  </si>
  <si>
    <t>2019-04-12</t>
  </si>
  <si>
    <t>2020-12-16</t>
  </si>
  <si>
    <t>2021-11-24</t>
  </si>
  <si>
    <t>2021-11-01</t>
  </si>
  <si>
    <t>2020-12-12</t>
  </si>
  <si>
    <t>2019-10-01</t>
  </si>
  <si>
    <t>2021-09-07</t>
  </si>
  <si>
    <t>2021-10-18</t>
  </si>
  <si>
    <t>2020-09-21</t>
  </si>
  <si>
    <t>2021-09-11</t>
  </si>
  <si>
    <t>2021-10-01</t>
  </si>
  <si>
    <t>2020-10-13</t>
  </si>
  <si>
    <t>2020-10-05</t>
  </si>
  <si>
    <t>2021-09-10</t>
  </si>
  <si>
    <t>2021-10-25</t>
  </si>
  <si>
    <t>2021-07-25</t>
  </si>
  <si>
    <t>2020-09-03</t>
  </si>
  <si>
    <t>2021-10-29</t>
  </si>
  <si>
    <t>2021-12-08</t>
  </si>
  <si>
    <t>2018-10-09</t>
  </si>
  <si>
    <t>2018-01-08</t>
  </si>
  <si>
    <t>2021-01-28</t>
  </si>
  <si>
    <t>2021-12-22</t>
  </si>
  <si>
    <t>2018-09-29</t>
  </si>
  <si>
    <t>2021-10-07</t>
  </si>
  <si>
    <t>2022-09-29</t>
  </si>
  <si>
    <t>2021-12-18</t>
  </si>
  <si>
    <t>2021-12-17</t>
  </si>
  <si>
    <t>2020-03-20</t>
  </si>
  <si>
    <t>2020-02-12</t>
  </si>
  <si>
    <t>2021-10-28</t>
  </si>
  <si>
    <t>2019-01-23</t>
  </si>
  <si>
    <t>2021-01-21</t>
  </si>
  <si>
    <t>2019-11-27</t>
  </si>
  <si>
    <t>2021-09-18</t>
  </si>
  <si>
    <t>2021-09-14</t>
  </si>
  <si>
    <t>2017-08-10</t>
  </si>
  <si>
    <t>2018-11-28</t>
  </si>
  <si>
    <t>2021-12-15</t>
  </si>
  <si>
    <t>2020-12-11</t>
  </si>
  <si>
    <t>2020-09-16</t>
  </si>
  <si>
    <t>2021-11-20</t>
  </si>
  <si>
    <t>2021-12-01</t>
  </si>
  <si>
    <t>2021-08-26</t>
  </si>
  <si>
    <t>2021-07-27</t>
  </si>
  <si>
    <t>2018-11-17</t>
  </si>
  <si>
    <t>2021-12-14</t>
  </si>
  <si>
    <t>2021-11-27</t>
  </si>
  <si>
    <t>2019-02-23</t>
  </si>
  <si>
    <t>2021-07-13</t>
  </si>
  <si>
    <t>2020-11-04</t>
  </si>
  <si>
    <t>2019-11-15</t>
  </si>
  <si>
    <t>2019-08-17</t>
  </si>
  <si>
    <t>2020-08-06</t>
  </si>
  <si>
    <t>2021-05-29</t>
  </si>
  <si>
    <t>2021-07-24</t>
  </si>
  <si>
    <t>2020-08-20</t>
  </si>
  <si>
    <t>2020-07-21</t>
  </si>
  <si>
    <t>2020-09-08</t>
  </si>
  <si>
    <t>2020-07-30</t>
  </si>
  <si>
    <t>2020-07-16</t>
  </si>
  <si>
    <t>2020-09-19</t>
  </si>
  <si>
    <t>2020-09-10</t>
  </si>
  <si>
    <t>2020-09-12</t>
  </si>
  <si>
    <t>2020-09-05</t>
  </si>
  <si>
    <t>2019-09-09</t>
  </si>
  <si>
    <t>2021-10-23</t>
  </si>
  <si>
    <t>2020-07-25</t>
  </si>
  <si>
    <t>2020-07-28</t>
  </si>
  <si>
    <t>2020-09-18</t>
  </si>
  <si>
    <t>2020-07-04</t>
  </si>
  <si>
    <t>2021-02-24</t>
  </si>
  <si>
    <t>2020-09-02</t>
  </si>
  <si>
    <t>2020-07-22</t>
  </si>
  <si>
    <t>2020-07-15</t>
  </si>
  <si>
    <t>2021-09-23</t>
  </si>
  <si>
    <t>2021-12-06</t>
  </si>
  <si>
    <t>2021-10-05</t>
  </si>
  <si>
    <t>2021-09-30</t>
  </si>
  <si>
    <t>2021-10-27</t>
  </si>
  <si>
    <t>2021-12-10</t>
  </si>
  <si>
    <t>2021-10-22</t>
  </si>
  <si>
    <t>2020-10-06</t>
  </si>
  <si>
    <t>2021-10-16</t>
  </si>
  <si>
    <t>2021-07-02</t>
  </si>
  <si>
    <t>2021-11-08</t>
  </si>
  <si>
    <t>2019-04-16</t>
  </si>
  <si>
    <t>2021-02-10</t>
  </si>
  <si>
    <t>2020-06-25</t>
  </si>
  <si>
    <t>2021-02-15</t>
  </si>
  <si>
    <t>2019-10-15</t>
  </si>
  <si>
    <t>2019-03-09</t>
  </si>
  <si>
    <t>2019-12-14</t>
  </si>
  <si>
    <t>2019-04-22</t>
  </si>
  <si>
    <t>2019-06-05</t>
  </si>
  <si>
    <t>2019-05-08</t>
  </si>
  <si>
    <t>2019-04-15</t>
  </si>
  <si>
    <t>2021-06-03</t>
  </si>
  <si>
    <t>2019-02-18</t>
  </si>
  <si>
    <t>2020-02-28</t>
  </si>
  <si>
    <t>2019-05-04</t>
  </si>
  <si>
    <t>2020-03-06</t>
  </si>
  <si>
    <t>2021-05-25</t>
  </si>
  <si>
    <t>2021-06-01</t>
  </si>
  <si>
    <t>2019-02-09</t>
  </si>
  <si>
    <t>2019-05-09</t>
  </si>
  <si>
    <t>2021-12-27</t>
  </si>
  <si>
    <t>2019-05-31</t>
  </si>
  <si>
    <t>2019-02-28</t>
  </si>
  <si>
    <t>2019-03-05</t>
  </si>
  <si>
    <t>2019-12-13</t>
  </si>
  <si>
    <t>2021-11-04</t>
  </si>
  <si>
    <t>2019-05-22</t>
  </si>
  <si>
    <t>2019-02-19</t>
  </si>
  <si>
    <t>2018-11-20</t>
  </si>
  <si>
    <t>2021-12-03</t>
  </si>
  <si>
    <t>2021-11-19</t>
  </si>
  <si>
    <t>2020-07-27</t>
  </si>
  <si>
    <t>2021-07-19</t>
  </si>
  <si>
    <t>2020-07-31</t>
  </si>
  <si>
    <t>2020-10-03</t>
  </si>
  <si>
    <t>2019-11-26</t>
  </si>
  <si>
    <t>2020-02-17</t>
  </si>
  <si>
    <t>2020-02-05</t>
  </si>
  <si>
    <t>2019-12-09</t>
  </si>
  <si>
    <t>2021-08-21</t>
  </si>
  <si>
    <t>2020-07-20</t>
  </si>
  <si>
    <t>2021-04-28</t>
  </si>
  <si>
    <t>2016-12-26</t>
  </si>
  <si>
    <t>2021-03-18</t>
  </si>
  <si>
    <t>2021-11-30</t>
  </si>
  <si>
    <t>2019-06-24</t>
  </si>
  <si>
    <t>2020-02-11</t>
  </si>
  <si>
    <t>2021-10-04</t>
  </si>
  <si>
    <t>2020-07-03</t>
  </si>
  <si>
    <t>2020-08-17</t>
  </si>
  <si>
    <t>2021-10-08</t>
  </si>
  <si>
    <t>2017-03-02</t>
  </si>
  <si>
    <t>2019-11-18</t>
  </si>
  <si>
    <t>2021-11-09</t>
  </si>
  <si>
    <t>2020-11-20</t>
  </si>
  <si>
    <t>2020-11-24</t>
  </si>
  <si>
    <t>2020-02-18</t>
  </si>
  <si>
    <t>2019-02-27</t>
  </si>
  <si>
    <t>2020-02-21</t>
  </si>
  <si>
    <t>2019-09-19</t>
  </si>
  <si>
    <t>2019-05-14</t>
  </si>
  <si>
    <t>2021-09-06</t>
  </si>
  <si>
    <t>2021-01-15</t>
  </si>
  <si>
    <t>2019-01-21</t>
  </si>
  <si>
    <t>2018-07-16</t>
  </si>
  <si>
    <t>2020-11-17</t>
  </si>
  <si>
    <t>2020-03-12</t>
  </si>
  <si>
    <t>2020-02-15</t>
  </si>
  <si>
    <t>2021-05-28</t>
  </si>
  <si>
    <t>2020-03-10</t>
  </si>
  <si>
    <t>2020-11-18</t>
  </si>
  <si>
    <t>2020-10-15</t>
  </si>
  <si>
    <t>2021-05-26</t>
  </si>
  <si>
    <t>2021-04-14</t>
  </si>
  <si>
    <t>2017-02-11</t>
  </si>
  <si>
    <t>2019-07-31</t>
  </si>
  <si>
    <t>2020-04-08</t>
  </si>
  <si>
    <t>2021-10-21</t>
  </si>
  <si>
    <t>2020-01-21</t>
  </si>
  <si>
    <t>2018-04-16</t>
  </si>
  <si>
    <t>2021-08-15</t>
  </si>
  <si>
    <t>2021-11-22</t>
  </si>
  <si>
    <t>2020-01-25</t>
  </si>
  <si>
    <t>2020-10-23</t>
  </si>
  <si>
    <t>2020-05-07</t>
  </si>
  <si>
    <t>2021-08-17</t>
  </si>
  <si>
    <t>2021-09-21</t>
  </si>
  <si>
    <t>2020-08-10</t>
  </si>
  <si>
    <t>2020-03-02</t>
  </si>
  <si>
    <t>2020-09-01</t>
  </si>
  <si>
    <t>2020-11-25</t>
  </si>
  <si>
    <t>2015-11-05</t>
  </si>
  <si>
    <t>2020-11-13</t>
  </si>
  <si>
    <t>2018-04-07</t>
  </si>
  <si>
    <t>2021-10-20</t>
  </si>
  <si>
    <t>2022-01-08</t>
  </si>
  <si>
    <t>2021-12-28</t>
  </si>
  <si>
    <t>2021-10-12</t>
  </si>
  <si>
    <t>2021-04-03</t>
  </si>
  <si>
    <t>2021-01-26</t>
  </si>
  <si>
    <t>2022-01-13</t>
  </si>
  <si>
    <t>2018-08-05</t>
  </si>
  <si>
    <t>2021-05-22</t>
  </si>
  <si>
    <t>2021-09-25</t>
  </si>
  <si>
    <t>2019-11-30</t>
  </si>
  <si>
    <t>2021-11-03</t>
  </si>
  <si>
    <t>2021-10-30</t>
  </si>
  <si>
    <t>2020-10-27</t>
  </si>
  <si>
    <t>2021-10-02</t>
  </si>
  <si>
    <t>2020-03-11</t>
  </si>
  <si>
    <t>2017-09-07</t>
  </si>
  <si>
    <t>2021-09-15</t>
  </si>
  <si>
    <t>2021-09-22</t>
  </si>
  <si>
    <t>2020-07-07</t>
  </si>
  <si>
    <t>2019-07-29</t>
  </si>
  <si>
    <t>2021-09-17</t>
  </si>
  <si>
    <t>2020-01-29</t>
  </si>
  <si>
    <t>2020-10-21</t>
  </si>
  <si>
    <t>2021-07-12</t>
  </si>
  <si>
    <t>2021-04-15</t>
  </si>
  <si>
    <t>2021-04-20</t>
  </si>
  <si>
    <t>2021-06-30</t>
  </si>
  <si>
    <t>2019-12-03</t>
  </si>
  <si>
    <t>2021-07-14</t>
  </si>
  <si>
    <t>2019-11-07</t>
  </si>
  <si>
    <t>2017-12-22</t>
  </si>
  <si>
    <t>2020-01-23</t>
  </si>
  <si>
    <t>2021-06-05</t>
  </si>
  <si>
    <t>2021-08-28</t>
  </si>
  <si>
    <t>SAUZ</t>
  </si>
  <si>
    <t>RODRIGUEZ</t>
  </si>
  <si>
    <t>ADOLFO</t>
  </si>
  <si>
    <t>MORALES</t>
  </si>
  <si>
    <t>GERONIMO</t>
  </si>
  <si>
    <t>MARIA GUADALUPE</t>
  </si>
  <si>
    <t>VAZQUEZ</t>
  </si>
  <si>
    <t>CORDOVA</t>
  </si>
  <si>
    <t>ERNESTO</t>
  </si>
  <si>
    <t>CORTAZA</t>
  </si>
  <si>
    <t>ANA MARIA</t>
  </si>
  <si>
    <t>RAMOS</t>
  </si>
  <si>
    <t>ANGELICA</t>
  </si>
  <si>
    <t>BOUCHET</t>
  </si>
  <si>
    <t>MARISOL</t>
  </si>
  <si>
    <t>OLAN</t>
  </si>
  <si>
    <t/>
  </si>
  <si>
    <t>MIGULINA RAMOS</t>
  </si>
  <si>
    <t>DEL CARMEN</t>
  </si>
  <si>
    <t>HERNANDEZ</t>
  </si>
  <si>
    <t>MICHEL</t>
  </si>
  <si>
    <t>DE LA CRUZ</t>
  </si>
  <si>
    <t>URIEL</t>
  </si>
  <si>
    <t>CANO</t>
  </si>
  <si>
    <t>JUAREZ</t>
  </si>
  <si>
    <t>LILI</t>
  </si>
  <si>
    <t>ROCIO</t>
  </si>
  <si>
    <t>PALMA</t>
  </si>
  <si>
    <t>SANGEADO</t>
  </si>
  <si>
    <t>DOMINGO</t>
  </si>
  <si>
    <t>SILVAN</t>
  </si>
  <si>
    <t>DORILIAN</t>
  </si>
  <si>
    <t>JESUS</t>
  </si>
  <si>
    <t>SANTOS</t>
  </si>
  <si>
    <t>ABEL</t>
  </si>
  <si>
    <t>RIVERA</t>
  </si>
  <si>
    <t>RICARDEZ</t>
  </si>
  <si>
    <t>TOBIAS</t>
  </si>
  <si>
    <t>BRINDIS</t>
  </si>
  <si>
    <t>GARCIA</t>
  </si>
  <si>
    <t>FELICITO</t>
  </si>
  <si>
    <t>YNTERIANO</t>
  </si>
  <si>
    <t>ABEL HERNANDEZ</t>
  </si>
  <si>
    <t>DERNANDEZ</t>
  </si>
  <si>
    <t>AGUILAR</t>
  </si>
  <si>
    <t>MARICELA</t>
  </si>
  <si>
    <t>GILBERTO</t>
  </si>
  <si>
    <t>DE LOS SANTOS</t>
  </si>
  <si>
    <t>PETRONILA</t>
  </si>
  <si>
    <t>CARRETA</t>
  </si>
  <si>
    <t>RUTH</t>
  </si>
  <si>
    <t>DIAZ</t>
  </si>
  <si>
    <t>PEREZ</t>
  </si>
  <si>
    <t>LUBISNELLY</t>
  </si>
  <si>
    <t>SEBASTIAN</t>
  </si>
  <si>
    <t>GOMES</t>
  </si>
  <si>
    <t>JIMENEZ</t>
  </si>
  <si>
    <t>LAURA</t>
  </si>
  <si>
    <t>IZQUIERDO</t>
  </si>
  <si>
    <t>ISAIAS</t>
  </si>
  <si>
    <t>VALENZUELA</t>
  </si>
  <si>
    <t>JOSE</t>
  </si>
  <si>
    <t>PATRACA</t>
  </si>
  <si>
    <t>DANIEL</t>
  </si>
  <si>
    <t>CEFERINO</t>
  </si>
  <si>
    <t>RAMIRO</t>
  </si>
  <si>
    <t>ARIAS</t>
  </si>
  <si>
    <t>FRANCISCA</t>
  </si>
  <si>
    <t>CANDELARIO</t>
  </si>
  <si>
    <t>CUSTODIO</t>
  </si>
  <si>
    <t>EDNA NALLELY</t>
  </si>
  <si>
    <t>DE LA O</t>
  </si>
  <si>
    <t>PEDRO</t>
  </si>
  <si>
    <t>ESCUDERO</t>
  </si>
  <si>
    <t>ANA LESLIE</t>
  </si>
  <si>
    <t>DELGADO</t>
  </si>
  <si>
    <t>MANUEL CARLOS</t>
  </si>
  <si>
    <t>TORRES</t>
  </si>
  <si>
    <t>CARLOS ALBERTO</t>
  </si>
  <si>
    <t>TITO</t>
  </si>
  <si>
    <t>LANDERO</t>
  </si>
  <si>
    <t>LEONARDA</t>
  </si>
  <si>
    <t>GONZALEZ</t>
  </si>
  <si>
    <t>MIRIAM</t>
  </si>
  <si>
    <t>AVALOS</t>
  </si>
  <si>
    <t>ALVARADO</t>
  </si>
  <si>
    <t>ISAI</t>
  </si>
  <si>
    <t>MORALEZ</t>
  </si>
  <si>
    <t>GAMALIEL</t>
  </si>
  <si>
    <t>MIREYA</t>
  </si>
  <si>
    <t>ANDRADE</t>
  </si>
  <si>
    <t>MENDEZ</t>
  </si>
  <si>
    <t>GAMAS</t>
  </si>
  <si>
    <t>MARIA DE LOS SANTOS</t>
  </si>
  <si>
    <t>MARTINEZ</t>
  </si>
  <si>
    <t>MELQUIADES</t>
  </si>
  <si>
    <t>HERNANDE</t>
  </si>
  <si>
    <t>JOSE MARCOS</t>
  </si>
  <si>
    <t>DOMINGUEZ</t>
  </si>
  <si>
    <t>ORFA</t>
  </si>
  <si>
    <t>MARIN</t>
  </si>
  <si>
    <t>SOLIS</t>
  </si>
  <si>
    <t>MARIA JESUS</t>
  </si>
  <si>
    <t>GARDUZA</t>
  </si>
  <si>
    <t>MARIANA</t>
  </si>
  <si>
    <t>LAYNES</t>
  </si>
  <si>
    <t>NATIVIDAD</t>
  </si>
  <si>
    <t>CLAUDIA</t>
  </si>
  <si>
    <t>ESPEJO</t>
  </si>
  <si>
    <t>RUFINA</t>
  </si>
  <si>
    <t>ESPINOZA</t>
  </si>
  <si>
    <t>DIANA FABIOLA</t>
  </si>
  <si>
    <t>MORFIN</t>
  </si>
  <si>
    <t>LUCERO</t>
  </si>
  <si>
    <t>AVIAS</t>
  </si>
  <si>
    <t>CORNELIO</t>
  </si>
  <si>
    <t>RUBICELA</t>
  </si>
  <si>
    <t>GUZMAN</t>
  </si>
  <si>
    <t>CRUZ</t>
  </si>
  <si>
    <t>JACQUELINE</t>
  </si>
  <si>
    <t>SANCHEZ</t>
  </si>
  <si>
    <t>MARIA MAGDALENA</t>
  </si>
  <si>
    <t>FLORES</t>
  </si>
  <si>
    <t>LEON</t>
  </si>
  <si>
    <t>DE DIOS</t>
  </si>
  <si>
    <t>DARELIZ</t>
  </si>
  <si>
    <t>CASTILLO</t>
  </si>
  <si>
    <t>ADELFA</t>
  </si>
  <si>
    <t>MONTEJO</t>
  </si>
  <si>
    <t>CRISTEL</t>
  </si>
  <si>
    <t>JOSE DEL CARMEN</t>
  </si>
  <si>
    <t>JANET</t>
  </si>
  <si>
    <t>HERMELINDA</t>
  </si>
  <si>
    <t>SILVA</t>
  </si>
  <si>
    <t>GERMAN</t>
  </si>
  <si>
    <t>ALEXANDER</t>
  </si>
  <si>
    <t>GALVEZ</t>
  </si>
  <si>
    <t>DORA ESCOBAR</t>
  </si>
  <si>
    <t>COLORADO</t>
  </si>
  <si>
    <t>ADORNO</t>
  </si>
  <si>
    <t>DEBORA</t>
  </si>
  <si>
    <t>MARIA CRISTIAN</t>
  </si>
  <si>
    <t>MARTHA ELENA</t>
  </si>
  <si>
    <t>JUVENCIO MARIN</t>
  </si>
  <si>
    <t>ALCIBIADES</t>
  </si>
  <si>
    <t>HECTOR</t>
  </si>
  <si>
    <t>ALMEIDA</t>
  </si>
  <si>
    <t>LUIS ALBERTO</t>
  </si>
  <si>
    <t>ROBERTO RODRIGUEZ</t>
  </si>
  <si>
    <t>DOLORES</t>
  </si>
  <si>
    <t>ORTIZ</t>
  </si>
  <si>
    <t>RAMON</t>
  </si>
  <si>
    <t>ERSAEL</t>
  </si>
  <si>
    <t>CUPIDO</t>
  </si>
  <si>
    <t>MARGARITA</t>
  </si>
  <si>
    <t>MENDOZA</t>
  </si>
  <si>
    <t>MARIBEL</t>
  </si>
  <si>
    <t>MAYO</t>
  </si>
  <si>
    <t>VELA</t>
  </si>
  <si>
    <t>JAVIER</t>
  </si>
  <si>
    <t>MADRIGAL</t>
  </si>
  <si>
    <t>ARQUIMIDES</t>
  </si>
  <si>
    <t>NIEVE</t>
  </si>
  <si>
    <t>NARANJO</t>
  </si>
  <si>
    <t>MAGDALENA</t>
  </si>
  <si>
    <t>CARLOS</t>
  </si>
  <si>
    <t>EDITA</t>
  </si>
  <si>
    <t>CLEMENTINO</t>
  </si>
  <si>
    <t>ORLANDONI</t>
  </si>
  <si>
    <t>SERRANO</t>
  </si>
  <si>
    <t>SIERRA</t>
  </si>
  <si>
    <t>MANUEL ANTONIO</t>
  </si>
  <si>
    <t>REYNA</t>
  </si>
  <si>
    <t>MARIA SANTO</t>
  </si>
  <si>
    <t>BAUTISTA</t>
  </si>
  <si>
    <t>MARIA DOLORES</t>
  </si>
  <si>
    <t>ADRIANA MARCELA</t>
  </si>
  <si>
    <t>REYES</t>
  </si>
  <si>
    <t>JESUS ALBERTO</t>
  </si>
  <si>
    <t>MONDRAGON</t>
  </si>
  <si>
    <t>PATRICIA</t>
  </si>
  <si>
    <t>BOLAINA</t>
  </si>
  <si>
    <t>ALMEYDA</t>
  </si>
  <si>
    <t>REYNA LOURDES</t>
  </si>
  <si>
    <t>ALICIA</t>
  </si>
  <si>
    <t>MANUEL</t>
  </si>
  <si>
    <t>CASANGO</t>
  </si>
  <si>
    <t>JAIME</t>
  </si>
  <si>
    <t>MEDRANO</t>
  </si>
  <si>
    <t>DAVID ARTURO</t>
  </si>
  <si>
    <t>RUIZ</t>
  </si>
  <si>
    <t>ZACARIAZ</t>
  </si>
  <si>
    <t>DELLANIRA</t>
  </si>
  <si>
    <t>DE LA FUENTE</t>
  </si>
  <si>
    <t>ADELA</t>
  </si>
  <si>
    <t>GALLEGOS</t>
  </si>
  <si>
    <t>SEBASTIANA</t>
  </si>
  <si>
    <t>SANTIAGO</t>
  </si>
  <si>
    <t>MIRELLA</t>
  </si>
  <si>
    <t>MICAELA</t>
  </si>
  <si>
    <t>ALVARO</t>
  </si>
  <si>
    <t>VICTOR</t>
  </si>
  <si>
    <t>OLGA</t>
  </si>
  <si>
    <t>MENA</t>
  </si>
  <si>
    <t>RITA</t>
  </si>
  <si>
    <t>TRIANO</t>
  </si>
  <si>
    <t>RAFAEL</t>
  </si>
  <si>
    <t>ESCOBAR</t>
  </si>
  <si>
    <t>EPIFANIO</t>
  </si>
  <si>
    <t>FLORENCIO</t>
  </si>
  <si>
    <t>VIRGINIA</t>
  </si>
  <si>
    <t>LUNA</t>
  </si>
  <si>
    <t>KELITA</t>
  </si>
  <si>
    <t>LADY DIANA</t>
  </si>
  <si>
    <t>JERONIMO</t>
  </si>
  <si>
    <t>SAMUEL</t>
  </si>
  <si>
    <t>SOFIA</t>
  </si>
  <si>
    <t>ALEJO</t>
  </si>
  <si>
    <t>ORAMAS</t>
  </si>
  <si>
    <t>LEONOR ESPERANZA</t>
  </si>
  <si>
    <t>VIDAL</t>
  </si>
  <si>
    <t>RIGOBERTO</t>
  </si>
  <si>
    <t>OLSIN</t>
  </si>
  <si>
    <t>ANGELA</t>
  </si>
  <si>
    <t>ARMANDO</t>
  </si>
  <si>
    <t>VERA</t>
  </si>
  <si>
    <t>OMEL</t>
  </si>
  <si>
    <t>RAMIREZ</t>
  </si>
  <si>
    <t>HECTOR MARCELO</t>
  </si>
  <si>
    <t>DEL RIO</t>
  </si>
  <si>
    <t>GUADALUPE</t>
  </si>
  <si>
    <t>MARTINA</t>
  </si>
  <si>
    <t>MARIA DEL SOCORRO</t>
  </si>
  <si>
    <t>ALBERTO</t>
  </si>
  <si>
    <t>JUAN PABLO</t>
  </si>
  <si>
    <t>GUILAR</t>
  </si>
  <si>
    <t>SONIA</t>
  </si>
  <si>
    <t>ROSA IZQUIERDO</t>
  </si>
  <si>
    <t>NAHUM</t>
  </si>
  <si>
    <t>PABLO</t>
  </si>
  <si>
    <t>JULIANA</t>
  </si>
  <si>
    <t>LOPES</t>
  </si>
  <si>
    <t>MOISES AGUILAR</t>
  </si>
  <si>
    <t>MATEA</t>
  </si>
  <si>
    <t>LEYVA</t>
  </si>
  <si>
    <t>YOLIDAVEY</t>
  </si>
  <si>
    <t>AMILCAR</t>
  </si>
  <si>
    <t>LEIDI OLIVA</t>
  </si>
  <si>
    <t>LUCINDA</t>
  </si>
  <si>
    <t>ANDRES</t>
  </si>
  <si>
    <t>ACOPA</t>
  </si>
  <si>
    <t>VICTOR MANUEL</t>
  </si>
  <si>
    <t>OLA</t>
  </si>
  <si>
    <t>RAYMUNDO</t>
  </si>
  <si>
    <t>ANA LAURA</t>
  </si>
  <si>
    <t>MARIA ANGELA</t>
  </si>
  <si>
    <t>ANA GABRIELA</t>
  </si>
  <si>
    <t>ANTONY DE JESUS</t>
  </si>
  <si>
    <t>HERLINDA CANO</t>
  </si>
  <si>
    <t>JAURIN</t>
  </si>
  <si>
    <t>BRIONES</t>
  </si>
  <si>
    <t>BLANCA IDALIA</t>
  </si>
  <si>
    <t>APARICIO</t>
  </si>
  <si>
    <t>ANGEL</t>
  </si>
  <si>
    <t>JUAN</t>
  </si>
  <si>
    <t>NEGRON</t>
  </si>
  <si>
    <t>PETRA</t>
  </si>
  <si>
    <t>DE LA ROSA</t>
  </si>
  <si>
    <t>CALDERON</t>
  </si>
  <si>
    <t>QUEN</t>
  </si>
  <si>
    <t>MARIA ELENA</t>
  </si>
  <si>
    <t>HERRERA</t>
  </si>
  <si>
    <t>ROSALIA OLIVE</t>
  </si>
  <si>
    <t>JULIAN</t>
  </si>
  <si>
    <t>MARIA DE LOS ANGELES</t>
  </si>
  <si>
    <t>YEDID</t>
  </si>
  <si>
    <t>BARRIENTOS</t>
  </si>
  <si>
    <t>CARLOS NICASIO</t>
  </si>
  <si>
    <t>MORELOS</t>
  </si>
  <si>
    <t>SANDY PAOLA</t>
  </si>
  <si>
    <t>LUCIA</t>
  </si>
  <si>
    <t>AGAMA</t>
  </si>
  <si>
    <t>SANDRA VAZQUEZ</t>
  </si>
  <si>
    <t>CANCINO</t>
  </si>
  <si>
    <t>OSCAR</t>
  </si>
  <si>
    <t>MARITZA</t>
  </si>
  <si>
    <t>SASTRE</t>
  </si>
  <si>
    <t>MARIA ANTONIO</t>
  </si>
  <si>
    <t>MA ANTONIA</t>
  </si>
  <si>
    <t>BLANCA IDALIEL</t>
  </si>
  <si>
    <t>VERONICA LOPEZ</t>
  </si>
  <si>
    <t>MANUELA</t>
  </si>
  <si>
    <t>ARSENIO</t>
  </si>
  <si>
    <t>MARIA CRUZ</t>
  </si>
  <si>
    <t>MARIA ISABEL</t>
  </si>
  <si>
    <t>CHABLE</t>
  </si>
  <si>
    <t>JUAN IGNAIO</t>
  </si>
  <si>
    <t>TRINIDAD</t>
  </si>
  <si>
    <t>NOE</t>
  </si>
  <si>
    <t>VERONICA</t>
  </si>
  <si>
    <t>ESPERANZA</t>
  </si>
  <si>
    <t>GLORIA</t>
  </si>
  <si>
    <t>MARIA DEL ROCIO</t>
  </si>
  <si>
    <t>OLIVE</t>
  </si>
  <si>
    <t>AMINADAD</t>
  </si>
  <si>
    <t>SANTANA</t>
  </si>
  <si>
    <t>OBED</t>
  </si>
  <si>
    <t>ROSA MARIA</t>
  </si>
  <si>
    <t>OLIVIA</t>
  </si>
  <si>
    <t>CECILIA</t>
  </si>
  <si>
    <t>ANGULO</t>
  </si>
  <si>
    <t>EDUVIGES</t>
  </si>
  <si>
    <t>CORINA</t>
  </si>
  <si>
    <t>FUENTE</t>
  </si>
  <si>
    <t>ESAU</t>
  </si>
  <si>
    <t>HRNANDEZ</t>
  </si>
  <si>
    <t>ROSENDO</t>
  </si>
  <si>
    <t>CASTELLANOS</t>
  </si>
  <si>
    <t>NERIA</t>
  </si>
  <si>
    <t>ALEJANDRO</t>
  </si>
  <si>
    <t>JOSE CRUZ</t>
  </si>
  <si>
    <t>BRENDA ISELL</t>
  </si>
  <si>
    <t>MARILU</t>
  </si>
  <si>
    <t>LORENA</t>
  </si>
  <si>
    <t>CELIA GUADALUPE</t>
  </si>
  <si>
    <t>NARVAEZ</t>
  </si>
  <si>
    <t>RICARDO</t>
  </si>
  <si>
    <t>CASTRO</t>
  </si>
  <si>
    <t>EVELIO</t>
  </si>
  <si>
    <t>JORGE LUIS</t>
  </si>
  <si>
    <t>ISIDRO</t>
  </si>
  <si>
    <t>CESARIA</t>
  </si>
  <si>
    <t>ZAPATA</t>
  </si>
  <si>
    <t>JOSE ALCIDET</t>
  </si>
  <si>
    <t>JOSE EDUARDO</t>
  </si>
  <si>
    <t>YANE</t>
  </si>
  <si>
    <t>VILLEGAS</t>
  </si>
  <si>
    <t>ANALLELY DEL CARMEN</t>
  </si>
  <si>
    <t>VELAZQUEZ</t>
  </si>
  <si>
    <t>MARIA DEL CARMEN</t>
  </si>
  <si>
    <t>LUCINDO</t>
  </si>
  <si>
    <t>BROCA</t>
  </si>
  <si>
    <t>ELEDIN</t>
  </si>
  <si>
    <t>ALCUDIA</t>
  </si>
  <si>
    <t>ESCOLASTICA</t>
  </si>
  <si>
    <t>AREVALO</t>
  </si>
  <si>
    <t>EUNIFER</t>
  </si>
  <si>
    <t>RABANALES</t>
  </si>
  <si>
    <t>LAZARO</t>
  </si>
  <si>
    <t>MA DEL CARMEN</t>
  </si>
  <si>
    <t>HERNANEZ</t>
  </si>
  <si>
    <t>SUAREZ</t>
  </si>
  <si>
    <t>CARMITA</t>
  </si>
  <si>
    <t>RAUL</t>
  </si>
  <si>
    <t>CORONEL</t>
  </si>
  <si>
    <t>LUCY DEL CARMEN</t>
  </si>
  <si>
    <t>MARQUEZA</t>
  </si>
  <si>
    <t>ALAMILLA</t>
  </si>
  <si>
    <t>ESMERALDA</t>
  </si>
  <si>
    <t>ROSARIO</t>
  </si>
  <si>
    <t>DE LOS ANGELES</t>
  </si>
  <si>
    <t>MARIA</t>
  </si>
  <si>
    <t>JOSE EXIQUIO</t>
  </si>
  <si>
    <t>BERNARDO</t>
  </si>
  <si>
    <t>ROMIRO</t>
  </si>
  <si>
    <t>LEIVA</t>
  </si>
  <si>
    <t>ROSENDA</t>
  </si>
  <si>
    <t>CUPIL</t>
  </si>
  <si>
    <t>RAFAIN DAVID</t>
  </si>
  <si>
    <t>DERTONIRA</t>
  </si>
  <si>
    <t>OCHOA</t>
  </si>
  <si>
    <t>MARTHA JAZMIN</t>
  </si>
  <si>
    <t>MONTIEL</t>
  </si>
  <si>
    <t>ROSSANA</t>
  </si>
  <si>
    <t>ANTONIO</t>
  </si>
  <si>
    <t>RODER</t>
  </si>
  <si>
    <t>SEGOVIA</t>
  </si>
  <si>
    <t>LUISA</t>
  </si>
  <si>
    <t>VIOLETA</t>
  </si>
  <si>
    <t>AMAYA</t>
  </si>
  <si>
    <t>MARTHA ESTELA</t>
  </si>
  <si>
    <t>ALVAREZ</t>
  </si>
  <si>
    <t>BARRUETA</t>
  </si>
  <si>
    <t>ESCALANTE</t>
  </si>
  <si>
    <t>MORILLO</t>
  </si>
  <si>
    <t>APOLONIO</t>
  </si>
  <si>
    <t>AURORA</t>
  </si>
  <si>
    <t>VICENTE</t>
  </si>
  <si>
    <t>ISIDRA</t>
  </si>
  <si>
    <t>AMALIA</t>
  </si>
  <si>
    <t>CONCEPCION</t>
  </si>
  <si>
    <t>SANDRA</t>
  </si>
  <si>
    <t>OSORIO</t>
  </si>
  <si>
    <t>CLARIVEL</t>
  </si>
  <si>
    <t>YOANA</t>
  </si>
  <si>
    <t>ZAMUDIO</t>
  </si>
  <si>
    <t>BALTAZAR</t>
  </si>
  <si>
    <t>CARMELA</t>
  </si>
  <si>
    <t>FLORIBERTA</t>
  </si>
  <si>
    <t>MARIA LUISA</t>
  </si>
  <si>
    <t>PEREGRINO</t>
  </si>
  <si>
    <t>MAGNOLIA</t>
  </si>
  <si>
    <t>NINIVE</t>
  </si>
  <si>
    <t>MARIA REYES</t>
  </si>
  <si>
    <t>JUANA</t>
  </si>
  <si>
    <t>SASNCHEZ</t>
  </si>
  <si>
    <t>SUSANA</t>
  </si>
  <si>
    <t>EDUARDO</t>
  </si>
  <si>
    <t>ALEGRIA</t>
  </si>
  <si>
    <t>JORGE LINA</t>
  </si>
  <si>
    <t>AMELIA FOCIL</t>
  </si>
  <si>
    <t>VERONICA LEON</t>
  </si>
  <si>
    <t>DE LOS SANTO</t>
  </si>
  <si>
    <t>DOMINGO SANTO</t>
  </si>
  <si>
    <t>GUADALUPE PINEDA</t>
  </si>
  <si>
    <t>CAROLINA HERNANDEZ</t>
  </si>
  <si>
    <t>ANA CORA</t>
  </si>
  <si>
    <t>JANET HIDALGO</t>
  </si>
  <si>
    <t>ULIN</t>
  </si>
  <si>
    <t>PATRICIA DEL CARMEN</t>
  </si>
  <si>
    <t>ESPINOSA</t>
  </si>
  <si>
    <t>EPIFONIA ESCOBAR</t>
  </si>
  <si>
    <t>FRIAS</t>
  </si>
  <si>
    <t>JAVIER CERINO</t>
  </si>
  <si>
    <t>FRANCISCA ARIAS</t>
  </si>
  <si>
    <t>LAURA LETICIA</t>
  </si>
  <si>
    <t>MICHEL DEL CARMEN</t>
  </si>
  <si>
    <t>PAQUISTAN</t>
  </si>
  <si>
    <t>JAIME PAQUISTAN</t>
  </si>
  <si>
    <t>DAVID HERNANDEZ</t>
  </si>
  <si>
    <t>MELENDEZ</t>
  </si>
  <si>
    <t>ROSIBEL ANDRADE</t>
  </si>
  <si>
    <t>ABELEYDA ARABELO</t>
  </si>
  <si>
    <t>IRENE LOPEZ</t>
  </si>
  <si>
    <t>DORA MARIA</t>
  </si>
  <si>
    <t>EDITH HERNANDEZ</t>
  </si>
  <si>
    <t>MARCHENA</t>
  </si>
  <si>
    <t>SILVIA CRISTAL</t>
  </si>
  <si>
    <t>MACHIN</t>
  </si>
  <si>
    <t>FRANCISCA ZAVALA</t>
  </si>
  <si>
    <t>SALATIEL ESCOBAR</t>
  </si>
  <si>
    <t>FRANCISCO</t>
  </si>
  <si>
    <t>MARIA LOURDES</t>
  </si>
  <si>
    <t>MANUEL CORDOVA</t>
  </si>
  <si>
    <t>CALIZ</t>
  </si>
  <si>
    <t>JESSICA DEL CARMEN</t>
  </si>
  <si>
    <t>FAJARDO</t>
  </si>
  <si>
    <t>ROSA ROMERO</t>
  </si>
  <si>
    <t>RUEDA</t>
  </si>
  <si>
    <t>RAMON QUIROGA</t>
  </si>
  <si>
    <t>GRABIEL VAZQUEZ</t>
  </si>
  <si>
    <t>CHILON</t>
  </si>
  <si>
    <t>JOSE MANUEL</t>
  </si>
  <si>
    <t>ROSARIO VELAZQUEZ</t>
  </si>
  <si>
    <t>MARIA CUSTODIO</t>
  </si>
  <si>
    <t>BAEZA</t>
  </si>
  <si>
    <t>VIRIDIANA SANTO</t>
  </si>
  <si>
    <t>JOSEFINA PEREZ</t>
  </si>
  <si>
    <t>DOMINGA FLORES</t>
  </si>
  <si>
    <t>GONZALES</t>
  </si>
  <si>
    <t>DOLORES JIMENEZ</t>
  </si>
  <si>
    <t>PASCUAL</t>
  </si>
  <si>
    <t>MARTHA MARIA</t>
  </si>
  <si>
    <t>AUDIEL RAMOS</t>
  </si>
  <si>
    <t>ASENCIO</t>
  </si>
  <si>
    <t>MA JESUS</t>
  </si>
  <si>
    <t>REBECA HERNANDEZ</t>
  </si>
  <si>
    <t>ETELVINA</t>
  </si>
  <si>
    <t>CARMELA TORRES</t>
  </si>
  <si>
    <t>LAURA ROMERO</t>
  </si>
  <si>
    <t>PEDRO PEREZ</t>
  </si>
  <si>
    <t>JAVIER GARCIA</t>
  </si>
  <si>
    <t>TILA DEL CARMEN</t>
  </si>
  <si>
    <t>PEDRO GONZALES</t>
  </si>
  <si>
    <t>ANANIAS</t>
  </si>
  <si>
    <t>AMPARO</t>
  </si>
  <si>
    <t>CASTELLANO</t>
  </si>
  <si>
    <t>REJINA</t>
  </si>
  <si>
    <t>NINOCHKA DEL ALBA</t>
  </si>
  <si>
    <t>SILVIA</t>
  </si>
  <si>
    <t>MAGAÑAALEJANDRO</t>
  </si>
  <si>
    <t>RODOLFO</t>
  </si>
  <si>
    <t>LOURDES</t>
  </si>
  <si>
    <t>MARTIN</t>
  </si>
  <si>
    <t>VALERIA</t>
  </si>
  <si>
    <t>YURIDIANA</t>
  </si>
  <si>
    <t>ASUNCION</t>
  </si>
  <si>
    <t>OTILIA</t>
  </si>
  <si>
    <t>DAVID ENRIQUE</t>
  </si>
  <si>
    <t>RENAN</t>
  </si>
  <si>
    <t>JOSE ALFREDO</t>
  </si>
  <si>
    <t>COLLADO</t>
  </si>
  <si>
    <t>MAGAÑA</t>
  </si>
  <si>
    <t>LIGIA DEL CARMEN</t>
  </si>
  <si>
    <t>ARIZA</t>
  </si>
  <si>
    <t>ALARCOM</t>
  </si>
  <si>
    <t>ADRIANA</t>
  </si>
  <si>
    <t>LEIDY</t>
  </si>
  <si>
    <t>DELFIO</t>
  </si>
  <si>
    <t>MARIA EMMA</t>
  </si>
  <si>
    <t>MARIA SANTOS</t>
  </si>
  <si>
    <t>CAMPUS</t>
  </si>
  <si>
    <t>LECANO</t>
  </si>
  <si>
    <t>CARLOS RENE</t>
  </si>
  <si>
    <t>CARRILLO</t>
  </si>
  <si>
    <t>EGLAMOGA</t>
  </si>
  <si>
    <t>BARRALES</t>
  </si>
  <si>
    <t>MELO</t>
  </si>
  <si>
    <t>NURIS DEL CARMEN</t>
  </si>
  <si>
    <t>LEOPOLDO</t>
  </si>
  <si>
    <t>YSIDRO</t>
  </si>
  <si>
    <t>JOSE ASUNCION</t>
  </si>
  <si>
    <t>MARIA DE JESUS</t>
  </si>
  <si>
    <t>LARA</t>
  </si>
  <si>
    <t>ADAN</t>
  </si>
  <si>
    <t>HILDA</t>
  </si>
  <si>
    <t>MARIBELLY</t>
  </si>
  <si>
    <t>HIPOLITO</t>
  </si>
  <si>
    <t>GRACIELA</t>
  </si>
  <si>
    <t>HAVACUC</t>
  </si>
  <si>
    <t>QUIROS</t>
  </si>
  <si>
    <t>YZQUIERDO</t>
  </si>
  <si>
    <t>LUIS ENRIQUE</t>
  </si>
  <si>
    <t>MESALINA</t>
  </si>
  <si>
    <t>CANUL</t>
  </si>
  <si>
    <t>ANDREA</t>
  </si>
  <si>
    <t>CRISTOBAL</t>
  </si>
  <si>
    <t>ALFREDO</t>
  </si>
  <si>
    <t>HUMBERTO</t>
  </si>
  <si>
    <t>URIBE</t>
  </si>
  <si>
    <t>ANA BERTHA</t>
  </si>
  <si>
    <t>RAMONA</t>
  </si>
  <si>
    <t>ROMIAN</t>
  </si>
  <si>
    <t>LETICIA DEL CARMEN</t>
  </si>
  <si>
    <t>ALLENDE</t>
  </si>
  <si>
    <t>DE LEON</t>
  </si>
  <si>
    <t>ROMERO</t>
  </si>
  <si>
    <t>MARSORIA RUEDA</t>
  </si>
  <si>
    <t>SAUL</t>
  </si>
  <si>
    <t>LEDESMO</t>
  </si>
  <si>
    <t>GUSTAVO</t>
  </si>
  <si>
    <t>MARTHA</t>
  </si>
  <si>
    <t>CRISTINA</t>
  </si>
  <si>
    <t>TORREZ</t>
  </si>
  <si>
    <t>NOLASCO</t>
  </si>
  <si>
    <t>LEYDI DAIANA</t>
  </si>
  <si>
    <t>BARAHONA</t>
  </si>
  <si>
    <t>PARIS</t>
  </si>
  <si>
    <t>MONICA DEL CARMEN</t>
  </si>
  <si>
    <t>COFFIN</t>
  </si>
  <si>
    <t>JOSEFINA</t>
  </si>
  <si>
    <t>ELSY</t>
  </si>
  <si>
    <t>QUIROGA</t>
  </si>
  <si>
    <t>MARCIAL</t>
  </si>
  <si>
    <t>MATILDE</t>
  </si>
  <si>
    <t>ITENRRI ARMIN</t>
  </si>
  <si>
    <t>BUATISTA</t>
  </si>
  <si>
    <t>MOLLINEDO</t>
  </si>
  <si>
    <t>JOSE DEMERITO</t>
  </si>
  <si>
    <t>CARLOS IVAN</t>
  </si>
  <si>
    <t>MARIA TRINIDAD</t>
  </si>
  <si>
    <t>VENEGAS</t>
  </si>
  <si>
    <t>BURGOS</t>
  </si>
  <si>
    <t>AQUINO</t>
  </si>
  <si>
    <t>DEYSI</t>
  </si>
  <si>
    <t>FUENTES</t>
  </si>
  <si>
    <t>SAAVEDRA</t>
  </si>
  <si>
    <t>CARMEN</t>
  </si>
  <si>
    <t>TORRUCO</t>
  </si>
  <si>
    <t>INTERIANO</t>
  </si>
  <si>
    <t>JOSE ENRIQUE</t>
  </si>
  <si>
    <t>NERI</t>
  </si>
  <si>
    <t>CORTEZ</t>
  </si>
  <si>
    <t>ARCOS</t>
  </si>
  <si>
    <t>VITOR ALEJANDRO</t>
  </si>
  <si>
    <t>MURILLO</t>
  </si>
  <si>
    <t>IARA</t>
  </si>
  <si>
    <t>HUBORT</t>
  </si>
  <si>
    <t>EDGAR JAVIER</t>
  </si>
  <si>
    <t>ESTHER</t>
  </si>
  <si>
    <t>FAUSTINO</t>
  </si>
  <si>
    <t>BALAN</t>
  </si>
  <si>
    <t>ELIAS</t>
  </si>
  <si>
    <t>GERINO</t>
  </si>
  <si>
    <t>PEÑA</t>
  </si>
  <si>
    <t>DOLFINA</t>
  </si>
  <si>
    <t>CARLOS MARIO</t>
  </si>
  <si>
    <t>CABRERA</t>
  </si>
  <si>
    <t>MAGO</t>
  </si>
  <si>
    <t>NORMA YANET</t>
  </si>
  <si>
    <t>ROVIRA</t>
  </si>
  <si>
    <t>FELICIANO</t>
  </si>
  <si>
    <t>FRANCISCO JAVIER</t>
  </si>
  <si>
    <t>DAVID</t>
  </si>
  <si>
    <t>JESUS DEL CARMEN</t>
  </si>
  <si>
    <t>BRITO</t>
  </si>
  <si>
    <t>CARLOS ENRIQUE</t>
  </si>
  <si>
    <t>TORIBIO</t>
  </si>
  <si>
    <t>MIGUEL</t>
  </si>
  <si>
    <t>PERALTA</t>
  </si>
  <si>
    <t>YARELI</t>
  </si>
  <si>
    <t>ERICK EMANUEL</t>
  </si>
  <si>
    <t>ROSA CARMINA</t>
  </si>
  <si>
    <t>CACHO</t>
  </si>
  <si>
    <t>ISABEL</t>
  </si>
  <si>
    <t>GUERRERO</t>
  </si>
  <si>
    <t>ROSAS</t>
  </si>
  <si>
    <t>LETICIA</t>
  </si>
  <si>
    <t>ROXANA</t>
  </si>
  <si>
    <t>SOSA</t>
  </si>
  <si>
    <t>PRISCILA</t>
  </si>
  <si>
    <t>GABRIELA</t>
  </si>
  <si>
    <t>VERONICO</t>
  </si>
  <si>
    <t>QUE</t>
  </si>
  <si>
    <t>DOMINGA</t>
  </si>
  <si>
    <t>MEZA</t>
  </si>
  <si>
    <t>ROSIQUE</t>
  </si>
  <si>
    <t>MINEROP</t>
  </si>
  <si>
    <t>CONTRERAS</t>
  </si>
  <si>
    <t>DEYANIRA</t>
  </si>
  <si>
    <t>CONSUELO</t>
  </si>
  <si>
    <t>YOLANDA</t>
  </si>
  <si>
    <t>CABRERO</t>
  </si>
  <si>
    <t>HEIDI BETSY</t>
  </si>
  <si>
    <t>LIDIA</t>
  </si>
  <si>
    <t>LUZ DEL ALBA</t>
  </si>
  <si>
    <t>BEATRIZ</t>
  </si>
  <si>
    <t>HADDAD</t>
  </si>
  <si>
    <t>LILIANA</t>
  </si>
  <si>
    <t>ANGELINA</t>
  </si>
  <si>
    <t>ORLANDO</t>
  </si>
  <si>
    <t>WALTER</t>
  </si>
  <si>
    <t>CANDELARIA</t>
  </si>
  <si>
    <t>MARIELA DE LA CRUZ</t>
  </si>
  <si>
    <t>PEROGRA</t>
  </si>
  <si>
    <t>JESUS TRINIDAD</t>
  </si>
  <si>
    <t>HOLSTON</t>
  </si>
  <si>
    <t>IRIS</t>
  </si>
  <si>
    <t>BORCA</t>
  </si>
  <si>
    <t>BELLANIRA</t>
  </si>
  <si>
    <t>EDEN</t>
  </si>
  <si>
    <t>HIDALGO</t>
  </si>
  <si>
    <t>MARIA DEL ROSARIO</t>
  </si>
  <si>
    <t>RINCON</t>
  </si>
  <si>
    <t>LUIS</t>
  </si>
  <si>
    <t>VARGAS</t>
  </si>
  <si>
    <t>MANUEL DEL CARMEN</t>
  </si>
  <si>
    <t>ERGANZO</t>
  </si>
  <si>
    <t>MARIA ESTHER</t>
  </si>
  <si>
    <t>FERNANDO</t>
  </si>
  <si>
    <t>PLACIDO</t>
  </si>
  <si>
    <t>SARABIA</t>
  </si>
  <si>
    <t>VILLAVERDE</t>
  </si>
  <si>
    <t>LEONRILDA</t>
  </si>
  <si>
    <t>NURY</t>
  </si>
  <si>
    <t>JESSICA</t>
  </si>
  <si>
    <t>JOSE JESUS</t>
  </si>
  <si>
    <t>MARISELA</t>
  </si>
  <si>
    <t>TOMASA</t>
  </si>
  <si>
    <t>ESTEBAN</t>
  </si>
  <si>
    <t>CABERTA</t>
  </si>
  <si>
    <t>JAZMIN</t>
  </si>
  <si>
    <t>BRENDA</t>
  </si>
  <si>
    <t>LUIS ANGEL</t>
  </si>
  <si>
    <t>BERNABE</t>
  </si>
  <si>
    <t>CHUNG</t>
  </si>
  <si>
    <t>JUAN ANTONIO</t>
  </si>
  <si>
    <t>DANELY</t>
  </si>
  <si>
    <t>JESUS NOEL</t>
  </si>
  <si>
    <t>ANITA</t>
  </si>
  <si>
    <t>CORDVA</t>
  </si>
  <si>
    <t>NORMA</t>
  </si>
  <si>
    <t>WILFRIDO</t>
  </si>
  <si>
    <t>ESTIADAS</t>
  </si>
  <si>
    <t>JOAQUIN</t>
  </si>
  <si>
    <t>ZURISADA</t>
  </si>
  <si>
    <t>IZQUERDO</t>
  </si>
  <si>
    <t>BERTHA LILA</t>
  </si>
  <si>
    <t>CAMACHO</t>
  </si>
  <si>
    <t>ANA CRISTEL</t>
  </si>
  <si>
    <t>DE LA PEÑA</t>
  </si>
  <si>
    <t>ANGELICA GEORGINA</t>
  </si>
  <si>
    <t>TELMA</t>
  </si>
  <si>
    <t>ANA ELLDIRA</t>
  </si>
  <si>
    <t>SOBERANO</t>
  </si>
  <si>
    <t>EDWIN</t>
  </si>
  <si>
    <t>AURA</t>
  </si>
  <si>
    <t>APOLANIA</t>
  </si>
  <si>
    <t>ELIZABETH</t>
  </si>
  <si>
    <t>DELIA</t>
  </si>
  <si>
    <t>AMANDA</t>
  </si>
  <si>
    <t>ALPUCHE</t>
  </si>
  <si>
    <t>YRMA</t>
  </si>
  <si>
    <t>PRESENDA</t>
  </si>
  <si>
    <t>ULBARAN</t>
  </si>
  <si>
    <t>MARIA ANTONIA</t>
  </si>
  <si>
    <t>SAULO</t>
  </si>
  <si>
    <t>SILVANO</t>
  </si>
  <si>
    <t>ANALLELY</t>
  </si>
  <si>
    <t>JOSEFA</t>
  </si>
  <si>
    <t>CORREA</t>
  </si>
  <si>
    <t>VENTURA</t>
  </si>
  <si>
    <t>GIL</t>
  </si>
  <si>
    <t>FIDEL</t>
  </si>
  <si>
    <t>KARINA</t>
  </si>
  <si>
    <t>PIMIENTA</t>
  </si>
  <si>
    <t>NERY</t>
  </si>
  <si>
    <t>DANIEL GILBERTO</t>
  </si>
  <si>
    <t>JOSE MARIA</t>
  </si>
  <si>
    <t>MAY</t>
  </si>
  <si>
    <t>NICOLAS CURIEL</t>
  </si>
  <si>
    <t>EDILIA VERA</t>
  </si>
  <si>
    <t>ISAI LEON</t>
  </si>
  <si>
    <t>PALACIOS</t>
  </si>
  <si>
    <t>ARMANDO LOPEZ</t>
  </si>
  <si>
    <t>MICAELA HERNANDEZ</t>
  </si>
  <si>
    <t>ARTURO CADENA</t>
  </si>
  <si>
    <t>LUGO</t>
  </si>
  <si>
    <t>YADIRA CARBALLO</t>
  </si>
  <si>
    <t>RIQUELME VENTURA</t>
  </si>
  <si>
    <t>HENRY</t>
  </si>
  <si>
    <t>MATIAS BRITO</t>
  </si>
  <si>
    <t>MOLINO</t>
  </si>
  <si>
    <t>VALERIA GUADALUPE</t>
  </si>
  <si>
    <t>GUTIERRES</t>
  </si>
  <si>
    <t>DIANA ISABEL</t>
  </si>
  <si>
    <t>ALFREDO CADENAS</t>
  </si>
  <si>
    <t>MIGUEL HERNANDEZ</t>
  </si>
  <si>
    <t>DE LA CRZ</t>
  </si>
  <si>
    <t>JAIRO GEOVANY</t>
  </si>
  <si>
    <t>RAUL ULIN</t>
  </si>
  <si>
    <t>GUILLERMO ALBERTO</t>
  </si>
  <si>
    <t>CARLOS MANUEL</t>
  </si>
  <si>
    <t>MARIA ADELINA</t>
  </si>
  <si>
    <t>LUIS ALFREDO</t>
  </si>
  <si>
    <t>FLORICEL DE LA CRUZ</t>
  </si>
  <si>
    <t>PONS</t>
  </si>
  <si>
    <t>MARIA ELDDID</t>
  </si>
  <si>
    <t>JEREMIAS LEON</t>
  </si>
  <si>
    <t>ZARA</t>
  </si>
  <si>
    <t>FIDENCIA HERNANDEZ</t>
  </si>
  <si>
    <t>SOCORRO VIDAL</t>
  </si>
  <si>
    <t>DARVELIA HERNANDFEZ</t>
  </si>
  <si>
    <t>JOSE LUIS</t>
  </si>
  <si>
    <t>OFELIA</t>
  </si>
  <si>
    <t>ALFREDO LINO</t>
  </si>
  <si>
    <t>LUCERO AQUINO</t>
  </si>
  <si>
    <t>SANTA TERESITA</t>
  </si>
  <si>
    <t>FELIPE DE JESUS</t>
  </si>
  <si>
    <t>GERARDO</t>
  </si>
  <si>
    <t>ZURISARA OLAN</t>
  </si>
  <si>
    <t>DANTE SUMANO</t>
  </si>
  <si>
    <t>LETICIA MENDEZ</t>
  </si>
  <si>
    <t>LILLY JIMENEZ</t>
  </si>
  <si>
    <t>GUMERCINDA ROMAN</t>
  </si>
  <si>
    <t>LARISA SULEIMA</t>
  </si>
  <si>
    <t>HECTOR DANIEL</t>
  </si>
  <si>
    <t>ALEJANDRA GERONIMO</t>
  </si>
  <si>
    <t>DEYANIRA HERNANDEZ</t>
  </si>
  <si>
    <t>CALLE SANTO DOMINGO CASA NUMERO 95</t>
  </si>
  <si>
    <t>CALLE PRINCIPAL AL INGENIERO ZARAGOZA RODRIGUEZ RIVERA</t>
  </si>
  <si>
    <t>CALLE NUMERO 8 CASA NUMERO 212</t>
  </si>
  <si>
    <t>CARRETERA A TULIPAN SIN NUMERO</t>
  </si>
  <si>
    <t>CALLE PRINCIPAL CALLE 1 AREA VERDE NUMERO 231</t>
  </si>
  <si>
    <t>CALLE PRINCIPAL SIN NUMERO</t>
  </si>
  <si>
    <t>CALLE NUMERO 2 CASA BUMERO 58</t>
  </si>
  <si>
    <t>CALLE DE LA ESCUELA SIN NUMERO</t>
  </si>
  <si>
    <t>CALLE PRINCIPAL FRENTE AL CAMPO</t>
  </si>
  <si>
    <t>CALLE DOMINGO BORREGO NUMERO 25</t>
  </si>
  <si>
    <t>CALLE DE LA PREPA</t>
  </si>
  <si>
    <t xml:space="preserve">CALLE PRINCIPAL </t>
  </si>
  <si>
    <t>CALLE HERMENEGILDO OSOSRIO CASA NUMERO 04</t>
  </si>
  <si>
    <t>CALLE NUMEO 6 CASA NUMERO 170</t>
  </si>
  <si>
    <t>CARRETERA PRINCIPAL SIN NUMERO</t>
  </si>
  <si>
    <t>CARRETERA A LA COLMENA</t>
  </si>
  <si>
    <t>CARRETERA CARDENAS COMALCALCO SIN  NUMERO</t>
  </si>
  <si>
    <t xml:space="preserve"> CALLE NUMERO 12 AMPLIACION SIN NOMBRE</t>
  </si>
  <si>
    <t>CALLE NUMERO 3 AMPLIACION SIN NUMERO</t>
  </si>
  <si>
    <t>CALLE NUMERO 3 CASA NUMERO 117</t>
  </si>
  <si>
    <t xml:space="preserve">CALLE NUMERO 2  </t>
  </si>
  <si>
    <t>CALLE NUMERO 2 EMILIANO ZAPATA</t>
  </si>
  <si>
    <t>CALLE NUMERO 1 CASA NUMERO 37</t>
  </si>
  <si>
    <t>CALLE NUMERO 1 CASA NUMERO 23</t>
  </si>
  <si>
    <t>CALLE NUMERO 1 ADOLFO RUIZ CORTINEZ CASA NUMERO 23</t>
  </si>
  <si>
    <t>CALLE NUMERO 2 GREGORIO MENDEZ MAGAÑA SIN NUEMRO</t>
  </si>
  <si>
    <t>CALLE ISORA SIN NUMERO</t>
  </si>
  <si>
    <t>CALLE NICOLAZA CANO, CASA NUMERO 20</t>
  </si>
  <si>
    <t>CALLE SIN NUMERO LOTE NUMERO 25 Y 26</t>
  </si>
  <si>
    <t>CALLE CUAUHTEMOC NUMERO 171</t>
  </si>
  <si>
    <t>CALLE NUMERO 1 SIN NOMBRE</t>
  </si>
  <si>
    <t xml:space="preserve">CALLE UNO SIN NUMERO </t>
  </si>
  <si>
    <t>ANDADOR PIMIENTA CALLE NUMERO 12 LOTE 18</t>
  </si>
  <si>
    <t>CALLE CUAUHTEMOC NUMERO 909 B</t>
  </si>
  <si>
    <t>CALLE RAMON LOPE ZVELARDE CASA NUMERO 21</t>
  </si>
  <si>
    <t>CALLE RIO CARRIZAL MANZANA 22 LOTE NUMERO 9</t>
  </si>
  <si>
    <t>CALLE NICOLASA CANO DE DOMINGUEZ NUMERO 5</t>
  </si>
  <si>
    <t>AVENIDA CAÑAVERAL SIN NUMERO</t>
  </si>
  <si>
    <t>CALLE NUMERO 4 MANZANA NUMERO 3</t>
  </si>
  <si>
    <t>CALLE MARGARITAS SIN NUMERO</t>
  </si>
  <si>
    <t>CALLE RICARDO FLORES MAGON</t>
  </si>
  <si>
    <t>CALLE ENTRE 7 Y 8</t>
  </si>
  <si>
    <t>CARRETERA PRINCIPAL CASA NUMERO 24</t>
  </si>
  <si>
    <t>CARRETERA PRINCIPAL A LAS FLORES</t>
  </si>
  <si>
    <t xml:space="preserve">CARRETERA PRINCIPAL SIN NUMERO </t>
  </si>
  <si>
    <t>CALLE CATALINA MARTINEZ CASA NUMERO 47</t>
  </si>
  <si>
    <t>CALLE PRINCIPAL DE TERRACERA SIN NUMERO</t>
  </si>
  <si>
    <t>CALLE DANIEL GAMAS CASA NUMERO 11</t>
  </si>
  <si>
    <t>CERRADA DE FRAMBOYAN</t>
  </si>
  <si>
    <t xml:space="preserve">CALLE CAÑA DE BENGALA NUMERO </t>
  </si>
  <si>
    <t>CALLE FRANCISCO VILLA SIN NUMERO</t>
  </si>
  <si>
    <t>CERRADA AZUCENA CASA NUMERO 10</t>
  </si>
  <si>
    <t>ANDADOR JOBO SIN NUMERO</t>
  </si>
  <si>
    <t>CALLE ALCATRACES MANZANA 2 LOTE 21</t>
  </si>
  <si>
    <t>CALLE LAS PALMAS</t>
  </si>
  <si>
    <t>AVENIDA CAÑAVERAL MANZANA 3 LOTE 40</t>
  </si>
  <si>
    <t>ENTRADA DEL PUENTE EL UVERO</t>
  </si>
  <si>
    <t>CARRETERA PRNCIPAL SIN NUMERO</t>
  </si>
  <si>
    <t>CARRETERA A MONTE GRANDE</t>
  </si>
  <si>
    <t>CALLLE MALINCHE 202 ALTOS</t>
  </si>
  <si>
    <t>ENTRADA DEL COBATAB SIN NOMBRE</t>
  </si>
  <si>
    <t>CERRADA LOPEZ VELARDE</t>
  </si>
  <si>
    <t>CALLE NUMERO 5 CASA NUMERO 117</t>
  </si>
  <si>
    <t xml:space="preserve">CALLE NUMERO 7 SIN NUMERO </t>
  </si>
  <si>
    <t xml:space="preserve">CALLE NUMERO 6 </t>
  </si>
  <si>
    <t>PERIFERICO CARLOS A MOLINA SIN NUMERO</t>
  </si>
  <si>
    <t>CALLE CORREA NUMERO 3</t>
  </si>
  <si>
    <t>ANDADOR NUMERO 4 CASA NUMERO 1</t>
  </si>
  <si>
    <t>CALLE JOSE MARIA MORELOS Y PAVON SIN NUMERO</t>
  </si>
  <si>
    <t>CALLE ARMADILLO CASA NUMERO 342</t>
  </si>
  <si>
    <t>CARRETERA CARDENAS COMALCALCO KILOMETRO 1 INTERIOR 1</t>
  </si>
  <si>
    <t>CALLE FERNANDO ORTIZ</t>
  </si>
  <si>
    <t>AVENIDA NUMERO 3 CASA NUMERO 136</t>
  </si>
  <si>
    <t>CALLE TATUANJ ESQUINA CON CEIBA</t>
  </si>
  <si>
    <t>CARRETERA PRINCIPAL SIN  NUMERO</t>
  </si>
  <si>
    <t>CARRETERA A LA SEIS SIN NOMBRE</t>
  </si>
  <si>
    <t>CALLE IGNACIO ZARAGOZA SIN NUMERO</t>
  </si>
  <si>
    <t>CALLE NUMERO 1 CASA NUMERO 47</t>
  </si>
  <si>
    <t xml:space="preserve">CARRETERA A CALZADA SIN NUMERO </t>
  </si>
  <si>
    <t>CARRETERA TULIPAN CUNDUACAN SIN NUMERO</t>
  </si>
  <si>
    <t>CARRETERA CARDENAS-COATZACOALCOS KILOMETRO 113</t>
  </si>
  <si>
    <t>CARRETERA A MONTE GRANDE SIN NUMERO</t>
  </si>
  <si>
    <t>CALLEJON DE ACCESO NUMERO 5</t>
  </si>
  <si>
    <t>CALLE JACINTO LOPEZ</t>
  </si>
  <si>
    <t>CARRETERA A SANTA ROSA SIN NUMERO</t>
  </si>
  <si>
    <t>CALLE GREGORIO MENDEZ CASA NUMERO 9</t>
  </si>
  <si>
    <t>CALLE NUMERO 3 SIN NOMBRE</t>
  </si>
  <si>
    <t xml:space="preserve">ANDADOR LAS GLADIOLAS </t>
  </si>
  <si>
    <t>CARRETERA CARDENAS-COMALCALCO SIN NUMERO</t>
  </si>
  <si>
    <t>COLONIA LAS PALMAS</t>
  </si>
  <si>
    <t>CARRETERA AL TULAR SIN NUMERO</t>
  </si>
  <si>
    <t>CALLE FELICTA JIMENEZ GOMEZ LOTE NUMERO 6</t>
  </si>
  <si>
    <t>CALLE MIGUEL HIDALGO</t>
  </si>
  <si>
    <t xml:space="preserve">CALLE TOMAS GARRIDO CANABAL NUMERO 106 </t>
  </si>
  <si>
    <t>CONGREGACION IGNACIO ZARAGOZA</t>
  </si>
  <si>
    <t>CALLE NUMERO 1 CASA NUMERO 15</t>
  </si>
  <si>
    <t>PLAZA MAURILIO ALFARO NUMERO 9</t>
  </si>
  <si>
    <t>CALLE FRONTERA</t>
  </si>
  <si>
    <t>CALLE A ZAMUDIO</t>
  </si>
  <si>
    <t>CARRETERA A MONTERREY SIN NUMERO</t>
  </si>
  <si>
    <t>CALLE PRINCIPAL NUMERO 23 A</t>
  </si>
  <si>
    <t>CARRETERA AL POBLADO C-31 SIN NUMERO</t>
  </si>
  <si>
    <t>CALLE JOSE MARTIN NUMERO 37</t>
  </si>
  <si>
    <t>PROLONGACION IGANACIO GUTIERREZ NUMEO 4</t>
  </si>
  <si>
    <t>CALLE UNO CASA NUMERO 2</t>
  </si>
  <si>
    <t xml:space="preserve">CALLE MIGUEL HIDALGO Y COSTILLA </t>
  </si>
  <si>
    <t>CALLE JOSEFA ORTIZ DE DOMINGUEZ CASA NUMERO 296</t>
  </si>
  <si>
    <t>CALLE NUMERO 2 LOTE NUMERO 84</t>
  </si>
  <si>
    <t>CALLE GREGORIO MENDEZ NUMERO 207 INTERIOR 3</t>
  </si>
  <si>
    <t>CALLE CUAUHTEMOC NUMERO 808 A</t>
  </si>
  <si>
    <t xml:space="preserve">1RA CERRADA VICENTE GUERRERO </t>
  </si>
  <si>
    <t>CALLE ARGENTINA CASA NUMERO 5</t>
  </si>
  <si>
    <t>CALLE CHACALA SIN NUMERO</t>
  </si>
  <si>
    <t>CALLE NARCISO MENDOZA</t>
  </si>
  <si>
    <t>CALLE SANTOS DEGOLLADO</t>
  </si>
  <si>
    <t>CARLOS MOLINA SIN NUMERO</t>
  </si>
  <si>
    <t>COLONIA SANTA TERESA</t>
  </si>
  <si>
    <t xml:space="preserve">CALLE LA CEIBA SIN NUMERO </t>
  </si>
  <si>
    <t>CALLE PRINCIPAL NUMERO 25</t>
  </si>
  <si>
    <t>CARRETERA PERIFERICO CARLOS A MOLINA SIN NUMERO</t>
  </si>
  <si>
    <t>CALLLE NUMERO 2 CASA NUMERO 36</t>
  </si>
  <si>
    <t>CALLE DANIEL GAMAS CASA NUMERO 51</t>
  </si>
  <si>
    <t>CALLE RIO CUXCUCHAPA CASA NUMERO 120</t>
  </si>
  <si>
    <t xml:space="preserve">CALLE ROSALES CASA NUMERO 8 </t>
  </si>
  <si>
    <t>CALLE NUMERO 4 CASA NUMERO 66</t>
  </si>
  <si>
    <t>CALLE BONIFACIO OLVERA SANCHEZ SIN NUMERO</t>
  </si>
  <si>
    <t>1RA CERRADA DE OCAMPO</t>
  </si>
  <si>
    <t>CARRETERA A CALZADA SIN NUMERO</t>
  </si>
  <si>
    <t>CARRETERA PRINCIPAL CASA NUMERO 39</t>
  </si>
  <si>
    <t xml:space="preserve">CALLE USUMACINTA </t>
  </si>
  <si>
    <t>CARRETERA PRINCIPAL A MANTILLA</t>
  </si>
  <si>
    <t>CALLE NUMERO 8 CASA NUMERO 6</t>
  </si>
  <si>
    <t>CARRETERA AL PANTEON</t>
  </si>
  <si>
    <t>CALLE JOSE ANGEL GOMEZ MAY SIN NUMERO</t>
  </si>
  <si>
    <t>CALLE NUMERO 2</t>
  </si>
  <si>
    <t>CALLE MANUEL LOPEZ</t>
  </si>
  <si>
    <t>CALLE ROSALES SIN NUMERO</t>
  </si>
  <si>
    <t>ANDADOR PERIFERICO NUMERO 212</t>
  </si>
  <si>
    <t>CALLE PERIFERICO CARLOS A MOLINA NUMERO 39</t>
  </si>
  <si>
    <t>CERRADA DE GASODUCTO</t>
  </si>
  <si>
    <t>ANDADOR CACAO SUR MANZANA 16 LOTE 8</t>
  </si>
  <si>
    <t xml:space="preserve">CALLE NUEVA SIN NUMERO  </t>
  </si>
  <si>
    <t>CARRETERA AL PALMAR SIN NUMERO</t>
  </si>
  <si>
    <t>CARRETERA PRINCIPAL</t>
  </si>
  <si>
    <t>CALLE DEL CAMPO SIN NUMERO</t>
  </si>
  <si>
    <t>CARRETERA FEDERAL CARDENAS-COMALCALCO SIN NUMERO</t>
  </si>
  <si>
    <t>CARRETERA CARDENAS A TULIPAN SIN NUMERO</t>
  </si>
  <si>
    <t xml:space="preserve">CALLEJON DE ACCESO NUMERO 5 </t>
  </si>
  <si>
    <t xml:space="preserve">CALLE NARCISO MENDOZA NUMERO 22 </t>
  </si>
  <si>
    <t>COLONIA JACINTO LOPEZ</t>
  </si>
  <si>
    <t xml:space="preserve">PERIFERICO </t>
  </si>
  <si>
    <t>CALLE NUMERO 1 LAZARO CARDENAS</t>
  </si>
  <si>
    <t xml:space="preserve">CARRETERA PRINCIPAL </t>
  </si>
  <si>
    <t>CALLE ARABIA NUMERO 7</t>
  </si>
  <si>
    <t xml:space="preserve">CALLE EL ARROZ </t>
  </si>
  <si>
    <t xml:space="preserve">COLONIA LAZARO CARDENAS </t>
  </si>
  <si>
    <t xml:space="preserve">CALLE ALVARO OBREGON NUMERO 3 </t>
  </si>
  <si>
    <t xml:space="preserve">CALLE ARGENTINA CASA NUMERO 5 </t>
  </si>
  <si>
    <t xml:space="preserve">CALLE JACINTO LOPEZ </t>
  </si>
  <si>
    <t>CARRETERA AL POBLADO C-31</t>
  </si>
  <si>
    <t>CALLE CARLOS MOLINA 39 CARRETERA PERIFERICO</t>
  </si>
  <si>
    <t xml:space="preserve">CALLE GREGORIO MENDEZ 207 INTERIOR 3 </t>
  </si>
  <si>
    <t xml:space="preserve">ENTRADA POR LA CEIBA </t>
  </si>
  <si>
    <t xml:space="preserve">CARRETERA NORTE 10 SIN NOMBRE </t>
  </si>
  <si>
    <t>CARRETERA RUMBO A SANTA ROSALIA</t>
  </si>
  <si>
    <t>CARRETERA A SANTA ROSALIA KILOMETRO 10</t>
  </si>
  <si>
    <t>RANCHERIA GREGORIO MENDEZ PRIMERA SECCION</t>
  </si>
  <si>
    <t>MOCTEZUMA</t>
  </si>
  <si>
    <t>CARRETERA A POTRERITOS SIN NUMERO</t>
  </si>
  <si>
    <t>FRANCISCO I MADERO</t>
  </si>
  <si>
    <t>CARRETERA VECINAL PARAISO COMALCALCO</t>
  </si>
  <si>
    <t>ENTRADA DON TICO</t>
  </si>
  <si>
    <t>CARRETERA A GREGORIO MENDEZ</t>
  </si>
  <si>
    <t>CARRETERA NORTE NUMERO 10 SIN NUMERO</t>
  </si>
  <si>
    <t>CALLE DEL TEMPLO</t>
  </si>
  <si>
    <t>SAN FRANCISCO</t>
  </si>
  <si>
    <t>CARRETERA FEDERAL COMALCALCO PARAISO</t>
  </si>
  <si>
    <t>CALLE LAZARO CARDENAS</t>
  </si>
  <si>
    <t>RANCHERIA OCCIDENTE SEGUNDA</t>
  </si>
  <si>
    <t>CARRETERA A SAN FRANCISCO</t>
  </si>
  <si>
    <t>CARRETERA COMALCALCO PARAISO</t>
  </si>
  <si>
    <t xml:space="preserve">CARRETERA ARTURO FLORES </t>
  </si>
  <si>
    <t xml:space="preserve">RANCHERIA PRIMERA SECCION </t>
  </si>
  <si>
    <t>RANCHERIA ORIENTE SEGUNDA SECCION</t>
  </si>
  <si>
    <t>CALLE DOROTEO ARANGO</t>
  </si>
  <si>
    <t>VICENTE GUERRERO</t>
  </si>
  <si>
    <t>CALLE FRONTERA NUMERO 7</t>
  </si>
  <si>
    <t xml:space="preserve">CALLE NUMERO 5 DE MAYO </t>
  </si>
  <si>
    <t>CALLE CALZADA NUMERO 419</t>
  </si>
  <si>
    <t>CALLE JOSE JIMENEZ Y CALLEJON EL TAMARINDO</t>
  </si>
  <si>
    <t>CERRADA NARCIZO</t>
  </si>
  <si>
    <t>UNIDAD HABITACIONAL INFONAVIT DEPORTIVA</t>
  </si>
  <si>
    <t xml:space="preserve">CALLE TOMAS GARRIDO </t>
  </si>
  <si>
    <t>CALLE XICOTENCATL</t>
  </si>
  <si>
    <t>CALLE MIGUEL NOVEROLA</t>
  </si>
  <si>
    <t>CALLE ERNESTO AGUIRRE COLORADO</t>
  </si>
  <si>
    <t>CARRETERA A PINO SUAREZ SIN NUMERO</t>
  </si>
  <si>
    <t>CARRETERA A VILLA ALDAMA SIN NUMERO</t>
  </si>
  <si>
    <t>CARRETERA COCOHITAL SIN NUMERO</t>
  </si>
  <si>
    <t>CARRETERA JOSE MARIA PINO SUAREZ</t>
  </si>
  <si>
    <t>RANCHERIA LAZARO CARDENAS SEGUNDA SECCION</t>
  </si>
  <si>
    <t>CALLE ALDAMA</t>
  </si>
  <si>
    <t>IGNACIO GUTIERREZ</t>
  </si>
  <si>
    <t>RANCHERIA OCCIDENTE PRIMERA SECCION</t>
  </si>
  <si>
    <t>CARRETERA A TECOLUTILLA SIN NUMERO</t>
  </si>
  <si>
    <t>COLONIA SAN SILVIRIO AMADO NUEVO</t>
  </si>
  <si>
    <t>CARRETERA A LA LUCHA</t>
  </si>
  <si>
    <t>COLONIA LEANDRO ROVIROSA WADE</t>
  </si>
  <si>
    <t>RANCHERIA SUR CUARTA SECION</t>
  </si>
  <si>
    <t>COLONIA TOMAS GARRIDO</t>
  </si>
  <si>
    <t>CALLE NIÑOS HEROES</t>
  </si>
  <si>
    <t xml:space="preserve">RANCHERIA SANTANA SEGUNDA SECCION </t>
  </si>
  <si>
    <t>CALLE SANCHEZ MAGALLANES SIN NUMERO</t>
  </si>
  <si>
    <t>CARRETERA FEDERAL COMALCALCO CARDENAS</t>
  </si>
  <si>
    <t>CARRETERA A CHILTEPEC</t>
  </si>
  <si>
    <t>NICOLAS BRAVO TERCERA SECCION</t>
  </si>
  <si>
    <t>ENTRADA LOS CAÑALES SIN NUMERO</t>
  </si>
  <si>
    <t xml:space="preserve">RANCHERIA SUR SEGUNDA SECCION </t>
  </si>
  <si>
    <t xml:space="preserve">EJIDO ORIENTE </t>
  </si>
  <si>
    <t>CARRETERA A COMUNAL</t>
  </si>
  <si>
    <t>CARRETERA VECINAL COMALCALCO TULIPAN</t>
  </si>
  <si>
    <t>RANCHERIA SUR PRIMERA SECCION</t>
  </si>
  <si>
    <t>ENTRADA EL CAMINO AGRARIO SIN NUMERO</t>
  </si>
  <si>
    <t>CARRETERA VECINAL A TULIPAN SIN NUMERO</t>
  </si>
  <si>
    <t>CALLE CAYETANO</t>
  </si>
  <si>
    <t>CALLE ROSANDO TARACONA</t>
  </si>
  <si>
    <t>CARRETERA A LA IGLESIA CATOLICA</t>
  </si>
  <si>
    <t>RANCHERIA ORIENTE SEXTA</t>
  </si>
  <si>
    <t>CARRETERA VECINAL</t>
  </si>
  <si>
    <t xml:space="preserve">RANCHERIA REYES HERNANDEZ PRIMERA SECCION </t>
  </si>
  <si>
    <t>VILLA TECOLUTILLA</t>
  </si>
  <si>
    <t xml:space="preserve">RANCHERIA BETANIA </t>
  </si>
  <si>
    <t>RANCHERIA PATASTAL SEGUNDA SECCION</t>
  </si>
  <si>
    <t xml:space="preserve">AQUILES CALDERON </t>
  </si>
  <si>
    <t xml:space="preserve">CALLE HOMBRES DEL SURESTE </t>
  </si>
  <si>
    <t>CALLE CINCO</t>
  </si>
  <si>
    <t xml:space="preserve">CALLE NUMERO SEIS </t>
  </si>
  <si>
    <t xml:space="preserve">CALLE NUMERO SIETE </t>
  </si>
  <si>
    <t xml:space="preserve">CALLEJON LAS CAROLINAS </t>
  </si>
  <si>
    <t xml:space="preserve">CALLE AQUILES SERDAN </t>
  </si>
  <si>
    <t xml:space="preserve">ENTRADA POR LA CARNICERIA </t>
  </si>
  <si>
    <t xml:space="preserve">CARRETERA DE LA TERRACERIA </t>
  </si>
  <si>
    <t xml:space="preserve">CALLE ABRAHAM BANDALA </t>
  </si>
  <si>
    <t xml:space="preserve">CALLE TULIPANES </t>
  </si>
  <si>
    <t xml:space="preserve">ENFRENTE DE AGUA CRISTAL </t>
  </si>
  <si>
    <t xml:space="preserve">CALLE ESCUELA DE MEDICINA </t>
  </si>
  <si>
    <t xml:space="preserve">CALLE SIN NOMBRE </t>
  </si>
  <si>
    <t xml:space="preserve">CALLE SANTO DEGOLLADO </t>
  </si>
  <si>
    <t xml:space="preserve">CALLE DE LA ESCUELA </t>
  </si>
  <si>
    <t xml:space="preserve">CALLE ARABIA </t>
  </si>
  <si>
    <t>CAMINO A RIO SECO Y MONTAÑA</t>
  </si>
  <si>
    <t xml:space="preserve">CALLE SACUA </t>
  </si>
  <si>
    <t xml:space="preserve">CALLE EL MANGO </t>
  </si>
  <si>
    <t xml:space="preserve">EL ENCANTO </t>
  </si>
  <si>
    <t>RANCHERIA PASO Y PLAYA</t>
  </si>
  <si>
    <t xml:space="preserve">CALLE GUADALUPE VICTORIA </t>
  </si>
  <si>
    <t>EJIDO MIAHUATLAN SAN ANTONIO</t>
  </si>
  <si>
    <t>COLONIA BAJIO</t>
  </si>
  <si>
    <t xml:space="preserve">CARDENA SEGUNDA SECCION </t>
  </si>
  <si>
    <t>CUCUYULAPA SEGUNDA SECCION (PUENTE SAMARIA)</t>
  </si>
  <si>
    <t xml:space="preserve">A 100 METRO DE LA IGLESIA CATOLICA </t>
  </si>
  <si>
    <t>A 50 METROS DE LA ENTRADA DEL YERSI</t>
  </si>
  <si>
    <t xml:space="preserve">ENFRENTE DE LA IGLESIA SANTA CECILIA </t>
  </si>
  <si>
    <t xml:space="preserve">CALLE FRANCISCO GONZALES </t>
  </si>
  <si>
    <t xml:space="preserve">CALLE JOSEFA ORTIZ DE DOMINGUEZ </t>
  </si>
  <si>
    <t>CALLE SANTA MARIA PERIFERICO</t>
  </si>
  <si>
    <t xml:space="preserve">CAMINO VECINAL </t>
  </si>
  <si>
    <t xml:space="preserve">PASANDO EL YERSI </t>
  </si>
  <si>
    <t xml:space="preserve">CALLE VECINAL </t>
  </si>
  <si>
    <t>CALLE 14</t>
  </si>
  <si>
    <t>LADO NORTE</t>
  </si>
  <si>
    <t xml:space="preserve">AVENIDA EL RETEN </t>
  </si>
  <si>
    <t xml:space="preserve">CARRETERA DEL RETEN </t>
  </si>
  <si>
    <t xml:space="preserve">CALLE MONTE DE OCA </t>
  </si>
  <si>
    <t>CARRETERA CARDENAS A COMALCALCO</t>
  </si>
  <si>
    <t xml:space="preserve">CERRADA SAN MARCO </t>
  </si>
  <si>
    <t>CARRETERA AL CASTAÑO</t>
  </si>
  <si>
    <t xml:space="preserve">CARRETERA CARDENAS A VILLAHERMOSA </t>
  </si>
  <si>
    <t xml:space="preserve">CARRETERA VIA CORTA A HUIMANGUILLO </t>
  </si>
  <si>
    <t xml:space="preserve">CALLE SIN NUMERO </t>
  </si>
  <si>
    <t xml:space="preserve">CALLE NUMERO 1 </t>
  </si>
  <si>
    <t xml:space="preserve">CALLE 27 DE FEBRERO </t>
  </si>
  <si>
    <t xml:space="preserve">BAJIO PRIMERA SECCION </t>
  </si>
  <si>
    <t>ENTRADA AL UVERO</t>
  </si>
  <si>
    <t>CALLE PRINCIPAL</t>
  </si>
  <si>
    <t>A DOS CASAS DEL TANQUE</t>
  </si>
  <si>
    <t>CARRETERA FEDERAL PARAISO - COMALCALCO</t>
  </si>
  <si>
    <t>CALLE MANCEL SAUREZ HERRERA</t>
  </si>
  <si>
    <t>CALLE TULIPAN</t>
  </si>
  <si>
    <t>CALLE GUTIERREZ ZAMORA NUMERO 298</t>
  </si>
  <si>
    <t>CALLE 5 DE MAYO SIN NUMERO</t>
  </si>
  <si>
    <t xml:space="preserve">CALLE VERACRUZ </t>
  </si>
  <si>
    <t>CERRADA AQUILES SERDAN</t>
  </si>
  <si>
    <t>PRIMERA ENTRADA DE LA ISLITA SIN NUMERO</t>
  </si>
  <si>
    <t>CARRETERA VECINAL PARAISO - COMALCALCO</t>
  </si>
  <si>
    <t>ENTRADA LA BIBLIOTECA SIN NUMERO</t>
  </si>
  <si>
    <t>ENTRADA LOS ARIAS 2 AL FINAL A UN COSTADO DE PURIFICADORA</t>
  </si>
  <si>
    <t>ENTRADA DE LOS ARIAS</t>
  </si>
  <si>
    <t>CALLE LOS CORDOVA PEREZ</t>
  </si>
  <si>
    <t>CARRETERA PRINCIPAL LAS FLORES</t>
  </si>
  <si>
    <t>FRENTE A LA ESCUELA PRIMARIA GABINO BARRERA</t>
  </si>
  <si>
    <t>CALLE BENIGNO CARRILLO</t>
  </si>
  <si>
    <t xml:space="preserve">CALLE JOSE MARIA MORELOS 415 </t>
  </si>
  <si>
    <t>PROLONGACION 5 DE MAYO</t>
  </si>
  <si>
    <t>EN LA ENTRADA DEL ESCRIBANO</t>
  </si>
  <si>
    <t>CARRETERA A LAS FLORES SIN NUMERO</t>
  </si>
  <si>
    <t>ENTRADA EL CAMPAMENTO</t>
  </si>
  <si>
    <t>ATRÁS DEL KINDER</t>
  </si>
  <si>
    <t>ENTRADA A UN COSTADO DE CASA AMARILLA</t>
  </si>
  <si>
    <t>CALLE GUTIERREZ ZAMORA SIN NUMERO</t>
  </si>
  <si>
    <t>ENTRADA SANTA CRUZ</t>
  </si>
  <si>
    <t>CALLE MIGUEL LERDO NUMERO 704</t>
  </si>
  <si>
    <t>CALLE PRIMERA CERRADA 5 DE MAYO</t>
  </si>
  <si>
    <t>CALLE 8 NUMERO 139</t>
  </si>
  <si>
    <t>CALLE 7 NUMERO 196</t>
  </si>
  <si>
    <t>CARRETERA VECINAL SIN NUMERO</t>
  </si>
  <si>
    <t>CALLE LOS BROCA SIN NUMERO</t>
  </si>
  <si>
    <t>ENTRADA DE SANDOVAL O EL PASO HACIA LA COLINA</t>
  </si>
  <si>
    <t>CALLE SANTA TERESA</t>
  </si>
  <si>
    <t>CALLE EL ROSARIO NUMERO 255</t>
  </si>
  <si>
    <t>CALLE JULIAN MONTEJO SIN NUMERO</t>
  </si>
  <si>
    <t>CALLE ENTRADA DEL PASO O SANDOVAL SIN NUMERO</t>
  </si>
  <si>
    <t>CALLE LA ESPERANZA</t>
  </si>
  <si>
    <t>CALLE 7 CASA NUMERO 188</t>
  </si>
  <si>
    <t>CALLE 8 NUMERO 237</t>
  </si>
  <si>
    <t>CARRETERA PRINCIPAL CIRCUITO DEL GOLFO NUMERO 291</t>
  </si>
  <si>
    <t>CALLE SIETE CASA NUMERO 157</t>
  </si>
  <si>
    <t>CALLE CERRADA EL RETEN</t>
  </si>
  <si>
    <t>CAÑALES SEGUNDA ETAPA</t>
  </si>
  <si>
    <t>CALLE LUIS DONALDO COLOSIO</t>
  </si>
  <si>
    <t>CALLE NICOLASA CANO</t>
  </si>
  <si>
    <t>CARRETERA COMALCALCO CARNICERIA EL POTRO</t>
  </si>
  <si>
    <t>FRENTE A LA COLONIA AGUA SOL</t>
  </si>
  <si>
    <t>SECTOR SAN ANTONIO</t>
  </si>
  <si>
    <t>FRENTE EL TALLER</t>
  </si>
  <si>
    <t>CALLE DEL KINDER</t>
  </si>
  <si>
    <t>COLONIA NUEVO PROGRESO</t>
  </si>
  <si>
    <t>CALLE DE LA CENTRAL CAMIONERA</t>
  </si>
  <si>
    <t>ENTRADA LA GREY</t>
  </si>
  <si>
    <t>ANDADOR PERIFERICO NUMERO 230</t>
  </si>
  <si>
    <t>CALLE FRANCISCO I MADERO</t>
  </si>
  <si>
    <t>CALLE VICENTE GUERRERO</t>
  </si>
  <si>
    <t>AMPLIACION SANTOS DEGOLLADO</t>
  </si>
  <si>
    <t>CALZADA PRIMERA SECCION</t>
  </si>
  <si>
    <t>AVENIDA CALZADA NUMERO 177</t>
  </si>
  <si>
    <t>CALLE DEL CENTRO DE SALUD</t>
  </si>
  <si>
    <t>CALLE JUARES SIN NUMERO</t>
  </si>
  <si>
    <t>ENTRADA EL MANGO</t>
  </si>
  <si>
    <t>FRENTE EL TALLER MECANICO</t>
  </si>
  <si>
    <t>CERRADA JAIME NUNO SIN NUMERO</t>
  </si>
  <si>
    <t>CALLE JOSE MARTIN</t>
  </si>
  <si>
    <t>CALLE MACIO GUTIERREZ</t>
  </si>
  <si>
    <t>COLONIA AGUA SOL</t>
  </si>
  <si>
    <t>CALZADA SEGUNDA SECCION</t>
  </si>
  <si>
    <t>CALZADA CERRADA MENDEZ</t>
  </si>
  <si>
    <t>CALLE LUIS DONALDO COLOSIO NUMERO 136</t>
  </si>
  <si>
    <t>FRENTE DE LA BASCULA</t>
  </si>
  <si>
    <t>ANDADOR NUMERO 10</t>
  </si>
  <si>
    <t>CALLE EDUVIGUES</t>
  </si>
  <si>
    <t>CALLE JOSEFA ORTIZ DE DOMINGUEZ</t>
  </si>
  <si>
    <t>CALLE TRES MANZANA 4</t>
  </si>
  <si>
    <t>CALLE ZAPOTAL EN LA FINCA TOBYCOL</t>
  </si>
  <si>
    <t>ANTES DE LLEGAR A LA ENTRADA DE ZAPOTAL</t>
  </si>
  <si>
    <t>CALLE NUMERO 8</t>
  </si>
  <si>
    <t>CALLE CANAHUA MANZANA 38 LOTE 8</t>
  </si>
  <si>
    <t>CALLE DEL CBTIS</t>
  </si>
  <si>
    <t>CALLE ANDRES SANCHEZ MAGALLANES NUMERO 121</t>
  </si>
  <si>
    <t>COLONIA EL FOVISSTE</t>
  </si>
  <si>
    <t>CALLE JESUS GARCIA NUMERO 981</t>
  </si>
  <si>
    <t>CALLE SANTOS DEGOLLADOS NUMERO 30</t>
  </si>
  <si>
    <t>CALLE AURELIO SOSA NUMERO 315</t>
  </si>
  <si>
    <t>CARRETERA LA CEIBA MANZANA 123</t>
  </si>
  <si>
    <t>ANDADOR TARDOS</t>
  </si>
  <si>
    <t>CALLE CEIBA PASANDO EL KINDER</t>
  </si>
  <si>
    <t>CALLE ROTARIO SIN NUMERO</t>
  </si>
  <si>
    <t>A UN COSTADO DEL HOTEL EL DORADO</t>
  </si>
  <si>
    <t>ENTRADA LA VIA CUARTA CASA</t>
  </si>
  <si>
    <t>CALLE 14 MANZANA 28 LOTE 11</t>
  </si>
  <si>
    <t>CALLE IGNACIO GUTIERREZ NUMERO 3</t>
  </si>
  <si>
    <t>CALLE A NUEVA ZELANDIA</t>
  </si>
  <si>
    <t>ENTRADA A CAMELLON NUMERO 7</t>
  </si>
  <si>
    <t>CALLE TOMAS GARRIDO</t>
  </si>
  <si>
    <t>COLONIA ZOILA PEÑA</t>
  </si>
  <si>
    <t>CALLE SECCION 10 CASA NUMERO 4 MANZANA 10</t>
  </si>
  <si>
    <t>CALLE SECCION 29 MANZANA 45 LOTE 20</t>
  </si>
  <si>
    <t>CALLE 27 DE FEBRERO</t>
  </si>
  <si>
    <t>CALLE MIGUEL ORRICO DE LOS LLANOS</t>
  </si>
  <si>
    <t>CALLE REPUBLICA DE ARGENTINA</t>
  </si>
  <si>
    <t>AVENIDA 9 NUMERO 206</t>
  </si>
  <si>
    <t>CALLE CUAHUTEMOC</t>
  </si>
  <si>
    <t>CALLE ALLENDE NUMERO 407</t>
  </si>
  <si>
    <t>CALLE JOAQUIN CUEVAS</t>
  </si>
  <si>
    <t>CALLE JOAQUIN CUEVAS NUMERO 304</t>
  </si>
  <si>
    <t>CALLE REVOLUCION</t>
  </si>
  <si>
    <t>CALLE JUAREZ 423 Y 425</t>
  </si>
  <si>
    <t>CALLE AUREO L CALLES</t>
  </si>
  <si>
    <t>COBRANZA EN FISCALIA</t>
  </si>
  <si>
    <t>CERRADA DE FRANCISCO VILLA CASA NUMERO 96</t>
  </si>
  <si>
    <t>CALLE JUAN DE LA BARRERA</t>
  </si>
  <si>
    <t>CALLE TABSCOOP</t>
  </si>
  <si>
    <t>CALLE RIO DE LA SIERRA MANZANA 7 LOTE 03</t>
  </si>
  <si>
    <t>CALLE RIO CARRIZAL MANZANA 22 LOTE 9</t>
  </si>
  <si>
    <t>FRACCIONAMIENTO CAÑALES PRIMERA ETAPA</t>
  </si>
  <si>
    <t>CAREDNAS - HABANERO</t>
  </si>
  <si>
    <t>FRACCIONAMIENTO EL BAJIO</t>
  </si>
  <si>
    <t>ANDADOR CANULO MANZANA 3</t>
  </si>
  <si>
    <t>CARRETERA VILLA HERMOSA - CARDENAS KILOMETRO 135</t>
  </si>
  <si>
    <t>CALLE JALAPA SIN NUMERO</t>
  </si>
  <si>
    <t xml:space="preserve">CALLE IGNACIO GUTIERREZ </t>
  </si>
  <si>
    <t>CALLEJON DE DONDE ERA LA SANCHEZ</t>
  </si>
  <si>
    <t>CALLE EL MANGOS</t>
  </si>
  <si>
    <t>ENTRADA LA VIA</t>
  </si>
  <si>
    <t>CALLE FRAMBOYANES</t>
  </si>
  <si>
    <t>CARRETERA A NUEVA ZELANDIA</t>
  </si>
  <si>
    <t>CALLE MARIANO ABASOLO NUMERO 134</t>
  </si>
  <si>
    <t>CALLE MANUEL LEYVA NUMERO 218</t>
  </si>
  <si>
    <t>HOTEL COLONIAL MOCANICO</t>
  </si>
  <si>
    <t>SANTA MARIA DE GUADALUPE SIN NUMERO</t>
  </si>
  <si>
    <t>CALLE PROLONGACION GUADALUPE VICTORIA</t>
  </si>
  <si>
    <t>CAMINO LOS MENDEZ SIN NUMERO</t>
  </si>
  <si>
    <t xml:space="preserve">CALLE REYES HERNANDEZ </t>
  </si>
  <si>
    <t>CALLE EL LIMON NUMERO 12</t>
  </si>
  <si>
    <t>CALLE ANDADOR LOS CONDORES</t>
  </si>
  <si>
    <t>PASO Y PLAYA</t>
  </si>
  <si>
    <t>RIOSECO Y MONTAÑA SEGUNDA SECCION</t>
  </si>
  <si>
    <t>CALLE NUMERO 1 CASA NUMERO 10</t>
  </si>
  <si>
    <t>POBLADO C-31 GENERAL FRANCISCO VILLA</t>
  </si>
  <si>
    <t>CALLE NUMERO 7 CASA NUMERO 411</t>
  </si>
  <si>
    <t>CALLE CERRADA ARABIA 4 LOTE MANZANA 18</t>
  </si>
  <si>
    <t>CALLE NUMERO 7 CASA 194</t>
  </si>
  <si>
    <t>CALLE NUMERO 7</t>
  </si>
  <si>
    <t>CALLE SEIS SIN NUMERO</t>
  </si>
  <si>
    <t>CALLE 3 Y 2 ZONA VERDE</t>
  </si>
  <si>
    <t>CALLE 6 Y 7</t>
  </si>
  <si>
    <t>CARRETERA AL POBLADO C-28</t>
  </si>
  <si>
    <t>CARRETERA KILOMETRO 13 ZONA VERDE</t>
  </si>
  <si>
    <t>CARRETERA CARDENAS COATZACOALCOS KILOMETRO 82</t>
  </si>
  <si>
    <t xml:space="preserve">CALLE CINCO SIN NUMERO </t>
  </si>
  <si>
    <t>CALLE MOCTEZUMA NUMERO 264 ALTOS</t>
  </si>
  <si>
    <t xml:space="preserve">CALLE ARABIA 2 </t>
  </si>
  <si>
    <t xml:space="preserve">CALLE RUMANIA </t>
  </si>
  <si>
    <t>ENTRADA LA VIA SIN NUMERO</t>
  </si>
  <si>
    <t>CARRETERA CARDENAS - COATZACOALCOS SIN NUMERO</t>
  </si>
  <si>
    <t>CALLE NUMERO 2 CASA NUMERO 94</t>
  </si>
  <si>
    <t>CALLE ZONA VERDE SIN NUMERO</t>
  </si>
  <si>
    <t>CARRETERA PRINCIPAL CONDOMINIO NUMERO 7</t>
  </si>
  <si>
    <t>CALLE CONSTITUCION PONIENTE SIN NUMERO</t>
  </si>
  <si>
    <t>CALLE HECADOR CENTRAL</t>
  </si>
  <si>
    <t>CALLE 27 DE FEBRERO NUMERO 305</t>
  </si>
  <si>
    <t>CALLE LAS LOMITAS</t>
  </si>
  <si>
    <t>CALLE NUMERO 3</t>
  </si>
  <si>
    <t>NORTE SEGUNDA SECCION</t>
  </si>
  <si>
    <t>CARRETERA A CHILTEPEC SIN NUMERO</t>
  </si>
  <si>
    <t>ENTRADA LA MONTAÑITA SIN NUMERO</t>
  </si>
  <si>
    <t>EL TUCUY SIN NUMERO</t>
  </si>
  <si>
    <t>ENTRADA DE PALMA HUACA</t>
  </si>
  <si>
    <t>CALLE FERNANDO MONTE DE OCA</t>
  </si>
  <si>
    <t>CALLE ALDEMIR MAGAÑA SIN NUMERO</t>
  </si>
  <si>
    <t>CALLE EMILIANO ZAPATA</t>
  </si>
  <si>
    <t>CARRETERA A CHICHICAPA SIN NUMERO</t>
  </si>
  <si>
    <t>CERRADA GABRIEL CAMACHO</t>
  </si>
  <si>
    <t>ENTRADA LOS HERNANDEZ</t>
  </si>
  <si>
    <t>CALLE DE LA IGLESIA CATOLICA</t>
  </si>
  <si>
    <t>PASANDO LA ENTRADA DE ADALBERTO SANTOS</t>
  </si>
  <si>
    <t>ENTRADA LAS SOBRINA</t>
  </si>
  <si>
    <t>CAMINO VIEJO SIN NUMERO</t>
  </si>
  <si>
    <t>CARRETERA FEDERAL SIN NUMERO</t>
  </si>
  <si>
    <t>COBRANZA FRENTE AL BATALLON A UN COSTADO DE LA TIENDA</t>
  </si>
  <si>
    <t>CARRETRA W-58</t>
  </si>
  <si>
    <t>CALLE SAN MIGUEL AL FONDO</t>
  </si>
  <si>
    <t xml:space="preserve">CALLE NUMERO 2 </t>
  </si>
  <si>
    <t>CALLE NUMERO 6</t>
  </si>
  <si>
    <t>CARRETERA FEDERAL CARDENAS - COATZACOALCOS</t>
  </si>
  <si>
    <t>CAMINO VECINAL SIN NUMERO</t>
  </si>
  <si>
    <t>CALLE 1 NUMERO CASA NUMERO 27</t>
  </si>
  <si>
    <t>CALLE 5 CASA NUMERO 25</t>
  </si>
  <si>
    <t>CALLE 7 CASA NUMERO 169</t>
  </si>
  <si>
    <t>CARRETERA A COATZACOALCOS</t>
  </si>
  <si>
    <t>CARRTERA PRINCIPAL</t>
  </si>
  <si>
    <t>CARRETERA LAS FLORES SIN NUMERO</t>
  </si>
  <si>
    <t>CONGREGACION ZARAGOSA</t>
  </si>
  <si>
    <t>CALLE 4</t>
  </si>
  <si>
    <t>CALLE 6 ZONA VERDE CASA NUMERO 311</t>
  </si>
  <si>
    <t>CALLE 3 ZONA VERDE</t>
  </si>
  <si>
    <t xml:space="preserve">CALLE CARLOS PELLICER CAMARA </t>
  </si>
  <si>
    <t>COLONIA INGENIO BENITO JUAREZ</t>
  </si>
  <si>
    <t>ANDADOR JUAN RUIZ DE ALARCON ORIENTE 4</t>
  </si>
  <si>
    <t>ANDADOR LUIS G URBINA PONIENTE 19</t>
  </si>
  <si>
    <t>JUAN RUIZ DE ALARCON</t>
  </si>
  <si>
    <t>CARRETERA COATZACOALCOS - CARDENAS</t>
  </si>
  <si>
    <t xml:space="preserve">CALLE NUEVA ZELANDIA </t>
  </si>
  <si>
    <t xml:space="preserve">CALLE JUAN DE LA BARRERA </t>
  </si>
  <si>
    <t xml:space="preserve">CALLE OYAMEL </t>
  </si>
  <si>
    <t xml:space="preserve">CARRETERA CARDENAS A COMALCALCO </t>
  </si>
  <si>
    <t xml:space="preserve">CALLE REVOLUCION </t>
  </si>
  <si>
    <t>CALLE SECCION 29</t>
  </si>
  <si>
    <t>CALLE ARABIA 7</t>
  </si>
  <si>
    <t xml:space="preserve">ANDADOR HERNESTO </t>
  </si>
  <si>
    <t xml:space="preserve">CALLE LEADRO ADRIANO </t>
  </si>
  <si>
    <t xml:space="preserve">CALLE RODOLFO FIERRO </t>
  </si>
  <si>
    <t xml:space="preserve">ENTRADA A MIAHUTLAN </t>
  </si>
  <si>
    <t xml:space="preserve">CARRETERA CARENAS A COMALCALCO </t>
  </si>
  <si>
    <t xml:space="preserve">CALLE SANCHEZ MAGALLANES </t>
  </si>
  <si>
    <t>CALLE NUMERO TRES</t>
  </si>
  <si>
    <t xml:space="preserve">CARRETERA AL CASTAÑO </t>
  </si>
  <si>
    <t xml:space="preserve">CALLE EL LIMON </t>
  </si>
  <si>
    <t xml:space="preserve">CARRETERA CARDENAS A HUIMANGUILLO </t>
  </si>
  <si>
    <t xml:space="preserve">CALLE 16 DE SEPTIEMBRE </t>
  </si>
  <si>
    <t xml:space="preserve">CALLE AGUSTIN </t>
  </si>
  <si>
    <t xml:space="preserve">ENTRADA LA VIA </t>
  </si>
  <si>
    <t xml:space="preserve">CALLE  EL RETEN </t>
  </si>
  <si>
    <t xml:space="preserve">CALLE FELIPE </t>
  </si>
  <si>
    <t xml:space="preserve">CALLE JOSE MARIA MORELOS </t>
  </si>
  <si>
    <t xml:space="preserve">CALLE QUETZALES </t>
  </si>
  <si>
    <t xml:space="preserve">EN LA CALLE DEL JUZGADO </t>
  </si>
  <si>
    <t>CALLE NUMERO 1</t>
  </si>
  <si>
    <t>CALLE NUMERO 5</t>
  </si>
  <si>
    <t>CARRETERA AL POBLDO C 29</t>
  </si>
  <si>
    <t xml:space="preserve">CARRETERA LA SEIS </t>
  </si>
  <si>
    <t>CALLE 10</t>
  </si>
  <si>
    <t xml:space="preserve">CALLE MIGUEL NOVEROLA </t>
  </si>
  <si>
    <t xml:space="preserve">CALLE LA FLORIDA </t>
  </si>
  <si>
    <t>NUEVA ESPERANZA</t>
  </si>
  <si>
    <t>PLAYITA</t>
  </si>
  <si>
    <t>C-29 VICENTE GUERRERO</t>
  </si>
  <si>
    <t>YOLOXOCHILT SEGUNDA SECCION SAN SEVERO</t>
  </si>
  <si>
    <t>HABANERO PRIMERA SECCION</t>
  </si>
  <si>
    <t>EL DESECHO PRIMERA SECCION</t>
  </si>
  <si>
    <t>PUEBLO NUEVO</t>
  </si>
  <si>
    <t>LIBERTAD</t>
  </si>
  <si>
    <t>ALAMEDA</t>
  </si>
  <si>
    <t>LIBERTA CUARTA SECCION</t>
  </si>
  <si>
    <t>MIGUEL HIDALGO SEGUNDA SECCION</t>
  </si>
  <si>
    <t>C-16 EMILIANO ZAPATA</t>
  </si>
  <si>
    <t>C-9 FRANCISCO I MADERO</t>
  </si>
  <si>
    <t>BAJIO PRIMERA SECCION</t>
  </si>
  <si>
    <t>SANTA MARIA DE GUADALUPE</t>
  </si>
  <si>
    <t>GENARO VAZQUEZ</t>
  </si>
  <si>
    <t>INVITAB PASO Y PLAYA</t>
  </si>
  <si>
    <t>EL TOLOQUE</t>
  </si>
  <si>
    <t>FRACCIONAMIENTO TABSCOOB</t>
  </si>
  <si>
    <t>BAJIO SEGUNDA SECCION</t>
  </si>
  <si>
    <t>FRACCIONAMIENTO CAÑALES TERCERA ETAPA NORTE</t>
  </si>
  <si>
    <t xml:space="preserve">URBANA HABANERO </t>
  </si>
  <si>
    <t>OBRERA</t>
  </si>
  <si>
    <t>C-31 GENERAL FRANCISCO VILLA</t>
  </si>
  <si>
    <t>AGRICOLA EL CAPRICHO</t>
  </si>
  <si>
    <t>ROGER FALCONI</t>
  </si>
  <si>
    <t>LOS ANGELES</t>
  </si>
  <si>
    <t>7 DE OCTUBRE</t>
  </si>
  <si>
    <t xml:space="preserve">FRACCIONAMIENTO CAÑALES   </t>
  </si>
  <si>
    <t>NUEVO PROGRESO</t>
  </si>
  <si>
    <t>SANTA MARIA PERIFERICO</t>
  </si>
  <si>
    <t>MIGUEL CUITKAHUAC</t>
  </si>
  <si>
    <t>RIO SECO Y MONTAÑA SEGUNDA SECCION</t>
  </si>
  <si>
    <t>GENARO VAZQUEZ SEGUNDA SECCION</t>
  </si>
  <si>
    <t>CAÑALES 1</t>
  </si>
  <si>
    <t>SANTANA PRIMERA SECCION</t>
  </si>
  <si>
    <t>LIBERTAD QUINTA SECCION</t>
  </si>
  <si>
    <t>SAN MIGUEL</t>
  </si>
  <si>
    <t>CSAT</t>
  </si>
  <si>
    <t>CAMPAMENTO SARH</t>
  </si>
  <si>
    <t>MELCHOR OCAMPO</t>
  </si>
  <si>
    <t>MILENIO</t>
  </si>
  <si>
    <t>ARROYO HONDO PRIMERA SECCION SANTA TERESA</t>
  </si>
  <si>
    <t>C-20 MIGUEL MIGUEL HIDALGO COSTILLA</t>
  </si>
  <si>
    <t>YOLOXOCHILT SEGUNDA SECCION</t>
  </si>
  <si>
    <t xml:space="preserve">ARROYO HONDO PRIMERA SECCION  </t>
  </si>
  <si>
    <t>EJIDO NUEVO PROGRESO</t>
  </si>
  <si>
    <t>HUAPACA Y AMESTOY</t>
  </si>
  <si>
    <t>MIGUEL HIDALGO SEGUNDA SECCION LA NATIVIDAD</t>
  </si>
  <si>
    <t>CASA BLANCA PRIMERA SECCION</t>
  </si>
  <si>
    <t>LA PLAYITA</t>
  </si>
  <si>
    <t>IGNACIO GUTIERREZ GOMEZ</t>
  </si>
  <si>
    <t>INGENIO SANTA ROSALIA</t>
  </si>
  <si>
    <t>SECCION 40</t>
  </si>
  <si>
    <t>JOSE MARIA PINO SUAREZ</t>
  </si>
  <si>
    <t>AMPLIACION CARRIZAL</t>
  </si>
  <si>
    <t>TOLOQUE</t>
  </si>
  <si>
    <t>C-10 LAZARO CARDENAS</t>
  </si>
  <si>
    <t xml:space="preserve">MELCHOR OCAMPO </t>
  </si>
  <si>
    <t>LAZARO CARDENAS</t>
  </si>
  <si>
    <t>EL PORVENIR</t>
  </si>
  <si>
    <t xml:space="preserve">SANTANA MARIA DE GUADALUPE </t>
  </si>
  <si>
    <t>EL SESECHO PRIMERA SECCION</t>
  </si>
  <si>
    <t>PASO Y PALYA</t>
  </si>
  <si>
    <t>SARH</t>
  </si>
  <si>
    <t>CARLOS A. WILSON GOMEZ</t>
  </si>
  <si>
    <t>POZA REDONDA TERCERA SECCION</t>
  </si>
  <si>
    <t xml:space="preserve">SANTUARIO PRIMERA SECCION </t>
  </si>
  <si>
    <t>MANTILLA</t>
  </si>
  <si>
    <t>AMPLIACION ZAÑALES SEGUNDA ETAPA</t>
  </si>
  <si>
    <t>ZAPOTAL SEGUNDA SECCION</t>
  </si>
  <si>
    <t xml:space="preserve">TULIPAN </t>
  </si>
  <si>
    <t>ARROYO HOINDO PRIMERA SECCION SANTA TERESA</t>
  </si>
  <si>
    <t>INFONAVIT DEPORTIVA</t>
  </si>
  <si>
    <t xml:space="preserve">CALZADA     </t>
  </si>
  <si>
    <t xml:space="preserve">INVITAB PASO Y PLAYA </t>
  </si>
  <si>
    <t>PIEDRA SEGUNDA SECCION</t>
  </si>
  <si>
    <t>LA LUCHA</t>
  </si>
  <si>
    <t>TIERRA Y LIBERATD</t>
  </si>
  <si>
    <t>COLONIA OBRERA</t>
  </si>
  <si>
    <t xml:space="preserve">COLONIA SANTA MARIA GUADALUPE </t>
  </si>
  <si>
    <t xml:space="preserve">CALZADA PRIMERA SECCION </t>
  </si>
  <si>
    <t xml:space="preserve">COL ARROYO HONDO ABEJONAL </t>
  </si>
  <si>
    <t>RANCHERIA ARROYO HONDO ABEJONAL</t>
  </si>
  <si>
    <t>COLONIA INVITAB</t>
  </si>
  <si>
    <t>COLONIA GUADALUPE VICTORIA</t>
  </si>
  <si>
    <t>COLONIA EL GRINGO</t>
  </si>
  <si>
    <t>COLONIA PUEBLO NUEVO</t>
  </si>
  <si>
    <t>RANCHERIA HUAPACAL Y AMESTOY</t>
  </si>
  <si>
    <t>EJIDO GENARO VAZQUEZ ROJAS</t>
  </si>
  <si>
    <t>COLONIA 7 DE OCTUBRE</t>
  </si>
  <si>
    <t>COLONIA SARCH</t>
  </si>
  <si>
    <t>COLONIA INVITAB PASO Y PLAYA</t>
  </si>
  <si>
    <t>RANCHERIA RIO SECO NORTE 10</t>
  </si>
  <si>
    <t xml:space="preserve">RANCHERIA RIO SECO SEGUNDA SECCION </t>
  </si>
  <si>
    <t xml:space="preserve">RANCHERIA ZAPOTAL PRIMERA SECCION </t>
  </si>
  <si>
    <t>RANCHERIA MOCTEZUMA TERCERA</t>
  </si>
  <si>
    <t xml:space="preserve">RANCHERIA ZAPOTAL TERCERA SECCION </t>
  </si>
  <si>
    <t>RANCHERIA FRANCISCO I MADERO PRIMEA SECCION</t>
  </si>
  <si>
    <t>COLONIA FRANCISCO I MADERO  (MADERO)</t>
  </si>
  <si>
    <t>RANCHERIA ZAPOTAL RIMERA SECCION</t>
  </si>
  <si>
    <t>RANCHERIA RIO SECO SEGUNDA SECCION</t>
  </si>
  <si>
    <t>POBLADO TIERRA Y LIBERTAD</t>
  </si>
  <si>
    <t>EJIDO LIBERTAD TERCERA SECCION</t>
  </si>
  <si>
    <t>EJIDO SAN FRANCISCO</t>
  </si>
  <si>
    <t>RANCHERIA ZAPOTAL SEGUNDA</t>
  </si>
  <si>
    <t xml:space="preserve">RANCHERIA NORTE PRIMERA SECCION </t>
  </si>
  <si>
    <t xml:space="preserve"> HUESO DE PUERCO ( COLONIA QUINTIN ARAUZ)</t>
  </si>
  <si>
    <t>EJIDO OCCIDENTE SAN FRANCISCO</t>
  </si>
  <si>
    <t>RANCHERIA OCCIDENTE SEGUNDA SECCION</t>
  </si>
  <si>
    <t>COLONIA ORIENTE SAN CAYETANO</t>
  </si>
  <si>
    <t>COLONIA EL TOLOQUE</t>
  </si>
  <si>
    <t>COLONIA SECCION 40</t>
  </si>
  <si>
    <t>COLONIA CARDENAS CENTRO</t>
  </si>
  <si>
    <t>COLONIA INFONAVIT LOMABONITA</t>
  </si>
  <si>
    <t xml:space="preserve"> RANCHERIA CENTRO TULAR SEGUNDA SECCION</t>
  </si>
  <si>
    <t xml:space="preserve">RANCHERIA ARENA PRIMERA SECCION </t>
  </si>
  <si>
    <t>RANCHERIA PROGRESO TULAR PRIMERA SECCION</t>
  </si>
  <si>
    <t xml:space="preserve">CERRADA TECOLUTILLA </t>
  </si>
  <si>
    <t>COLONIA SANTA AMALIA</t>
  </si>
  <si>
    <t xml:space="preserve">RANCHERIA OCCIDENTE PRIMERA SECCION </t>
  </si>
  <si>
    <t>RANCHERIA REYES HERNANDEZ SEGUNDA SECCION</t>
  </si>
  <si>
    <t>RANCHERIA SARGENTO LOPEZ SEGUNDA</t>
  </si>
  <si>
    <t>COLONIA MORALES</t>
  </si>
  <si>
    <t xml:space="preserve">RANCHERIA ORIENTE SEGUNDA SECCION </t>
  </si>
  <si>
    <t>POBLADO NICOLAS BRAVO</t>
  </si>
  <si>
    <t>EJIDO EL ANGEL</t>
  </si>
  <si>
    <t>RANCHERIA SUR SEGUNDA SECCION</t>
  </si>
  <si>
    <t>EJIDO ORIENTE</t>
  </si>
  <si>
    <t>EL MANGAL</t>
  </si>
  <si>
    <t xml:space="preserve">RANCHERIA SUR QUINTA SECCION </t>
  </si>
  <si>
    <t>VILLA CHICHICAPA</t>
  </si>
  <si>
    <t xml:space="preserve">RANCHERIA SUR TERCERA SECCION </t>
  </si>
  <si>
    <t xml:space="preserve">RANCHERIA ZURDA TULIPAN </t>
  </si>
  <si>
    <t>RANCHERIA BETANIA</t>
  </si>
  <si>
    <t xml:space="preserve">COLONIA CARDENAS CENTRO </t>
  </si>
  <si>
    <t>RANCHERIA HABANERO PRIMERA SECCION (VENUSTIANO)</t>
  </si>
  <si>
    <t>COLONIA SECCION 10</t>
  </si>
  <si>
    <t>COLONIA EL BAJIO PRIMERA SECCION</t>
  </si>
  <si>
    <t>COLONIA PETROLERA</t>
  </si>
  <si>
    <t xml:space="preserve">FEACCIONAMIENTO VISTA ALEGRE </t>
  </si>
  <si>
    <t xml:space="preserve">COLONIA ALFA Y OMEGA </t>
  </si>
  <si>
    <t xml:space="preserve">COLONIA EL TOLOQUE </t>
  </si>
  <si>
    <t xml:space="preserve">RANCHERIA EL DESECHO </t>
  </si>
  <si>
    <t xml:space="preserve">COLONIA JACINTO LOPEZ </t>
  </si>
  <si>
    <t xml:space="preserve">COLONIA SANTA MARIA PERIFERICO </t>
  </si>
  <si>
    <t xml:space="preserve">COLONIA LA CEIBA </t>
  </si>
  <si>
    <t xml:space="preserve">COLONIA ARBOLEDA </t>
  </si>
  <si>
    <t xml:space="preserve">FRACCIONAMIENTO EL ENCANTO </t>
  </si>
  <si>
    <t xml:space="preserve">RANCHERIA PASO Y PLAYA </t>
  </si>
  <si>
    <t xml:space="preserve">COLONIA EL BAJIO PRIMERA SECCION </t>
  </si>
  <si>
    <t xml:space="preserve">EJIDO CARDENAS SEGUNDA SECCION </t>
  </si>
  <si>
    <t>RANCHERIA CUCUYULAPA SEGUNDA SECCION PUENTE SAMARIA</t>
  </si>
  <si>
    <t xml:space="preserve">RANCHERIA MIAHUATLAN PRIMERA SECCION </t>
  </si>
  <si>
    <t xml:space="preserve">RANCHERIA RIO SECO PRIMERA SECCION </t>
  </si>
  <si>
    <t>FRACCIONAMIENTO CAÃ‘ALES DOS</t>
  </si>
  <si>
    <t>COLONIA EMILIANO ZAPATA</t>
  </si>
  <si>
    <t>EJIDO RIO SECO SEGUNDA SECCION A</t>
  </si>
  <si>
    <t>COLONIA DE LOS SANTOS</t>
  </si>
  <si>
    <t>FRACCIONAMIENTO LOS CAÃ‘ALES</t>
  </si>
  <si>
    <t>COLONIA CAÃ‘ALES TERCERA ETAPA NORTE</t>
  </si>
  <si>
    <t xml:space="preserve">RANCHERIA CALZADA PRIMERA SECCION </t>
  </si>
  <si>
    <t>COLONIA MELCHOR OCAMPO</t>
  </si>
  <si>
    <t>RANCHERIA CALZADA PRIMERA SECCION</t>
  </si>
  <si>
    <t xml:space="preserve">RANCHERIA MIAHUATLAN SEGUNDA SECCION </t>
  </si>
  <si>
    <t>EJIDO MARIN</t>
  </si>
  <si>
    <t>RANCHERIA QUINTIN ARAUZ</t>
  </si>
  <si>
    <t>COLONIA CARLOS AMADRAZO B</t>
  </si>
  <si>
    <t>FRACCIONAMIENTO PRIMAVERA</t>
  </si>
  <si>
    <t>COLONIA CENTRO PARAISO</t>
  </si>
  <si>
    <t>COLONIA EL LIMON</t>
  </si>
  <si>
    <t xml:space="preserve">RANCHERIA MOCTEZUMA </t>
  </si>
  <si>
    <t>RANCHERIA MOCTEZUMA PRIMERA SECCION</t>
  </si>
  <si>
    <t>RANCHERIA MOCTEZUMA</t>
  </si>
  <si>
    <t>COLONIA MOCTEZUMA SEGUNDA SECCION</t>
  </si>
  <si>
    <t>RANCHERIA LAS FLORES</t>
  </si>
  <si>
    <t>RANCHERIA FRANCISCO I MADERO SEGUNDA SECCION</t>
  </si>
  <si>
    <t>COLONIA QUINTIN ARAUZ</t>
  </si>
  <si>
    <t>RANCHERIA LAS FLORES PRIMERA SECCION</t>
  </si>
  <si>
    <t>RANCHERIA EL ESCRIBANO</t>
  </si>
  <si>
    <t>RANCHERIA LAS FLORES SEGUNDA SECCION</t>
  </si>
  <si>
    <t>RANCHERIA LAS FLORES TERCERA SECCION</t>
  </si>
  <si>
    <t>POBLADO C-27 GREGORIO MENDEZ</t>
  </si>
  <si>
    <t>POBLADO C-33 VEINTE DE NOVIEMBRE</t>
  </si>
  <si>
    <t>RANCHERIA ARROYO HONDO SEGUNDA SECCION SANTA TERESA</t>
  </si>
  <si>
    <t>RANCHERIA ARROYO HONDO PRIMERA SECCION</t>
  </si>
  <si>
    <t>EJIDO ZAPOTAL SEGUNDA SECCION</t>
  </si>
  <si>
    <t>RANCHERIA ARROYO HONDO</t>
  </si>
  <si>
    <t>POBLADO C-14 PLUTARCO ELIAS</t>
  </si>
  <si>
    <t>POBLADO C-29 VICENTE GUERRERO</t>
  </si>
  <si>
    <t>PUERTO ROJO</t>
  </si>
  <si>
    <t>FRACCIONAMIENTO CAÑALES SEGUNDA ETAPA</t>
  </si>
  <si>
    <t>COLONIA SANTA MARIA DE GUADALUPE</t>
  </si>
  <si>
    <t>RANCHERIA CALZADA SEGUNDA SECCION</t>
  </si>
  <si>
    <t>COLONIA LAZARO CARDENAS</t>
  </si>
  <si>
    <t>COLONIA ROGER FALCONI</t>
  </si>
  <si>
    <t>RANCHERIA MIGUEL HIDALGO PRIMERA SECCION</t>
  </si>
  <si>
    <t>FRACCIONAMIENTO POMOCA</t>
  </si>
  <si>
    <t>RANCHERIA ZAPOTAL</t>
  </si>
  <si>
    <t>AMPLIACION CAÑALES 111 ETAPA NORTE</t>
  </si>
  <si>
    <t>FRACCIONAMIENTO BAJIO PRIMERA SECCION</t>
  </si>
  <si>
    <t>FRACCIONAMIENTO EL ENCANTO</t>
  </si>
  <si>
    <t>COLONIA EL CAMPO VILLA BENITO JUAREZ</t>
  </si>
  <si>
    <t>RANCHERIA RIO SECO Y MONTAÑA</t>
  </si>
  <si>
    <t>COLONIA NUEVA ZELANDIA</t>
  </si>
  <si>
    <t>RANCHERIA SANTANA SEGUNDA SECCION</t>
  </si>
  <si>
    <t>COLONIA EL PALMAR</t>
  </si>
  <si>
    <t>COLONIA ALAMEDA</t>
  </si>
  <si>
    <t xml:space="preserve">COLONIA CENTRO CUNDUACAN </t>
  </si>
  <si>
    <t>COLONIA SANTOS DEGOLLADOS</t>
  </si>
  <si>
    <t>COLONIA TABSCOOB</t>
  </si>
  <si>
    <t>FRACCIONAMIENTO EL BAJIO SEGUNDA SECCION</t>
  </si>
  <si>
    <t>COLONIA CAÑALES PRIMERA ETAPA</t>
  </si>
  <si>
    <t>POBLADO CUCUYULAPA</t>
  </si>
  <si>
    <t>AMPLIACION CAÑALES TERCERA ETAPA NORTE</t>
  </si>
  <si>
    <t>EJIDO LA PENINSULA</t>
  </si>
  <si>
    <t>COLONIA SAN LAZARO</t>
  </si>
  <si>
    <t>RANCHERIA RIOS SECO Y MONTAÑA PRIMERA SECCION</t>
  </si>
  <si>
    <t>EJIDO RIO SECO Y MONTAÑA TERCERA SECCION</t>
  </si>
  <si>
    <t>EJIDO GENARO VAZQUEZ</t>
  </si>
  <si>
    <t>EJIDO PASO Y PLAYA</t>
  </si>
  <si>
    <t>RANCHERIA ZAPOTAL PRIMERA SECCION</t>
  </si>
  <si>
    <t>COLONIA SANTA RITA</t>
  </si>
  <si>
    <t>RANCHERIA RIO SECO Y MONTAÑA SEGUNDA SECCION</t>
  </si>
  <si>
    <t>COLONIA AGRICOLA EL CAPRICHO</t>
  </si>
  <si>
    <t>POBLADO C-15 ADOLFO LOPEZ MATEO</t>
  </si>
  <si>
    <t>POBLADO C-25 ISIDRO CORTES RUEDA</t>
  </si>
  <si>
    <t>POBLADO C-23 VENUSTIANO CARRANZA</t>
  </si>
  <si>
    <t>COLONIA EL PARNASO</t>
  </si>
  <si>
    <t>POBLADO C-14 PLUTARCO ELIAS CALLES</t>
  </si>
  <si>
    <t>EJIDO ZAPOTAL QUINTA SECCION</t>
  </si>
  <si>
    <t xml:space="preserve">EJIDO LA PENINSULA </t>
  </si>
  <si>
    <t>COLONIA ANDRES MANUEL LOPEZ OBRADOR</t>
  </si>
  <si>
    <t>POBLADO C-21 LICENCIADO BENITO JUAREZ</t>
  </si>
  <si>
    <t>EJIDO ARROYO HONDO PRIMERA SECCION</t>
  </si>
  <si>
    <t>RANCHERIA NORTE SEGUNDA SECCION</t>
  </si>
  <si>
    <t>RANCHERIA NICOLAS BRAVO TERCERA SECCION</t>
  </si>
  <si>
    <t>RANCHERIA LIBERTAD</t>
  </si>
  <si>
    <t>RANCHERIA LIBERTAD PRIMERA SECCION</t>
  </si>
  <si>
    <t>EJIDO PALESTINA</t>
  </si>
  <si>
    <t>RANCHERIA ORIENTE SAN CALLETANO</t>
  </si>
  <si>
    <t>FRACCIONAMIENTO LAS ROSAS</t>
  </si>
  <si>
    <t>EJIDO BUENA VISTA</t>
  </si>
  <si>
    <t>RANCHERIA LIBERTAD SEGUNDA SECCION</t>
  </si>
  <si>
    <t>EJIDO ORIENTE SAN CALLETANO</t>
  </si>
  <si>
    <t>LAS FLORES PRIMERA SECCION</t>
  </si>
  <si>
    <t>FRANCISCO I MADERO PRIMERA SECCION</t>
  </si>
  <si>
    <t>RANCHERIA ORIENTE PRIMERA SECCION</t>
  </si>
  <si>
    <t>RANCHERIA ARROYO HONDO PRIMERA SECCION SANTA TERESA</t>
  </si>
  <si>
    <t>POBLADO C-32 FRANCISCO TRUJILLO</t>
  </si>
  <si>
    <t>POBLADO C-34 LICENCIADO BENITO JUAREZ</t>
  </si>
  <si>
    <t>EJIDO SAN FERNANDO</t>
  </si>
  <si>
    <t>EJIDO PICO DE ORO PRIMERA SECCION</t>
  </si>
  <si>
    <t>EDJIDO ZAPOTAL SAN MIGUEL</t>
  </si>
  <si>
    <t>POBLADO IGNACIO ZARAGOZA</t>
  </si>
  <si>
    <t>RANCHERIA SAN FERNANDO</t>
  </si>
  <si>
    <t xml:space="preserve">RANCHERIA NUEVA ZELANDIA  </t>
  </si>
  <si>
    <t>FRACCIONAMIENTO SAN JOSE</t>
  </si>
  <si>
    <t>RANCHERIA HABANERO PRIMERA SECCION (VENUSTIANO CARRANZA)</t>
  </si>
  <si>
    <t xml:space="preserve">RANCHERIA MIGUEL HIDALGO  PRIMERA SECCION </t>
  </si>
  <si>
    <t xml:space="preserve">COLONIA PUEBLO NUEVO </t>
  </si>
  <si>
    <t xml:space="preserve">EJIDO GENARO VAZQUEZ ROJAS </t>
  </si>
  <si>
    <t>COLONIA INFONAVIT LOMA BONITA</t>
  </si>
  <si>
    <t xml:space="preserve">COLONIA GENERAL FRANCISCO VILLA </t>
  </si>
  <si>
    <t xml:space="preserve">RANCHERIA ARROYO HONDO ABEJONAL </t>
  </si>
  <si>
    <t xml:space="preserve">POBLADO C-33 VEINTE DE NOVIEMBRE </t>
  </si>
  <si>
    <t>RANCHERIA MIGUEL HIDALGO SEGUNDA SECCION B (LA NATIVIDAD)</t>
  </si>
  <si>
    <t xml:space="preserve">COLONIA SANTA CRUZ </t>
  </si>
  <si>
    <t xml:space="preserve">RANCHERIA RIO SECO Y MONTAÃ‘A PRIMERA SECCION </t>
  </si>
  <si>
    <t xml:space="preserve">COLONIA MELCHOR OCAMPO </t>
  </si>
  <si>
    <t>COLONIA FRANCISCO VILLA</t>
  </si>
  <si>
    <t xml:space="preserve">EJIDO HUAPACAL PRIMERA SECCION </t>
  </si>
  <si>
    <t xml:space="preserve">EJIDO EL BAJIO SEGUNDA SECCION </t>
  </si>
  <si>
    <t>POBLADO C-28 GREGORIO MENDEZ MAGAÃ‘A</t>
  </si>
  <si>
    <t>COLONIA C-34 LICENCIADO BENITO JUAREZ</t>
  </si>
  <si>
    <t>POBLADO C-27 EDUARDO CHAVEZ RAMIREZ</t>
  </si>
  <si>
    <t xml:space="preserve">EJIDO EL BAJIO PRIMERO SECCION </t>
  </si>
  <si>
    <t>2022-02-28</t>
  </si>
  <si>
    <t>2022-02-22</t>
  </si>
  <si>
    <t>2022-02-19</t>
  </si>
  <si>
    <t>2022-03-11</t>
  </si>
  <si>
    <t>2022-03-12</t>
  </si>
  <si>
    <t>2022-02-14</t>
  </si>
  <si>
    <t>2022-02-21</t>
  </si>
  <si>
    <t>2021-07-20</t>
  </si>
  <si>
    <t>2021-07-06</t>
  </si>
  <si>
    <t>2022-01-03</t>
  </si>
  <si>
    <t>2021-10-03</t>
  </si>
  <si>
    <t>2022-01-04</t>
  </si>
  <si>
    <t>2020-09-17</t>
  </si>
  <si>
    <t>2020-01-02</t>
  </si>
  <si>
    <t>2020-03-05</t>
  </si>
  <si>
    <t>2020-12-10</t>
  </si>
  <si>
    <t>2021-01-14</t>
  </si>
  <si>
    <t>2021-01-06</t>
  </si>
  <si>
    <t>2020-12-03</t>
  </si>
  <si>
    <t>2021-02-17</t>
  </si>
  <si>
    <t>2021-02-11</t>
  </si>
  <si>
    <t>2021-07-18</t>
  </si>
  <si>
    <t>2020-12-24</t>
  </si>
  <si>
    <t>2022-01-18</t>
  </si>
  <si>
    <t>2021-04-19</t>
  </si>
  <si>
    <t>2021-01-05</t>
  </si>
  <si>
    <t>2021-12-21</t>
  </si>
  <si>
    <t>2022-02-17</t>
  </si>
  <si>
    <t>2022-11-11</t>
  </si>
  <si>
    <t>2022-12-17</t>
  </si>
  <si>
    <t>2021-12-30</t>
  </si>
  <si>
    <t>2022-01-26</t>
  </si>
  <si>
    <t>2022-12-10</t>
  </si>
  <si>
    <t>2022-01-19</t>
  </si>
  <si>
    <t>2022-01-20</t>
  </si>
  <si>
    <t>2021-03-16</t>
  </si>
  <si>
    <t>2021-06-07</t>
  </si>
  <si>
    <t>2021-05-03</t>
  </si>
  <si>
    <t>2022-01-06</t>
  </si>
  <si>
    <t>2021-10-11</t>
  </si>
  <si>
    <t>2021-11-02</t>
  </si>
  <si>
    <t>2021-01-19</t>
  </si>
  <si>
    <t>2020-10-20</t>
  </si>
  <si>
    <t>2021-08-02</t>
  </si>
  <si>
    <t>2022-07-05</t>
  </si>
  <si>
    <t>2022-11-08</t>
  </si>
  <si>
    <t>2021-02-16</t>
  </si>
  <si>
    <t>2021-02-09</t>
  </si>
  <si>
    <t>2021-08-09</t>
  </si>
  <si>
    <t>2022-11-19</t>
  </si>
  <si>
    <t>2021-07-21</t>
  </si>
  <si>
    <t>2021-07-08</t>
  </si>
  <si>
    <t>2021-07-28</t>
  </si>
  <si>
    <t>2021-01-30</t>
  </si>
  <si>
    <t>2021-06-18</t>
  </si>
  <si>
    <t>2021-12-29</t>
  </si>
  <si>
    <t>2021-02-01</t>
  </si>
  <si>
    <t>2022-03-07</t>
  </si>
  <si>
    <t>2022-02-23</t>
  </si>
  <si>
    <t>2022-03-01</t>
  </si>
  <si>
    <t>2022-02-26</t>
  </si>
  <si>
    <t>2022-03-18</t>
  </si>
  <si>
    <t>2022-03-19</t>
  </si>
  <si>
    <t>2021-11-29</t>
  </si>
  <si>
    <t>2021-10-10</t>
  </si>
  <si>
    <t>2022-01-17</t>
  </si>
  <si>
    <t>2020-09-24</t>
  </si>
  <si>
    <t>2020-01-09</t>
  </si>
  <si>
    <t>2021-07-07</t>
  </si>
  <si>
    <t>2020-12-17</t>
  </si>
  <si>
    <t>2021-06-22</t>
  </si>
  <si>
    <t>2021-01-13</t>
  </si>
  <si>
    <t>2021-02-18</t>
  </si>
  <si>
    <t>2020-12-31</t>
  </si>
  <si>
    <t>2022-01-25</t>
  </si>
  <si>
    <t>2021-04-26</t>
  </si>
  <si>
    <t>2021-01-12</t>
  </si>
  <si>
    <t>2022-02-24</t>
  </si>
  <si>
    <t>2022-11-18</t>
  </si>
  <si>
    <t>2022-12-24</t>
  </si>
  <si>
    <t>2021-03-23</t>
  </si>
  <si>
    <t>2021-06-14</t>
  </si>
  <si>
    <t>2021-11-15</t>
  </si>
  <si>
    <t>2022-07-12</t>
  </si>
  <si>
    <t>2022-11-15</t>
  </si>
  <si>
    <t>2021-02-23</t>
  </si>
  <si>
    <t>2021-07-31</t>
  </si>
  <si>
    <t>2021-08-16</t>
  </si>
  <si>
    <t>2022-02-25</t>
  </si>
  <si>
    <t>2022-11-26</t>
  </si>
  <si>
    <t>2022-01-15</t>
  </si>
  <si>
    <t>2021-07-15</t>
  </si>
  <si>
    <t>2021-12-16</t>
  </si>
  <si>
    <t>2021-11-18</t>
  </si>
  <si>
    <t>2021-10-13</t>
  </si>
  <si>
    <t>2021-08-04</t>
  </si>
  <si>
    <t>2021-02-06</t>
  </si>
  <si>
    <t>2021-06-25</t>
  </si>
  <si>
    <t>2022-01-05</t>
  </si>
  <si>
    <t>2021-02-08</t>
  </si>
  <si>
    <t>QWYNRBIY9KVXQO</t>
  </si>
  <si>
    <t>QWZHGJ0U9KVTQO</t>
  </si>
  <si>
    <t>INFHQSH0B2NMACS</t>
  </si>
  <si>
    <t>TGYGIVCAZFPUVXE</t>
  </si>
  <si>
    <t>MYEDVABVTAZ4TPF</t>
  </si>
  <si>
    <t>OQGRX80BMUHQJ2X</t>
  </si>
  <si>
    <t>S35D6D3Y9KVTQO</t>
  </si>
  <si>
    <t>QWZBUES49KVTQO</t>
  </si>
  <si>
    <t>3O8PTA2AZPGA3HB</t>
  </si>
  <si>
    <t>D7MKLZTCDQVFP55</t>
  </si>
  <si>
    <t>KYMDH4NUTCJVUQD</t>
  </si>
  <si>
    <t>QXTXF5PY9KVTQO</t>
  </si>
  <si>
    <t>QX002LYO9KVTQO</t>
  </si>
  <si>
    <t>QX002LUS9KVTQO</t>
  </si>
  <si>
    <t>QX002L6W9KVTQO</t>
  </si>
  <si>
    <t>VGPXMZBAHZ6IEPI</t>
  </si>
  <si>
    <t>YCRYFAU92K60AMA</t>
  </si>
  <si>
    <t>QWZBUBTG9KVTQO</t>
  </si>
  <si>
    <t>QWZGYVYW9KVTQO</t>
  </si>
  <si>
    <t>QWYNRBIY9KVZQO</t>
  </si>
  <si>
    <t>XJ7NCYLLDZFLMWF</t>
  </si>
  <si>
    <t>W5OV8PESRAEJZYS</t>
  </si>
  <si>
    <t>2I10NYNXIAWALFA</t>
  </si>
  <si>
    <t>QX002MIY9KVTQO</t>
  </si>
  <si>
    <t>ZGSYJGLZUXA73WJ</t>
  </si>
  <si>
    <t>DSYPMZPXEANHGLM</t>
  </si>
  <si>
    <t>ETDFHETZQDZYCPE</t>
  </si>
  <si>
    <t>ZCEYT2126ZYSJM7</t>
  </si>
  <si>
    <t>QX002L4E9KVTQO</t>
  </si>
  <si>
    <t>LMVFBKKJKSMXN4L</t>
  </si>
  <si>
    <t>XUMGJ9LE8RXKR9U</t>
  </si>
  <si>
    <t>RJC990KJLQSW15E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</si>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</sst>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Z1" zoomScaleNormal="100" workbookViewId="0">
      <pane ySplit="1" topLeftCell="A305" activePane="bottomLeft" state="frozen"/>
      <selection activeCell="BP1" sqref="BP1"/>
      <selection pane="bottomLeft" activeCell="AB310" sqref="AB31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0" max="30" width="11.140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145</v>
      </c>
      <c r="C10">
        <v>3</v>
      </c>
      <c r="D10" t="s">
        <v>1368</v>
      </c>
      <c r="E10" t="s">
        <v>1380</v>
      </c>
      <c r="F10" t="s">
        <v>0</v>
      </c>
      <c r="G10" t="s">
        <v>0</v>
      </c>
      <c r="H10" t="s">
        <v>1386</v>
      </c>
      <c r="I10">
        <v>24500</v>
      </c>
      <c r="J10">
        <v>0</v>
      </c>
      <c r="K10">
        <v>500</v>
      </c>
      <c r="L10">
        <v>50</v>
      </c>
      <c r="M10" s="5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 s="5" t="s">
        <v>1692</v>
      </c>
      <c r="AC10" s="5" t="s">
        <v>1693</v>
      </c>
      <c r="AD10" s="17" t="s">
        <v>1694</v>
      </c>
      <c r="AE10" t="s">
        <v>4</v>
      </c>
      <c r="AF10" t="s">
        <v>1</v>
      </c>
      <c r="AG10" t="s">
        <v>1</v>
      </c>
      <c r="AH10" t="s">
        <v>2451</v>
      </c>
      <c r="AI10" t="s">
        <v>2973</v>
      </c>
      <c r="AJ10" t="s">
        <v>1</v>
      </c>
      <c r="AK10" t="s">
        <v>1</v>
      </c>
      <c r="AL10" t="s">
        <v>1</v>
      </c>
      <c r="AM10" t="s">
        <v>1</v>
      </c>
      <c r="AN10" t="s">
        <v>1</v>
      </c>
      <c r="AO10" t="s">
        <v>2451</v>
      </c>
      <c r="AP10" t="s">
        <v>1</v>
      </c>
      <c r="AQ10" t="s">
        <v>2</v>
      </c>
      <c r="AR10" t="s">
        <v>3</v>
      </c>
      <c r="AS10" t="s">
        <v>3</v>
      </c>
      <c r="AT10" t="s">
        <v>3</v>
      </c>
      <c r="AU10" t="s">
        <v>3</v>
      </c>
      <c r="AV10" t="s">
        <v>3</v>
      </c>
      <c r="AW10" t="s">
        <v>11</v>
      </c>
      <c r="AX10">
        <f>Tabla1[[#This Row],[precio del paquete]]-Tabla1[[#This Row],[Saldo_Deudor]]</f>
        <v>500</v>
      </c>
      <c r="AY10">
        <v>24000</v>
      </c>
      <c r="AZ10" t="s">
        <v>1</v>
      </c>
      <c r="BA10" t="s">
        <v>1</v>
      </c>
      <c r="BB10" t="s">
        <v>1</v>
      </c>
      <c r="BC10" t="s">
        <v>1386</v>
      </c>
      <c r="BD10" t="s">
        <v>1388</v>
      </c>
      <c r="BE10" t="s">
        <v>3</v>
      </c>
      <c r="BF10" t="s">
        <v>3</v>
      </c>
      <c r="BG10" t="s">
        <v>3</v>
      </c>
      <c r="BH10" t="s">
        <v>3</v>
      </c>
      <c r="BI10" t="s">
        <v>3</v>
      </c>
      <c r="BJ10" s="5" t="s">
        <v>3350</v>
      </c>
      <c r="BK10" t="s">
        <v>3</v>
      </c>
      <c r="BL10" t="s">
        <v>132</v>
      </c>
      <c r="BM10" t="s">
        <v>1</v>
      </c>
      <c r="BN10">
        <f>Tabla1[[#This Row],[precio del paquete]]</f>
        <v>24500</v>
      </c>
      <c r="BO10" t="s">
        <v>1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3382</v>
      </c>
      <c r="CD10" t="str" cm="1">
        <f t="array" aca="1" ref="CD10" ca="1">eConcatenar(A10:CB10,"|")</f>
        <v>CysKOYjLR6BCL3FS|CAR2022-0483|3|DIGNITY|TABASCO|CARDENAS|CARDENAS|2022-01-29|24500|0|500|50|2|0|0|0|0|0|0|0|0|0|0||0|0|0|SAUZ|RODRIGUEZ|ADOLFO|SOLTERO|X|X|CALLE SANTO DOMINGO CASA NUMERO 95|NUEVA ESPERANZA|X|X|X|X|X|CALLE SANTO DOMINGO CASA NUMERO 95|X|LUNES|x|x|x|x|x|DOMICILIO |500|24000|X|X|X|2022-01-29|2022-02-05|x|x|x|x|x|QWYNRBIY9KVXQO|x|HOMBRE|X|24500|X|X|X|X|X|X|X|X|CARDENAS|X|X|X|X|FINAL</v>
      </c>
    </row>
    <row r="11" spans="1:82" x14ac:dyDescent="0.25">
      <c r="A11" t="s">
        <v>146</v>
      </c>
      <c r="B11" t="s">
        <v>147</v>
      </c>
      <c r="C11">
        <v>3</v>
      </c>
      <c r="D11" t="s">
        <v>1369</v>
      </c>
      <c r="E11" t="s">
        <v>1380</v>
      </c>
      <c r="F11" t="s">
        <v>1381</v>
      </c>
      <c r="G11" t="s">
        <v>1381</v>
      </c>
      <c r="H11" t="s">
        <v>1386</v>
      </c>
      <c r="I11">
        <v>14800</v>
      </c>
      <c r="J11">
        <v>0</v>
      </c>
      <c r="K11">
        <v>500</v>
      </c>
      <c r="L11">
        <v>50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 t="s">
        <v>1695</v>
      </c>
      <c r="AC11" t="s">
        <v>1696</v>
      </c>
      <c r="AD11" s="18" t="s">
        <v>1697</v>
      </c>
      <c r="AE11" t="s">
        <v>4</v>
      </c>
      <c r="AF11" t="s">
        <v>1</v>
      </c>
      <c r="AG11" t="s">
        <v>1</v>
      </c>
      <c r="AH11" t="s">
        <v>2452</v>
      </c>
      <c r="AI11" t="s">
        <v>2974</v>
      </c>
      <c r="AJ11" t="s">
        <v>1</v>
      </c>
      <c r="AK11" t="s">
        <v>1</v>
      </c>
      <c r="AL11" t="s">
        <v>1</v>
      </c>
      <c r="AM11" t="s">
        <v>1</v>
      </c>
      <c r="AN11" t="s">
        <v>1</v>
      </c>
      <c r="AO11" t="s">
        <v>2452</v>
      </c>
      <c r="AP11" t="s">
        <v>1</v>
      </c>
      <c r="AQ11" t="s">
        <v>2</v>
      </c>
      <c r="AR11" t="s">
        <v>3</v>
      </c>
      <c r="AS11" t="s">
        <v>3</v>
      </c>
      <c r="AT11" t="s">
        <v>3</v>
      </c>
      <c r="AU11" t="s">
        <v>3</v>
      </c>
      <c r="AV11" t="s">
        <v>3</v>
      </c>
      <c r="AW11" t="s">
        <v>11</v>
      </c>
      <c r="AX11">
        <f>Tabla1[[#This Row],[precio del paquete]]-Tabla1[[#This Row],[Saldo_Deudor]]</f>
        <v>500</v>
      </c>
      <c r="AY11">
        <v>14300</v>
      </c>
      <c r="AZ11" t="s">
        <v>1</v>
      </c>
      <c r="BA11" t="s">
        <v>1</v>
      </c>
      <c r="BB11" t="s">
        <v>1</v>
      </c>
      <c r="BC11" t="s">
        <v>1386</v>
      </c>
      <c r="BD11" t="s">
        <v>1388</v>
      </c>
      <c r="BE11" t="s">
        <v>3</v>
      </c>
      <c r="BF11" t="s">
        <v>3</v>
      </c>
      <c r="BG11" t="s">
        <v>3</v>
      </c>
      <c r="BH11" t="s">
        <v>3</v>
      </c>
      <c r="BI11" t="s">
        <v>3</v>
      </c>
      <c r="BJ11" t="s">
        <v>3351</v>
      </c>
      <c r="BK11" t="s">
        <v>3</v>
      </c>
      <c r="BL11" t="s">
        <v>132</v>
      </c>
      <c r="BM11" t="s">
        <v>1</v>
      </c>
      <c r="BN11">
        <f>Tabla1[[#This Row],[precio del paquete]]</f>
        <v>14800</v>
      </c>
      <c r="BO11" t="s">
        <v>1</v>
      </c>
      <c r="BP11" t="s">
        <v>1</v>
      </c>
      <c r="BQ11" t="s">
        <v>1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3382</v>
      </c>
      <c r="CD11" t="str" cm="1">
        <f t="array" aca="1" ref="CD11" ca="1">eConcatenar(A11:CB11,"|")</f>
        <v>eMnaDKAzchrKWuN3|CAR2022-0604|3|MEMORIAL|TABASCO|CUNDUACAN|CUNDUACAN|2022-01-29|14800|0|500|50|1|0|0|0|0|0|0|0|0|0|0||0|0|0|MORALES|GERONIMO|MARIA GUADALUPE|SOLTERO|X|X|CALLE PRINCIPAL AL INGENIERO ZARAGOZA RODRIGUEZ RIVERA|PLAYITA|X|X|X|X|X|CALLE PRINCIPAL AL INGENIERO ZARAGOZA RODRIGUEZ RIVERA|X|LUNES|x|x|x|x|x|DOMICILIO |500|14300|X|X|X|2022-01-29|2022-02-05|x|x|x|x|x|QWZHGJ0U9KVTQO|x|HOMBRE|X|14800|X|X|X|X|X|X|X|X|CARDENAS|X|X|X|X|FINAL</v>
      </c>
    </row>
    <row r="12" spans="1:82" x14ac:dyDescent="0.25">
      <c r="A12" t="s">
        <v>148</v>
      </c>
      <c r="B12" t="s">
        <v>149</v>
      </c>
      <c r="C12">
        <v>3</v>
      </c>
      <c r="D12" t="s">
        <v>1369</v>
      </c>
      <c r="E12" t="s">
        <v>1380</v>
      </c>
      <c r="F12" t="s">
        <v>0</v>
      </c>
      <c r="G12" t="s">
        <v>0</v>
      </c>
      <c r="H12" t="s">
        <v>1387</v>
      </c>
      <c r="I12">
        <v>14800</v>
      </c>
      <c r="J12">
        <v>0</v>
      </c>
      <c r="K12">
        <v>200</v>
      </c>
      <c r="L12">
        <v>50</v>
      </c>
      <c r="M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 t="s">
        <v>1698</v>
      </c>
      <c r="AC12" t="s">
        <v>1699</v>
      </c>
      <c r="AD12" s="18" t="s">
        <v>1700</v>
      </c>
      <c r="AE12" t="s">
        <v>4</v>
      </c>
      <c r="AF12" t="s">
        <v>1</v>
      </c>
      <c r="AG12" t="s">
        <v>1</v>
      </c>
      <c r="AH12" t="s">
        <v>2453</v>
      </c>
      <c r="AI12" t="s">
        <v>2975</v>
      </c>
      <c r="AJ12" t="s">
        <v>1</v>
      </c>
      <c r="AK12" t="s">
        <v>1</v>
      </c>
      <c r="AL12" t="s">
        <v>1</v>
      </c>
      <c r="AM12" t="s">
        <v>1</v>
      </c>
      <c r="AN12" t="s">
        <v>1</v>
      </c>
      <c r="AO12" t="s">
        <v>2453</v>
      </c>
      <c r="AP12" t="s">
        <v>1</v>
      </c>
      <c r="AQ12" t="s">
        <v>2</v>
      </c>
      <c r="AR12" t="s">
        <v>3</v>
      </c>
      <c r="AS12" t="s">
        <v>3</v>
      </c>
      <c r="AT12" t="s">
        <v>3</v>
      </c>
      <c r="AU12" t="s">
        <v>3</v>
      </c>
      <c r="AV12" t="s">
        <v>3</v>
      </c>
      <c r="AW12" t="s">
        <v>11</v>
      </c>
      <c r="AX12">
        <f>Tabla1[[#This Row],[precio del paquete]]-Tabla1[[#This Row],[Saldo_Deudor]]</f>
        <v>200</v>
      </c>
      <c r="AY12">
        <v>14600</v>
      </c>
      <c r="AZ12" t="s">
        <v>1</v>
      </c>
      <c r="BA12" t="s">
        <v>1</v>
      </c>
      <c r="BB12" t="s">
        <v>1</v>
      </c>
      <c r="BC12" t="s">
        <v>1387</v>
      </c>
      <c r="BD12" t="s">
        <v>1397</v>
      </c>
      <c r="BE12" t="s">
        <v>3</v>
      </c>
      <c r="BF12" t="s">
        <v>3</v>
      </c>
      <c r="BG12" t="s">
        <v>3</v>
      </c>
      <c r="BH12" t="s">
        <v>3</v>
      </c>
      <c r="BI12" t="s">
        <v>3</v>
      </c>
      <c r="BJ12" t="s">
        <v>3352</v>
      </c>
      <c r="BK12" t="s">
        <v>3</v>
      </c>
      <c r="BL12" t="s">
        <v>132</v>
      </c>
      <c r="BM12" t="s">
        <v>1</v>
      </c>
      <c r="BN12">
        <f>Tabla1[[#This Row],[precio del paquete]]</f>
        <v>14800</v>
      </c>
      <c r="BO12" t="s">
        <v>1</v>
      </c>
      <c r="BP12" t="s">
        <v>1</v>
      </c>
      <c r="BQ12" t="s">
        <v>1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3382</v>
      </c>
      <c r="CD12" t="str" cm="1">
        <f t="array" aca="1" ref="CD12" ca="1">eConcatenar(A12:CB12,"|")</f>
        <v>m1DMidLRQF0T5IA7|CAR2022-0608|3|MEMORIAL|TABASCO|CARDENAS|CARDENAS|2022-01-31|14800|0|200|50|2|0|0|0|0|0|0|0|0|0|0||0|0|0|VAZQUEZ|CORDOVA|ERNESTO|SOLTERO|X|X|CALLE NUMERO 8 CASA NUMERO 212|C-29 VICENTE GUERRERO|X|X|X|X|X|CALLE NUMERO 8 CASA NUMERO 212|X|LUNES|x|x|x|x|x|DOMICILIO |200|14600|X|X|X|2022-01-31|2022-02-07|x|x|x|x|x|INFHQSH0B2NMACS|x|HOMBRE|X|14800|X|X|X|X|X|X|X|X|CARDENAS|X|X|X|X|FINAL</v>
      </c>
    </row>
    <row r="13" spans="1:82" x14ac:dyDescent="0.25">
      <c r="A13" t="s">
        <v>150</v>
      </c>
      <c r="B13" t="s">
        <v>151</v>
      </c>
      <c r="C13">
        <v>3</v>
      </c>
      <c r="D13" t="s">
        <v>1369</v>
      </c>
      <c r="E13" t="s">
        <v>1380</v>
      </c>
      <c r="F13" t="s">
        <v>1381</v>
      </c>
      <c r="G13" t="s">
        <v>1381</v>
      </c>
      <c r="H13" t="s">
        <v>1387</v>
      </c>
      <c r="I13">
        <v>14800</v>
      </c>
      <c r="J13">
        <v>0</v>
      </c>
      <c r="K13">
        <v>50</v>
      </c>
      <c r="L13">
        <v>50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 t="s">
        <v>8</v>
      </c>
      <c r="AC13" t="s">
        <v>1701</v>
      </c>
      <c r="AD13" s="18" t="s">
        <v>1702</v>
      </c>
      <c r="AE13" t="s">
        <v>4</v>
      </c>
      <c r="AF13" t="s">
        <v>1</v>
      </c>
      <c r="AG13" t="s">
        <v>1</v>
      </c>
      <c r="AH13" t="s">
        <v>2454</v>
      </c>
      <c r="AI13" t="s">
        <v>2976</v>
      </c>
      <c r="AJ13" t="s">
        <v>1</v>
      </c>
      <c r="AK13" t="s">
        <v>1</v>
      </c>
      <c r="AL13" t="s">
        <v>1</v>
      </c>
      <c r="AM13" t="s">
        <v>1</v>
      </c>
      <c r="AN13" t="s">
        <v>1</v>
      </c>
      <c r="AO13" t="s">
        <v>2454</v>
      </c>
      <c r="AP13" t="s">
        <v>1</v>
      </c>
      <c r="AQ13" t="s">
        <v>2</v>
      </c>
      <c r="AR13" t="s">
        <v>3</v>
      </c>
      <c r="AS13" t="s">
        <v>3</v>
      </c>
      <c r="AT13" t="s">
        <v>3</v>
      </c>
      <c r="AU13" t="s">
        <v>3</v>
      </c>
      <c r="AV13" t="s">
        <v>3</v>
      </c>
      <c r="AW13" t="s">
        <v>11</v>
      </c>
      <c r="AX13">
        <f>Tabla1[[#This Row],[precio del paquete]]-Tabla1[[#This Row],[Saldo_Deudor]]</f>
        <v>50</v>
      </c>
      <c r="AY13">
        <v>14750</v>
      </c>
      <c r="AZ13" t="s">
        <v>1</v>
      </c>
      <c r="BA13" t="s">
        <v>1</v>
      </c>
      <c r="BB13" t="s">
        <v>1</v>
      </c>
      <c r="BC13" t="s">
        <v>1387</v>
      </c>
      <c r="BD13" t="s">
        <v>1397</v>
      </c>
      <c r="BE13" t="s">
        <v>3</v>
      </c>
      <c r="BF13" t="s">
        <v>3</v>
      </c>
      <c r="BG13" t="s">
        <v>3</v>
      </c>
      <c r="BH13" t="s">
        <v>3</v>
      </c>
      <c r="BI13" t="s">
        <v>3</v>
      </c>
      <c r="BJ13" t="s">
        <v>3353</v>
      </c>
      <c r="BK13" t="s">
        <v>3</v>
      </c>
      <c r="BL13" t="s">
        <v>132</v>
      </c>
      <c r="BM13" t="s">
        <v>1</v>
      </c>
      <c r="BN13">
        <f>Tabla1[[#This Row],[precio del paquete]]</f>
        <v>14800</v>
      </c>
      <c r="BO13" t="s">
        <v>1</v>
      </c>
      <c r="BP13" t="s">
        <v>1</v>
      </c>
      <c r="BQ13" t="s">
        <v>1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3382</v>
      </c>
      <c r="CD13" t="str" cm="1">
        <f t="array" aca="1" ref="CD13" ca="1">eConcatenar(A13:CB13,"|")</f>
        <v>G18xEOkICbtiXm6U|CAR2022-0616|3|MEMORIAL|TABASCO|CUNDUACAN|CUNDUACAN|2022-01-31|14800|0|50|50|2|0|0|0|0|0|0|0|0|0|0||0|0|0|GOMEZ|CORTAZA|ANA MARIA|SOLTERO|X|X|CARRETERA A TULIPAN SIN NUMERO|YOLOXOCHILT SEGUNDA SECCION SAN SEVERO|X|X|X|X|X|CARRETERA A TULIPAN SIN NUMERO|X|LUNES|x|x|x|x|x|DOMICILIO |50|14750|X|X|X|2022-01-31|2022-02-07|x|x|x|x|x|TGYGIVCAZFPUVXE|x|HOMBRE|X|14800|X|X|X|X|X|X|X|X|CARDENAS|X|X|X|X|FINAL</v>
      </c>
    </row>
    <row r="14" spans="1:82" x14ac:dyDescent="0.25">
      <c r="A14" t="s">
        <v>152</v>
      </c>
      <c r="B14" t="s">
        <v>153</v>
      </c>
      <c r="C14">
        <v>3</v>
      </c>
      <c r="D14" t="s">
        <v>1369</v>
      </c>
      <c r="E14" t="s">
        <v>1380</v>
      </c>
      <c r="F14" t="s">
        <v>0</v>
      </c>
      <c r="G14" t="s">
        <v>0</v>
      </c>
      <c r="H14" t="s">
        <v>1387</v>
      </c>
      <c r="I14">
        <v>14800</v>
      </c>
      <c r="J14">
        <v>0</v>
      </c>
      <c r="K14">
        <v>200</v>
      </c>
      <c r="L14">
        <v>50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 t="s">
        <v>1695</v>
      </c>
      <c r="AC14" t="s">
        <v>1703</v>
      </c>
      <c r="AD14" s="18" t="s">
        <v>1704</v>
      </c>
      <c r="AE14" t="s">
        <v>4</v>
      </c>
      <c r="AF14" t="s">
        <v>1</v>
      </c>
      <c r="AG14" t="s">
        <v>1</v>
      </c>
      <c r="AH14" t="s">
        <v>2455</v>
      </c>
      <c r="AI14" t="s">
        <v>2977</v>
      </c>
      <c r="AJ14" t="s">
        <v>1</v>
      </c>
      <c r="AK14" t="s">
        <v>1</v>
      </c>
      <c r="AL14" t="s">
        <v>1</v>
      </c>
      <c r="AM14" t="s">
        <v>1</v>
      </c>
      <c r="AN14" t="s">
        <v>1</v>
      </c>
      <c r="AO14" t="s">
        <v>2455</v>
      </c>
      <c r="AP14" t="s">
        <v>1</v>
      </c>
      <c r="AQ14" t="s">
        <v>2</v>
      </c>
      <c r="AR14" t="s">
        <v>3</v>
      </c>
      <c r="AS14" t="s">
        <v>3</v>
      </c>
      <c r="AT14" t="s">
        <v>3</v>
      </c>
      <c r="AU14" t="s">
        <v>3</v>
      </c>
      <c r="AV14" t="s">
        <v>3</v>
      </c>
      <c r="AW14" t="s">
        <v>11</v>
      </c>
      <c r="AX14">
        <f>Tabla1[[#This Row],[precio del paquete]]-Tabla1[[#This Row],[Saldo_Deudor]]</f>
        <v>200</v>
      </c>
      <c r="AY14">
        <v>14600</v>
      </c>
      <c r="AZ14" t="s">
        <v>1</v>
      </c>
      <c r="BA14" t="s">
        <v>1</v>
      </c>
      <c r="BB14" t="s">
        <v>1</v>
      </c>
      <c r="BC14" t="s">
        <v>1387</v>
      </c>
      <c r="BD14" t="s">
        <v>1397</v>
      </c>
      <c r="BE14" t="s">
        <v>3</v>
      </c>
      <c r="BF14" t="s">
        <v>3</v>
      </c>
      <c r="BG14" t="s">
        <v>3</v>
      </c>
      <c r="BH14" t="s">
        <v>3</v>
      </c>
      <c r="BI14" t="s">
        <v>3</v>
      </c>
      <c r="BJ14" t="s">
        <v>143</v>
      </c>
      <c r="BK14" t="s">
        <v>3</v>
      </c>
      <c r="BL14" t="s">
        <v>132</v>
      </c>
      <c r="BM14" t="s">
        <v>1</v>
      </c>
      <c r="BN14">
        <f>Tabla1[[#This Row],[precio del paquete]]</f>
        <v>14800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3382</v>
      </c>
      <c r="CD14" t="str" cm="1">
        <f t="array" aca="1" ref="CD14" ca="1">eConcatenar(A14:CB14,"|")</f>
        <v>n2EPd3Xv9guYq4EW|CAR2022-0613|3|MEMORIAL|TABASCO|CARDENAS|CARDENAS|2022-01-31|14800|0|200|50|1|0|0|0|0|0|0|0|0|0|0||0|0|0|MORALES|RAMOS|ANGELICA|SOLTERO|X|X|CALLE PRINCIPAL CALLE 1 AREA VERDE NUMERO 231|HABANERO PRIMERA SECCION|X|X|X|X|X|CALLE PRINCIPAL CALLE 1 AREA VERDE NUMERO 231|X|LUNES|x|x|x|x|x|DOMICILIO |200|14600|X|X|X|2022-01-31|2022-02-07|x|x|x|x|x|NL2E7OEHPWYUH7Y|x|HOMBRE|X|14800|X|X|X|X|X|X|X|X|CARDENAS|X|X|X|X|FINAL</v>
      </c>
    </row>
    <row r="15" spans="1:82" x14ac:dyDescent="0.25">
      <c r="A15" t="s">
        <v>154</v>
      </c>
      <c r="B15" t="s">
        <v>155</v>
      </c>
      <c r="C15">
        <v>3</v>
      </c>
      <c r="D15" t="s">
        <v>1369</v>
      </c>
      <c r="E15" t="s">
        <v>1380</v>
      </c>
      <c r="F15" t="s">
        <v>0</v>
      </c>
      <c r="G15" t="s">
        <v>0</v>
      </c>
      <c r="H15" t="s">
        <v>1387</v>
      </c>
      <c r="I15">
        <v>14800</v>
      </c>
      <c r="J15">
        <v>0</v>
      </c>
      <c r="K15">
        <v>50</v>
      </c>
      <c r="L15">
        <v>50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 t="s">
        <v>1695</v>
      </c>
      <c r="AC15" t="s">
        <v>1705</v>
      </c>
      <c r="AD15" s="18" t="s">
        <v>1706</v>
      </c>
      <c r="AE15" t="s">
        <v>4</v>
      </c>
      <c r="AF15" t="s">
        <v>1</v>
      </c>
      <c r="AG15" t="s">
        <v>1</v>
      </c>
      <c r="AH15" t="s">
        <v>2456</v>
      </c>
      <c r="AI15" t="s">
        <v>2977</v>
      </c>
      <c r="AJ15" t="s">
        <v>1</v>
      </c>
      <c r="AK15" t="s">
        <v>1</v>
      </c>
      <c r="AL15" t="s">
        <v>1</v>
      </c>
      <c r="AM15" t="s">
        <v>1</v>
      </c>
      <c r="AN15" t="s">
        <v>1</v>
      </c>
      <c r="AO15" t="s">
        <v>2456</v>
      </c>
      <c r="AP15" t="s">
        <v>1</v>
      </c>
      <c r="AQ15" t="s">
        <v>2</v>
      </c>
      <c r="AR15" t="s">
        <v>3</v>
      </c>
      <c r="AS15" t="s">
        <v>3</v>
      </c>
      <c r="AT15" t="s">
        <v>3</v>
      </c>
      <c r="AU15" t="s">
        <v>3</v>
      </c>
      <c r="AV15" t="s">
        <v>3</v>
      </c>
      <c r="AW15" t="s">
        <v>11</v>
      </c>
      <c r="AX15">
        <f>Tabla1[[#This Row],[precio del paquete]]-Tabla1[[#This Row],[Saldo_Deudor]]</f>
        <v>50</v>
      </c>
      <c r="AY15">
        <v>14750</v>
      </c>
      <c r="AZ15" t="s">
        <v>1</v>
      </c>
      <c r="BA15" t="s">
        <v>1</v>
      </c>
      <c r="BB15" t="s">
        <v>1</v>
      </c>
      <c r="BC15" t="s">
        <v>1387</v>
      </c>
      <c r="BD15" t="s">
        <v>1397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t="s">
        <v>143</v>
      </c>
      <c r="BK15" t="s">
        <v>3</v>
      </c>
      <c r="BL15" t="s">
        <v>132</v>
      </c>
      <c r="BM15" t="s">
        <v>1</v>
      </c>
      <c r="BN15">
        <f>Tabla1[[#This Row],[precio del paquete]]</f>
        <v>14800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3382</v>
      </c>
      <c r="CD15" t="str" cm="1">
        <f t="array" aca="1" ref="CD15" ca="1">eConcatenar(A15:CB15,"|")</f>
        <v>92KAyZ0UlVpr9XKf|CAR2022-0615|3|MEMORIAL|TABASCO|CARDENAS|CARDENAS|2022-01-31|14800|0|50|50|0|0|0|0|0|0|0|0|0|0|0||0|0|0|MORALES|BOUCHET|MARISOL|SOLTERO|X|X|CALLE PRINCIPAL SIN NUMERO|HABANERO PRIMERA SECCION|X|X|X|X|X|CALLE PRINCIPAL SIN NUMERO|X|LUNES|x|x|x|x|x|DOMICILIO |50|14750|X|X|X|2022-01-31|2022-02-07|x|x|x|x|x|NL2E7OEHPWYUH7Y|x|HOMBRE|X|14800|X|X|X|X|X|X|X|X|CARDENAS|X|X|X|X|FINAL</v>
      </c>
    </row>
    <row r="16" spans="1:82" x14ac:dyDescent="0.25">
      <c r="A16" t="s">
        <v>156</v>
      </c>
      <c r="B16" t="s">
        <v>157</v>
      </c>
      <c r="C16">
        <v>3</v>
      </c>
      <c r="D16" t="s">
        <v>1369</v>
      </c>
      <c r="E16" t="s">
        <v>1380</v>
      </c>
      <c r="F16" t="s">
        <v>0</v>
      </c>
      <c r="G16" t="s">
        <v>0</v>
      </c>
      <c r="H16" t="s">
        <v>1386</v>
      </c>
      <c r="I16">
        <v>14800</v>
      </c>
      <c r="J16">
        <v>0</v>
      </c>
      <c r="K16">
        <v>50</v>
      </c>
      <c r="L16">
        <v>50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 t="s">
        <v>1707</v>
      </c>
      <c r="AC16" t="s">
        <v>1708</v>
      </c>
      <c r="AD16" s="18" t="s">
        <v>1709</v>
      </c>
      <c r="AE16" t="s">
        <v>4</v>
      </c>
      <c r="AF16" t="s">
        <v>1</v>
      </c>
      <c r="AG16" t="s">
        <v>1</v>
      </c>
      <c r="AH16" t="s">
        <v>2457</v>
      </c>
      <c r="AI16" t="s">
        <v>2977</v>
      </c>
      <c r="AJ16" t="s">
        <v>1</v>
      </c>
      <c r="AK16" t="s">
        <v>1</v>
      </c>
      <c r="AL16" t="s">
        <v>1</v>
      </c>
      <c r="AM16" t="s">
        <v>1</v>
      </c>
      <c r="AN16" t="s">
        <v>1</v>
      </c>
      <c r="AO16" t="s">
        <v>2457</v>
      </c>
      <c r="AP16" t="s">
        <v>1</v>
      </c>
      <c r="AQ16" t="s">
        <v>2</v>
      </c>
      <c r="AR16" t="s">
        <v>3</v>
      </c>
      <c r="AS16" t="s">
        <v>3</v>
      </c>
      <c r="AT16" t="s">
        <v>3</v>
      </c>
      <c r="AU16" t="s">
        <v>3</v>
      </c>
      <c r="AV16" t="s">
        <v>3</v>
      </c>
      <c r="AW16" t="s">
        <v>11</v>
      </c>
      <c r="AX16">
        <f>Tabla1[[#This Row],[precio del paquete]]-Tabla1[[#This Row],[Saldo_Deudor]]</f>
        <v>50</v>
      </c>
      <c r="AY16">
        <v>14750</v>
      </c>
      <c r="AZ16" t="s">
        <v>1</v>
      </c>
      <c r="BA16" t="s">
        <v>1</v>
      </c>
      <c r="BB16" t="s">
        <v>1</v>
      </c>
      <c r="BC16" t="s">
        <v>1386</v>
      </c>
      <c r="BD16" t="s">
        <v>1388</v>
      </c>
      <c r="BE16" t="s">
        <v>3</v>
      </c>
      <c r="BF16" t="s">
        <v>3</v>
      </c>
      <c r="BG16" t="s">
        <v>3</v>
      </c>
      <c r="BH16" t="s">
        <v>3</v>
      </c>
      <c r="BI16" t="s">
        <v>3</v>
      </c>
      <c r="BJ16" t="s">
        <v>3354</v>
      </c>
      <c r="BK16" t="s">
        <v>3</v>
      </c>
      <c r="BL16" t="s">
        <v>132</v>
      </c>
      <c r="BM16" t="s">
        <v>1</v>
      </c>
      <c r="BN16">
        <f>Tabla1[[#This Row],[precio del paquete]]</f>
        <v>14800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3382</v>
      </c>
      <c r="CD16" t="str" cm="1">
        <f t="array" aca="1" ref="CD16" ca="1">eConcatenar(A16:CB16,"|")</f>
        <v>ZsDQqdvnIAz3FwST|CAR2022-0605|3|MEMORIAL|TABASCO|CARDENAS|CARDENAS|2022-01-29|14800|0|50|50|1|0|0|0|0|0|0|0|0|0|0||0|0|0|OLAN||MIGULINA RAMOS|SOLTERO|X|X|CALLE NUMERO 2 CASA BUMERO 58|HABANERO PRIMERA SECCION|X|X|X|X|X|CALLE NUMERO 2 CASA BUMERO 58|X|LUNES|x|x|x|x|x|DOMICILIO |50|14750|X|X|X|2022-01-29|2022-02-05|x|x|x|x|x|MYEDVABVTAZ4TPF|x|HOMBRE|X|14800|X|X|X|X|X|X|X|X|CARDENAS|X|X|X|X|FINAL</v>
      </c>
    </row>
    <row r="17" spans="1:82" x14ac:dyDescent="0.25">
      <c r="A17" t="s">
        <v>158</v>
      </c>
      <c r="B17" t="s">
        <v>159</v>
      </c>
      <c r="C17">
        <v>3</v>
      </c>
      <c r="D17" t="s">
        <v>1369</v>
      </c>
      <c r="E17" t="s">
        <v>1380</v>
      </c>
      <c r="F17" t="s">
        <v>1382</v>
      </c>
      <c r="G17" t="s">
        <v>1382</v>
      </c>
      <c r="H17" t="s">
        <v>1386</v>
      </c>
      <c r="I17">
        <v>14800</v>
      </c>
      <c r="J17">
        <v>0</v>
      </c>
      <c r="K17">
        <v>100</v>
      </c>
      <c r="L17">
        <v>50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 t="s">
        <v>1710</v>
      </c>
      <c r="AC17" t="s">
        <v>1711</v>
      </c>
      <c r="AD17" s="18" t="s">
        <v>1712</v>
      </c>
      <c r="AE17" t="s">
        <v>4</v>
      </c>
      <c r="AF17" t="s">
        <v>1</v>
      </c>
      <c r="AG17" t="s">
        <v>1</v>
      </c>
      <c r="AH17" t="s">
        <v>2458</v>
      </c>
      <c r="AI17" t="s">
        <v>2978</v>
      </c>
      <c r="AJ17" t="s">
        <v>1</v>
      </c>
      <c r="AK17" t="s">
        <v>1</v>
      </c>
      <c r="AL17" t="s">
        <v>1</v>
      </c>
      <c r="AM17" t="s">
        <v>1</v>
      </c>
      <c r="AN17" t="s">
        <v>1</v>
      </c>
      <c r="AO17" t="s">
        <v>2458</v>
      </c>
      <c r="AP17" t="s">
        <v>1</v>
      </c>
      <c r="AQ17" t="s">
        <v>2</v>
      </c>
      <c r="AR17" t="s">
        <v>3</v>
      </c>
      <c r="AS17" t="s">
        <v>3</v>
      </c>
      <c r="AT17" t="s">
        <v>3</v>
      </c>
      <c r="AU17" t="s">
        <v>3</v>
      </c>
      <c r="AV17" t="s">
        <v>3</v>
      </c>
      <c r="AW17" t="s">
        <v>11</v>
      </c>
      <c r="AX17">
        <f>Tabla1[[#This Row],[precio del paquete]]-Tabla1[[#This Row],[Saldo_Deudor]]</f>
        <v>100</v>
      </c>
      <c r="AY17">
        <v>14700</v>
      </c>
      <c r="AZ17" t="s">
        <v>1</v>
      </c>
      <c r="BA17" t="s">
        <v>1</v>
      </c>
      <c r="BB17" t="s">
        <v>1</v>
      </c>
      <c r="BC17" t="s">
        <v>1386</v>
      </c>
      <c r="BD17" t="s">
        <v>1388</v>
      </c>
      <c r="BE17" t="s">
        <v>3</v>
      </c>
      <c r="BF17" t="s">
        <v>3</v>
      </c>
      <c r="BG17" t="s">
        <v>3</v>
      </c>
      <c r="BH17" t="s">
        <v>3</v>
      </c>
      <c r="BI17" t="s">
        <v>3</v>
      </c>
      <c r="BJ17" t="s">
        <v>3355</v>
      </c>
      <c r="BK17" t="s">
        <v>3</v>
      </c>
      <c r="BL17" t="s">
        <v>132</v>
      </c>
      <c r="BM17" t="s">
        <v>1</v>
      </c>
      <c r="BN17">
        <f>Tabla1[[#This Row],[precio del paquete]]</f>
        <v>14800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3382</v>
      </c>
      <c r="CD17" t="str" cm="1">
        <f t="array" aca="1" ref="CD17" ca="1">eConcatenar(A17:CB17,"|")</f>
        <v>crlDk25cc12E5WMh|CAR2022-0498|3|MEMORIAL|TABASCO|HUIMANGUILLO|HUIMANGUILLO|2022-01-29|14800|0|100|50|1|0|0|0|0|0|0|0|0|0|0||0|0|0|DEL CARMEN|HERNANDEZ|MICHEL|SOLTERO|X|X|CALLE DE LA ESCUELA SIN NUMERO|EL DESECHO PRIMERA SECCION|X|X|X|X|X|CALLE DE LA ESCUELA SIN NUMERO|X|LUNES|x|x|x|x|x|DOMICILIO |100|14700|X|X|X|2022-01-29|2022-02-05|x|x|x|x|x|OQGRX80BMUHQJ2X|x|HOMBRE|X|14800|X|X|X|X|X|X|X|X|CARDENAS|X|X|X|X|FINAL</v>
      </c>
    </row>
    <row r="18" spans="1:82" x14ac:dyDescent="0.25">
      <c r="A18" t="s">
        <v>160</v>
      </c>
      <c r="B18" t="s">
        <v>161</v>
      </c>
      <c r="C18">
        <v>3</v>
      </c>
      <c r="D18" t="s">
        <v>1369</v>
      </c>
      <c r="E18" t="s">
        <v>1380</v>
      </c>
      <c r="F18" t="s">
        <v>0</v>
      </c>
      <c r="G18" t="s">
        <v>0</v>
      </c>
      <c r="H18" t="s">
        <v>1386</v>
      </c>
      <c r="I18">
        <v>14800</v>
      </c>
      <c r="J18">
        <v>0</v>
      </c>
      <c r="K18">
        <v>100</v>
      </c>
      <c r="L18">
        <v>50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 t="s">
        <v>1713</v>
      </c>
      <c r="AC18" t="s">
        <v>1707</v>
      </c>
      <c r="AD18" s="18" t="s">
        <v>1714</v>
      </c>
      <c r="AE18" t="s">
        <v>4</v>
      </c>
      <c r="AF18" t="s">
        <v>1</v>
      </c>
      <c r="AG18" t="s">
        <v>1</v>
      </c>
      <c r="AH18" t="s">
        <v>2459</v>
      </c>
      <c r="AI18" t="s">
        <v>2977</v>
      </c>
      <c r="AJ18" t="s">
        <v>1</v>
      </c>
      <c r="AK18" t="s">
        <v>1</v>
      </c>
      <c r="AL18" t="s">
        <v>1</v>
      </c>
      <c r="AM18" t="s">
        <v>1</v>
      </c>
      <c r="AN18" t="s">
        <v>1</v>
      </c>
      <c r="AO18" t="s">
        <v>2459</v>
      </c>
      <c r="AP18" t="s">
        <v>1</v>
      </c>
      <c r="AQ18" t="s">
        <v>2</v>
      </c>
      <c r="AR18" t="s">
        <v>3</v>
      </c>
      <c r="AS18" t="s">
        <v>3</v>
      </c>
      <c r="AT18" t="s">
        <v>3</v>
      </c>
      <c r="AU18" t="s">
        <v>3</v>
      </c>
      <c r="AV18" t="s">
        <v>3</v>
      </c>
      <c r="AW18" t="s">
        <v>11</v>
      </c>
      <c r="AX18">
        <f>Tabla1[[#This Row],[precio del paquete]]-Tabla1[[#This Row],[Saldo_Deudor]]</f>
        <v>100</v>
      </c>
      <c r="AY18">
        <v>14700</v>
      </c>
      <c r="AZ18" t="s">
        <v>1</v>
      </c>
      <c r="BA18" t="s">
        <v>1</v>
      </c>
      <c r="BB18" t="s">
        <v>1</v>
      </c>
      <c r="BC18" t="s">
        <v>1386</v>
      </c>
      <c r="BD18" t="s">
        <v>1388</v>
      </c>
      <c r="BE18" t="s">
        <v>3</v>
      </c>
      <c r="BF18" t="s">
        <v>3</v>
      </c>
      <c r="BG18" t="s">
        <v>3</v>
      </c>
      <c r="BH18" t="s">
        <v>3</v>
      </c>
      <c r="BI18" t="s">
        <v>3</v>
      </c>
      <c r="BJ18" t="s">
        <v>143</v>
      </c>
      <c r="BK18" t="s">
        <v>3</v>
      </c>
      <c r="BL18" t="s">
        <v>132</v>
      </c>
      <c r="BM18" t="s">
        <v>1</v>
      </c>
      <c r="BN18">
        <f>Tabla1[[#This Row],[precio del paquete]]</f>
        <v>14800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3382</v>
      </c>
      <c r="CD18" t="str" cm="1">
        <f t="array" aca="1" ref="CD18" ca="1">eConcatenar(A18:CB18,"|")</f>
        <v>XvkQWOPDj0OerAMM|CAR2022-0496|3|MEMORIAL|TABASCO|CARDENAS|CARDENAS|2022-01-29|14800|0|100|50|0|0|0|0|0|0|0|0|0|0|0||0|0|0|DE LA CRUZ|OLAN|URIEL|SOLTERO|X|X|CALLE PRINCIPAL FRENTE AL CAMPO|HABANERO PRIMERA SECCION|X|X|X|X|X|CALLE PRINCIPAL FRENTE AL CAMPO|X|LUNES|x|x|x|x|x|DOMICILIO |100|14700|X|X|X|2022-01-29|2022-02-05|x|x|x|x|x|NL2E7OEHPWYUH7Y|x|HOMBRE|X|14800|X|X|X|X|X|X|X|X|CARDENAS|X|X|X|X|FINAL</v>
      </c>
    </row>
    <row r="19" spans="1:82" x14ac:dyDescent="0.25">
      <c r="A19" t="s">
        <v>162</v>
      </c>
      <c r="B19" t="s">
        <v>163</v>
      </c>
      <c r="C19">
        <v>3</v>
      </c>
      <c r="D19" t="s">
        <v>1369</v>
      </c>
      <c r="E19" t="s">
        <v>1380</v>
      </c>
      <c r="F19" t="s">
        <v>1383</v>
      </c>
      <c r="G19" t="s">
        <v>1383</v>
      </c>
      <c r="H19" t="s">
        <v>1388</v>
      </c>
      <c r="I19">
        <v>14800</v>
      </c>
      <c r="J19">
        <v>0</v>
      </c>
      <c r="K19">
        <v>200</v>
      </c>
      <c r="L19">
        <v>50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 t="s">
        <v>1715</v>
      </c>
      <c r="AC19" t="s">
        <v>1716</v>
      </c>
      <c r="AD19" s="18" t="s">
        <v>1717</v>
      </c>
      <c r="AE19" t="s">
        <v>4</v>
      </c>
      <c r="AF19" t="s">
        <v>1</v>
      </c>
      <c r="AG19" t="s">
        <v>1</v>
      </c>
      <c r="AH19" t="s">
        <v>2460</v>
      </c>
      <c r="AI19" t="s">
        <v>2979</v>
      </c>
      <c r="AJ19" t="s">
        <v>1</v>
      </c>
      <c r="AK19" t="s">
        <v>1</v>
      </c>
      <c r="AL19" t="s">
        <v>1</v>
      </c>
      <c r="AM19" t="s">
        <v>1</v>
      </c>
      <c r="AN19" t="s">
        <v>1</v>
      </c>
      <c r="AO19" t="s">
        <v>2460</v>
      </c>
      <c r="AP19" t="s">
        <v>1</v>
      </c>
      <c r="AQ19" t="s">
        <v>2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11</v>
      </c>
      <c r="AX19">
        <f>Tabla1[[#This Row],[precio del paquete]]-Tabla1[[#This Row],[Saldo_Deudor]]</f>
        <v>200</v>
      </c>
      <c r="AY19">
        <v>14600</v>
      </c>
      <c r="AZ19" t="s">
        <v>1</v>
      </c>
      <c r="BA19" t="s">
        <v>1</v>
      </c>
      <c r="BB19" t="s">
        <v>1</v>
      </c>
      <c r="BC19" t="s">
        <v>1388</v>
      </c>
      <c r="BD19" t="s">
        <v>1398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3356</v>
      </c>
      <c r="BK19" t="s">
        <v>3</v>
      </c>
      <c r="BL19" t="s">
        <v>132</v>
      </c>
      <c r="BM19" t="s">
        <v>1</v>
      </c>
      <c r="BN19">
        <f>Tabla1[[#This Row],[precio del paquete]]</f>
        <v>14800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3382</v>
      </c>
      <c r="CD19" t="str" cm="1">
        <f t="array" aca="1" ref="CD19" ca="1">eConcatenar(A19:CB19,"|")</f>
        <v>IZyaF9V5H5VjOfns|CAR2022-0808|3|MEMORIAL|TABASCO|TACOTALPA|TACOTALPA|2022-02-05|14800|0|200|50|1|0|0|0|0|0|0|0|0|0|0||0|0|0|CANO|JUAREZ|LILI|SOLTERO|X|X|CALLE DOMINGO BORREGO NUMERO 25|PUEBLO NUEVO|X|X|X|X|X|CALLE DOMINGO BORREGO NUMERO 25|X|LUNES|x|x|x|x|x|DOMICILIO |200|14600|X|X|X|2022-02-05|2022-02-12|x|x|x|x|x|S35D6D3Y9KVTQO|x|HOMBRE|X|14800|X|X|X|X|X|X|X|X|CARDENAS|X|X|X|X|FINAL</v>
      </c>
    </row>
    <row r="20" spans="1:82" x14ac:dyDescent="0.25">
      <c r="A20" t="s">
        <v>164</v>
      </c>
      <c r="B20" t="s">
        <v>165</v>
      </c>
      <c r="C20">
        <v>3</v>
      </c>
      <c r="D20" t="s">
        <v>1369</v>
      </c>
      <c r="E20" t="s">
        <v>1380</v>
      </c>
      <c r="F20" t="s">
        <v>1383</v>
      </c>
      <c r="G20" t="s">
        <v>1383</v>
      </c>
      <c r="H20" t="s">
        <v>1388</v>
      </c>
      <c r="I20">
        <v>14800</v>
      </c>
      <c r="J20">
        <v>0</v>
      </c>
      <c r="K20">
        <v>200</v>
      </c>
      <c r="L20">
        <v>50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 t="s">
        <v>1715</v>
      </c>
      <c r="AC20" t="s">
        <v>1716</v>
      </c>
      <c r="AD20" s="18" t="s">
        <v>1718</v>
      </c>
      <c r="AE20" t="s">
        <v>4</v>
      </c>
      <c r="AF20" t="s">
        <v>1</v>
      </c>
      <c r="AG20" t="s">
        <v>1</v>
      </c>
      <c r="AH20" t="s">
        <v>2460</v>
      </c>
      <c r="AI20" t="s">
        <v>2979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2460</v>
      </c>
      <c r="AP20" t="s">
        <v>1</v>
      </c>
      <c r="AQ20" t="s">
        <v>2</v>
      </c>
      <c r="AR20" t="s">
        <v>3</v>
      </c>
      <c r="AS20" t="s">
        <v>3</v>
      </c>
      <c r="AT20" t="s">
        <v>3</v>
      </c>
      <c r="AU20" t="s">
        <v>3</v>
      </c>
      <c r="AV20" t="s">
        <v>3</v>
      </c>
      <c r="AW20" t="s">
        <v>11</v>
      </c>
      <c r="AX20">
        <f>Tabla1[[#This Row],[precio del paquete]]-Tabla1[[#This Row],[Saldo_Deudor]]</f>
        <v>200</v>
      </c>
      <c r="AY20">
        <v>14600</v>
      </c>
      <c r="AZ20" t="s">
        <v>1</v>
      </c>
      <c r="BA20" t="s">
        <v>1</v>
      </c>
      <c r="BB20" t="s">
        <v>1</v>
      </c>
      <c r="BC20" t="s">
        <v>1388</v>
      </c>
      <c r="BD20" t="s">
        <v>1398</v>
      </c>
      <c r="BE20" t="s">
        <v>3</v>
      </c>
      <c r="BF20" t="s">
        <v>3</v>
      </c>
      <c r="BG20" t="s">
        <v>3</v>
      </c>
      <c r="BH20" t="s">
        <v>3</v>
      </c>
      <c r="BI20" t="s">
        <v>3</v>
      </c>
      <c r="BJ20" t="s">
        <v>3356</v>
      </c>
      <c r="BK20" t="s">
        <v>3</v>
      </c>
      <c r="BL20" t="s">
        <v>132</v>
      </c>
      <c r="BM20" t="s">
        <v>1</v>
      </c>
      <c r="BN20">
        <f>Tabla1[[#This Row],[precio del paquete]]</f>
        <v>14800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3382</v>
      </c>
      <c r="CD20" t="str" cm="1">
        <f t="array" aca="1" ref="CD20" ca="1">eConcatenar(A20:CB20,"|")</f>
        <v>hVgykeh8amYueiwu|CAR2022-0809|3|MEMORIAL|TABASCO|TACOTALPA|TACOTALPA|2022-02-05|14800|0|200|50|1|0|0|0|0|0|0|0|0|0|0||0|0|0|CANO|JUAREZ|ROCIO|SOLTERO|X|X|CALLE DOMINGO BORREGO NUMERO 25|PUEBLO NUEVO|X|X|X|X|X|CALLE DOMINGO BORREGO NUMERO 25|X|LUNES|x|x|x|x|x|DOMICILIO |200|14600|X|X|X|2022-02-05|2022-02-12|x|x|x|x|x|S35D6D3Y9KVTQO|x|HOMBRE|X|14800|X|X|X|X|X|X|X|X|CARDENAS|X|X|X|X|FINAL</v>
      </c>
    </row>
    <row r="21" spans="1:82" x14ac:dyDescent="0.25">
      <c r="A21" t="s">
        <v>166</v>
      </c>
      <c r="B21" t="s">
        <v>167</v>
      </c>
      <c r="C21">
        <v>3</v>
      </c>
      <c r="D21" t="s">
        <v>1369</v>
      </c>
      <c r="E21" t="s">
        <v>1380</v>
      </c>
      <c r="F21" t="s">
        <v>1381</v>
      </c>
      <c r="G21" t="s">
        <v>1381</v>
      </c>
      <c r="H21" t="s">
        <v>1389</v>
      </c>
      <c r="I21">
        <v>14800</v>
      </c>
      <c r="J21">
        <v>0</v>
      </c>
      <c r="K21">
        <v>100</v>
      </c>
      <c r="L21">
        <v>50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 t="s">
        <v>1719</v>
      </c>
      <c r="AC21" t="s">
        <v>1720</v>
      </c>
      <c r="AD21" s="18" t="s">
        <v>1721</v>
      </c>
      <c r="AE21" t="s">
        <v>4</v>
      </c>
      <c r="AF21" t="s">
        <v>1</v>
      </c>
      <c r="AG21" t="s">
        <v>1</v>
      </c>
      <c r="AH21" t="s">
        <v>2461</v>
      </c>
      <c r="AI21" t="s">
        <v>2980</v>
      </c>
      <c r="AJ21" t="s">
        <v>1</v>
      </c>
      <c r="AK21" t="s">
        <v>1</v>
      </c>
      <c r="AL21" t="s">
        <v>1</v>
      </c>
      <c r="AM21" t="s">
        <v>1</v>
      </c>
      <c r="AN21" t="s">
        <v>1</v>
      </c>
      <c r="AO21" t="s">
        <v>2461</v>
      </c>
      <c r="AP21" t="s">
        <v>1</v>
      </c>
      <c r="AQ21" t="s">
        <v>2</v>
      </c>
      <c r="AR21" t="s">
        <v>3</v>
      </c>
      <c r="AS21" t="s">
        <v>3</v>
      </c>
      <c r="AT21" t="s">
        <v>3</v>
      </c>
      <c r="AU21" t="s">
        <v>3</v>
      </c>
      <c r="AV21" t="s">
        <v>3</v>
      </c>
      <c r="AW21" t="s">
        <v>11</v>
      </c>
      <c r="AX21">
        <f>Tabla1[[#This Row],[precio del paquete]]-Tabla1[[#This Row],[Saldo_Deudor]]</f>
        <v>100</v>
      </c>
      <c r="AY21">
        <v>14700</v>
      </c>
      <c r="AZ21" t="s">
        <v>1</v>
      </c>
      <c r="BA21" t="s">
        <v>1</v>
      </c>
      <c r="BB21" t="s">
        <v>1</v>
      </c>
      <c r="BC21" t="s">
        <v>1389</v>
      </c>
      <c r="BD21" t="s">
        <v>1402</v>
      </c>
      <c r="BE21" t="s">
        <v>3</v>
      </c>
      <c r="BF21" t="s">
        <v>3</v>
      </c>
      <c r="BG21" t="s">
        <v>3</v>
      </c>
      <c r="BH21" t="s">
        <v>3</v>
      </c>
      <c r="BI21" t="s">
        <v>3</v>
      </c>
      <c r="BJ21" t="s">
        <v>3351</v>
      </c>
      <c r="BK21" t="s">
        <v>3</v>
      </c>
      <c r="BL21" t="s">
        <v>132</v>
      </c>
      <c r="BM21" t="s">
        <v>1</v>
      </c>
      <c r="BN21">
        <f>Tabla1[[#This Row],[precio del paquete]]</f>
        <v>14800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3382</v>
      </c>
      <c r="CD21" t="str" cm="1">
        <f t="array" aca="1" ref="CD21" ca="1">eConcatenar(A21:CB21,"|")</f>
        <v>Q3hvAyuzqAZNlivn|CAR2022-0635|3|MEMORIAL|TABASCO|CUNDUACAN|CUNDUACAN|2022-02-01|14800|0|100|50|0|0|0|0|0|0|0|0|0|0|0||0|0|0|PALMA|SANGEADO|DOMINGO|SOLTERO|X|X|CALLE DE LA PREPA|LIBERTAD|X|X|X|X|X|CALLE DE LA PREPA|X|LUNES|x|x|x|x|x|DOMICILIO |100|14700|X|X|X|2022-02-01|2022-02-08|x|x|x|x|x|QWZHGJ0U9KVTQO|x|HOMBRE|X|14800|X|X|X|X|X|X|X|X|CARDENAS|X|X|X|X|FINAL</v>
      </c>
    </row>
    <row r="22" spans="1:82" x14ac:dyDescent="0.25">
      <c r="A22" t="s">
        <v>168</v>
      </c>
      <c r="B22" t="s">
        <v>169</v>
      </c>
      <c r="C22">
        <v>3</v>
      </c>
      <c r="D22" t="s">
        <v>1369</v>
      </c>
      <c r="E22" t="s">
        <v>1380</v>
      </c>
      <c r="F22" t="s">
        <v>1381</v>
      </c>
      <c r="G22" t="s">
        <v>1381</v>
      </c>
      <c r="H22" t="s">
        <v>1390</v>
      </c>
      <c r="I22">
        <v>14800</v>
      </c>
      <c r="J22">
        <v>0</v>
      </c>
      <c r="K22">
        <v>300</v>
      </c>
      <c r="L22">
        <v>50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Y22">
        <v>0</v>
      </c>
      <c r="Z22">
        <v>0</v>
      </c>
      <c r="AA22">
        <v>0</v>
      </c>
      <c r="AB22" t="s">
        <v>1711</v>
      </c>
      <c r="AC22" t="s">
        <v>1722</v>
      </c>
      <c r="AD22" s="18" t="s">
        <v>1723</v>
      </c>
      <c r="AE22" t="s">
        <v>4</v>
      </c>
      <c r="AF22" t="s">
        <v>1</v>
      </c>
      <c r="AG22" t="s">
        <v>1</v>
      </c>
      <c r="AH22" t="s">
        <v>2462</v>
      </c>
      <c r="AI22" t="s">
        <v>2980</v>
      </c>
      <c r="AJ22" t="s">
        <v>1</v>
      </c>
      <c r="AK22" t="s">
        <v>1</v>
      </c>
      <c r="AL22" t="s">
        <v>1</v>
      </c>
      <c r="AM22" t="s">
        <v>1</v>
      </c>
      <c r="AN22" t="s">
        <v>1</v>
      </c>
      <c r="AO22" t="s">
        <v>2462</v>
      </c>
      <c r="AP22" t="s">
        <v>1</v>
      </c>
      <c r="AQ22" t="s">
        <v>2</v>
      </c>
      <c r="AR22" t="s">
        <v>3</v>
      </c>
      <c r="AS22" t="s">
        <v>3</v>
      </c>
      <c r="AT22" t="s">
        <v>3</v>
      </c>
      <c r="AU22" t="s">
        <v>3</v>
      </c>
      <c r="AV22" t="s">
        <v>3</v>
      </c>
      <c r="AW22" t="s">
        <v>11</v>
      </c>
      <c r="AX22">
        <f>Tabla1[[#This Row],[precio del paquete]]-Tabla1[[#This Row],[Saldo_Deudor]]</f>
        <v>300</v>
      </c>
      <c r="AY22">
        <v>14500</v>
      </c>
      <c r="AZ22" t="s">
        <v>1</v>
      </c>
      <c r="BA22" t="s">
        <v>1</v>
      </c>
      <c r="BB22" t="s">
        <v>1</v>
      </c>
      <c r="BC22" t="s">
        <v>1390</v>
      </c>
      <c r="BD22" t="s">
        <v>1401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t="s">
        <v>3351</v>
      </c>
      <c r="BK22" t="s">
        <v>3</v>
      </c>
      <c r="BL22" t="s">
        <v>132</v>
      </c>
      <c r="BM22" t="s">
        <v>1</v>
      </c>
      <c r="BN22">
        <f>Tabla1[[#This Row],[precio del paquete]]</f>
        <v>14800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3382</v>
      </c>
      <c r="CD22" t="str" cm="1">
        <f t="array" aca="1" ref="CD22" ca="1">eConcatenar(A22:CB22,"|")</f>
        <v>Lm8CleMJnwkSthxn|CAR2022-0645|3|MEMORIAL|TABASCO|CUNDUACAN|CUNDUACAN|2022-02-02|14800|0|300|50|0|0|0|0|0|0|0|0|0|0|0||0|0|0|HERNANDEZ|SILVAN|DORILIAN|SOLTERO|X|X|CALLE PRINCIPAL |LIBERTAD|X|X|X|X|X|CALLE PRINCIPAL |X|LUNES|x|x|x|x|x|DOMICILIO |300|14500|X|X|X|2022-02-02|2022-02-09|x|x|x|x|x|QWZHGJ0U9KVTQO|x|HOMBRE|X|14800|X|X|X|X|X|X|X|X|CARDENAS|X|X|X|X|FINAL</v>
      </c>
    </row>
    <row r="23" spans="1:82" x14ac:dyDescent="0.25">
      <c r="A23" t="s">
        <v>170</v>
      </c>
      <c r="B23" t="s">
        <v>171</v>
      </c>
      <c r="C23">
        <v>3</v>
      </c>
      <c r="D23" t="s">
        <v>1369</v>
      </c>
      <c r="E23" t="s">
        <v>1380</v>
      </c>
      <c r="F23" t="s">
        <v>1381</v>
      </c>
      <c r="G23" t="s">
        <v>1381</v>
      </c>
      <c r="H23" t="s">
        <v>1390</v>
      </c>
      <c r="I23">
        <v>14800</v>
      </c>
      <c r="J23">
        <v>0</v>
      </c>
      <c r="K23">
        <v>50</v>
      </c>
      <c r="L23">
        <v>50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Y23">
        <v>0</v>
      </c>
      <c r="Z23">
        <v>0</v>
      </c>
      <c r="AA23">
        <v>0</v>
      </c>
      <c r="AB23" t="s">
        <v>7</v>
      </c>
      <c r="AC23" t="s">
        <v>1711</v>
      </c>
      <c r="AD23" s="18" t="s">
        <v>1724</v>
      </c>
      <c r="AE23" t="s">
        <v>4</v>
      </c>
      <c r="AF23" t="s">
        <v>1</v>
      </c>
      <c r="AG23" t="s">
        <v>1</v>
      </c>
      <c r="AH23" t="s">
        <v>2463</v>
      </c>
      <c r="AI23" t="s">
        <v>2980</v>
      </c>
      <c r="AJ23" t="s">
        <v>1</v>
      </c>
      <c r="AK23" t="s">
        <v>1</v>
      </c>
      <c r="AL23" t="s">
        <v>1</v>
      </c>
      <c r="AM23" t="s">
        <v>1</v>
      </c>
      <c r="AN23" t="s">
        <v>1</v>
      </c>
      <c r="AO23" t="s">
        <v>2463</v>
      </c>
      <c r="AP23" t="s">
        <v>1</v>
      </c>
      <c r="AQ23" t="s">
        <v>2</v>
      </c>
      <c r="AR23" t="s">
        <v>3</v>
      </c>
      <c r="AS23" t="s">
        <v>3</v>
      </c>
      <c r="AT23" t="s">
        <v>3</v>
      </c>
      <c r="AU23" t="s">
        <v>3</v>
      </c>
      <c r="AV23" t="s">
        <v>3</v>
      </c>
      <c r="AW23" t="s">
        <v>11</v>
      </c>
      <c r="AX23">
        <f>Tabla1[[#This Row],[precio del paquete]]-Tabla1[[#This Row],[Saldo_Deudor]]</f>
        <v>50</v>
      </c>
      <c r="AY23">
        <v>14750</v>
      </c>
      <c r="AZ23" t="s">
        <v>1</v>
      </c>
      <c r="BA23" t="s">
        <v>1</v>
      </c>
      <c r="BB23" t="s">
        <v>1</v>
      </c>
      <c r="BC23" t="s">
        <v>1390</v>
      </c>
      <c r="BD23" t="s">
        <v>1401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t="s">
        <v>3351</v>
      </c>
      <c r="BK23" t="s">
        <v>3</v>
      </c>
      <c r="BL23" t="s">
        <v>132</v>
      </c>
      <c r="BM23" t="s">
        <v>1</v>
      </c>
      <c r="BN23">
        <f>Tabla1[[#This Row],[precio del paquete]]</f>
        <v>14800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3382</v>
      </c>
      <c r="CD23" t="str" cm="1">
        <f t="array" aca="1" ref="CD23" ca="1">eConcatenar(A23:CB23,"|")</f>
        <v>M6UybQeuFN7TsG3O|CAR2022-0642|3|MEMORIAL|TABASCO|CUNDUACAN|CUNDUACAN|2022-02-02|14800|0|50|50|1|0|0|0|0|0|0|0|0|0|0||0|0|0|LOPEZ|HERNANDEZ|JESUS|SOLTERO|X|X|CALLE HERMENEGILDO OSOSRIO CASA NUMERO 04|LIBERTAD|X|X|X|X|X|CALLE HERMENEGILDO OSOSRIO CASA NUMERO 04|X|LUNES|x|x|x|x|x|DOMICILIO |50|14750|X|X|X|2022-02-02|2022-02-09|x|x|x|x|x|QWZHGJ0U9KVTQO|x|HOMBRE|X|14800|X|X|X|X|X|X|X|X|CARDENAS|X|X|X|X|FINAL</v>
      </c>
    </row>
    <row r="24" spans="1:82" x14ac:dyDescent="0.25">
      <c r="A24" t="s">
        <v>172</v>
      </c>
      <c r="B24" t="s">
        <v>173</v>
      </c>
      <c r="C24">
        <v>3</v>
      </c>
      <c r="D24" t="s">
        <v>1369</v>
      </c>
      <c r="E24" t="s">
        <v>1380</v>
      </c>
      <c r="F24" t="s">
        <v>0</v>
      </c>
      <c r="G24" t="s">
        <v>0</v>
      </c>
      <c r="H24" t="s">
        <v>1391</v>
      </c>
      <c r="I24">
        <v>14800</v>
      </c>
      <c r="J24">
        <v>0</v>
      </c>
      <c r="K24">
        <v>1000</v>
      </c>
      <c r="L24">
        <v>50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 t="s">
        <v>1699</v>
      </c>
      <c r="AC24" t="s">
        <v>1725</v>
      </c>
      <c r="AD24" s="18" t="s">
        <v>1726</v>
      </c>
      <c r="AE24" t="s">
        <v>4</v>
      </c>
      <c r="AF24" t="s">
        <v>1</v>
      </c>
      <c r="AG24" t="s">
        <v>1</v>
      </c>
      <c r="AH24" t="s">
        <v>2464</v>
      </c>
      <c r="AI24" t="s">
        <v>2981</v>
      </c>
      <c r="AJ24" t="s">
        <v>1</v>
      </c>
      <c r="AK24" t="s">
        <v>1</v>
      </c>
      <c r="AL24" t="s">
        <v>1</v>
      </c>
      <c r="AM24" t="s">
        <v>1</v>
      </c>
      <c r="AN24" t="s">
        <v>1</v>
      </c>
      <c r="AO24" t="s">
        <v>2464</v>
      </c>
      <c r="AP24" t="s">
        <v>1</v>
      </c>
      <c r="AQ24" t="s">
        <v>2</v>
      </c>
      <c r="AR24" t="s">
        <v>3</v>
      </c>
      <c r="AS24" t="s">
        <v>3</v>
      </c>
      <c r="AT24" t="s">
        <v>3</v>
      </c>
      <c r="AU24" t="s">
        <v>3</v>
      </c>
      <c r="AV24" t="s">
        <v>3</v>
      </c>
      <c r="AW24" t="s">
        <v>11</v>
      </c>
      <c r="AX24">
        <f>Tabla1[[#This Row],[precio del paquete]]-Tabla1[[#This Row],[Saldo_Deudor]]</f>
        <v>1000</v>
      </c>
      <c r="AY24">
        <v>13800</v>
      </c>
      <c r="AZ24" t="s">
        <v>1</v>
      </c>
      <c r="BA24" t="s">
        <v>1</v>
      </c>
      <c r="BB24" t="s">
        <v>1</v>
      </c>
      <c r="BC24" t="s">
        <v>1391</v>
      </c>
      <c r="BD24" t="s">
        <v>1399</v>
      </c>
      <c r="BE24" t="s">
        <v>3</v>
      </c>
      <c r="BF24" t="s">
        <v>3</v>
      </c>
      <c r="BG24" t="s">
        <v>3</v>
      </c>
      <c r="BH24" t="s">
        <v>3</v>
      </c>
      <c r="BI24" t="s">
        <v>3</v>
      </c>
      <c r="BJ24" t="s">
        <v>3357</v>
      </c>
      <c r="BK24" t="s">
        <v>3</v>
      </c>
      <c r="BL24" t="s">
        <v>132</v>
      </c>
      <c r="BM24" t="s">
        <v>1</v>
      </c>
      <c r="BN24">
        <f>Tabla1[[#This Row],[precio del paquete]]</f>
        <v>14800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3382</v>
      </c>
      <c r="CD24" t="str" cm="1">
        <f t="array" aca="1" ref="CD24" ca="1">eConcatenar(A24:CB24,"|")</f>
        <v>ShQkMDQQk1L5yGks|CAR2022-0681|3|MEMORIAL|TABASCO|CARDENAS|CARDENAS|2022-02-04|14800|0|1000|50|1|0|0|0|0|0|0|0|0|0|0||0|0|0|CORDOVA|SANTOS|ABEL|SOLTERO|X|X|CALLE NUMEO 6 CASA NUMERO 170|ALAMEDA|X|X|X|X|X|CALLE NUMEO 6 CASA NUMERO 170|X|LUNES|x|x|x|x|x|DOMICILIO |1000|13800|X|X|X|2022-02-04|2022-02-11|x|x|x|x|x|QWZBUES49KVTQO|x|HOMBRE|X|14800|X|X|X|X|X|X|X|X|CARDENAS|X|X|X|X|FINAL</v>
      </c>
    </row>
    <row r="25" spans="1:82" x14ac:dyDescent="0.25">
      <c r="A25" t="s">
        <v>174</v>
      </c>
      <c r="B25" t="s">
        <v>175</v>
      </c>
      <c r="C25">
        <v>3</v>
      </c>
      <c r="D25" t="s">
        <v>1369</v>
      </c>
      <c r="E25" t="s">
        <v>1380</v>
      </c>
      <c r="F25" t="s">
        <v>1381</v>
      </c>
      <c r="G25" t="s">
        <v>1381</v>
      </c>
      <c r="H25" t="s">
        <v>1391</v>
      </c>
      <c r="I25">
        <v>14800</v>
      </c>
      <c r="J25">
        <v>0</v>
      </c>
      <c r="K25">
        <v>100</v>
      </c>
      <c r="L25">
        <v>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 t="s">
        <v>1727</v>
      </c>
      <c r="AC25" t="s">
        <v>1728</v>
      </c>
      <c r="AD25" s="18" t="s">
        <v>1729</v>
      </c>
      <c r="AE25" t="s">
        <v>4</v>
      </c>
      <c r="AF25" t="s">
        <v>1</v>
      </c>
      <c r="AG25" t="s">
        <v>1</v>
      </c>
      <c r="AH25" t="s">
        <v>2465</v>
      </c>
      <c r="AI25" t="s">
        <v>2976</v>
      </c>
      <c r="AJ25" t="s">
        <v>1</v>
      </c>
      <c r="AK25" t="s">
        <v>1</v>
      </c>
      <c r="AL25" t="s">
        <v>1</v>
      </c>
      <c r="AM25" t="s">
        <v>1</v>
      </c>
      <c r="AN25" t="s">
        <v>1</v>
      </c>
      <c r="AO25" t="s">
        <v>2465</v>
      </c>
      <c r="AP25" t="s">
        <v>1</v>
      </c>
      <c r="AQ25" t="s">
        <v>2</v>
      </c>
      <c r="AR25" t="s">
        <v>3</v>
      </c>
      <c r="AS25" t="s">
        <v>3</v>
      </c>
      <c r="AT25" t="s">
        <v>3</v>
      </c>
      <c r="AU25" t="s">
        <v>3</v>
      </c>
      <c r="AV25" t="s">
        <v>3</v>
      </c>
      <c r="AW25" t="s">
        <v>11</v>
      </c>
      <c r="AX25">
        <f>Tabla1[[#This Row],[precio del paquete]]-Tabla1[[#This Row],[Saldo_Deudor]]</f>
        <v>100</v>
      </c>
      <c r="AY25">
        <v>14700</v>
      </c>
      <c r="AZ25" t="s">
        <v>1</v>
      </c>
      <c r="BA25" t="s">
        <v>1</v>
      </c>
      <c r="BB25" t="s">
        <v>1</v>
      </c>
      <c r="BC25" t="s">
        <v>1391</v>
      </c>
      <c r="BD25" t="s">
        <v>1399</v>
      </c>
      <c r="BE25" t="s">
        <v>3</v>
      </c>
      <c r="BF25" t="s">
        <v>3</v>
      </c>
      <c r="BG25" t="s">
        <v>3</v>
      </c>
      <c r="BH25" t="s">
        <v>3</v>
      </c>
      <c r="BI25" t="s">
        <v>3</v>
      </c>
      <c r="BJ25" t="s">
        <v>3358</v>
      </c>
      <c r="BK25" t="s">
        <v>3</v>
      </c>
      <c r="BL25" t="s">
        <v>132</v>
      </c>
      <c r="BM25" t="s">
        <v>1</v>
      </c>
      <c r="BN25">
        <f>Tabla1[[#This Row],[precio del paquete]]</f>
        <v>14800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3382</v>
      </c>
      <c r="CD25" t="str" cm="1">
        <f t="array" aca="1" ref="CD25" ca="1">eConcatenar(A25:CB25,"|")</f>
        <v>ryLFDoxTaPUdqrOB|CAR2022-0686|3|MEMORIAL|TABASCO|CUNDUACAN|CUNDUACAN|2022-02-04|14800|0|100|50|0|0|0|0|0|0|0|0|0|0|0||0|0|0|RIVERA|RICARDEZ|TOBIAS|SOLTERO|X|X|CARRETERA PRINCIPAL SIN NUMERO|YOLOXOCHILT SEGUNDA SECCION SAN SEVERO|X|X|X|X|X|CARRETERA PRINCIPAL SIN NUMERO|X|LUNES|x|x|x|x|x|DOMICILIO |100|14700|X|X|X|2022-02-04|2022-02-11|x|x|x|x|x|3O8PTA2AZPGA3HB|x|HOMBRE|X|14800|X|X|X|X|X|X|X|X|CARDENAS|X|X|X|X|FINAL</v>
      </c>
    </row>
    <row r="26" spans="1:82" x14ac:dyDescent="0.25">
      <c r="A26" t="s">
        <v>176</v>
      </c>
      <c r="B26" t="s">
        <v>177</v>
      </c>
      <c r="C26">
        <v>3</v>
      </c>
      <c r="D26" t="s">
        <v>1369</v>
      </c>
      <c r="E26" t="s">
        <v>1380</v>
      </c>
      <c r="F26" t="s">
        <v>1381</v>
      </c>
      <c r="G26" t="s">
        <v>1381</v>
      </c>
      <c r="H26" t="s">
        <v>1391</v>
      </c>
      <c r="I26">
        <v>14800</v>
      </c>
      <c r="J26">
        <v>0</v>
      </c>
      <c r="K26">
        <v>100</v>
      </c>
      <c r="L26">
        <v>50</v>
      </c>
      <c r="M26">
        <v>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 t="s">
        <v>1730</v>
      </c>
      <c r="AC26" t="s">
        <v>1731</v>
      </c>
      <c r="AD26" s="18" t="s">
        <v>1732</v>
      </c>
      <c r="AE26" t="s">
        <v>4</v>
      </c>
      <c r="AF26" t="s">
        <v>1</v>
      </c>
      <c r="AG26" t="s">
        <v>1</v>
      </c>
      <c r="AH26" t="s">
        <v>2466</v>
      </c>
      <c r="AI26" t="s">
        <v>2982</v>
      </c>
      <c r="AJ26" t="s">
        <v>1</v>
      </c>
      <c r="AK26" t="s">
        <v>1</v>
      </c>
      <c r="AL26" t="s">
        <v>1</v>
      </c>
      <c r="AM26" t="s">
        <v>1</v>
      </c>
      <c r="AN26" t="s">
        <v>1</v>
      </c>
      <c r="AO26" t="s">
        <v>2466</v>
      </c>
      <c r="AP26" t="s">
        <v>1</v>
      </c>
      <c r="AQ26" t="s">
        <v>2</v>
      </c>
      <c r="AR26" t="s">
        <v>3</v>
      </c>
      <c r="AS26" t="s">
        <v>3</v>
      </c>
      <c r="AT26" t="s">
        <v>3</v>
      </c>
      <c r="AU26" t="s">
        <v>3</v>
      </c>
      <c r="AV26" t="s">
        <v>3</v>
      </c>
      <c r="AW26" t="s">
        <v>11</v>
      </c>
      <c r="AX26">
        <f>Tabla1[[#This Row],[precio del paquete]]-Tabla1[[#This Row],[Saldo_Deudor]]</f>
        <v>100</v>
      </c>
      <c r="AY26">
        <v>14700</v>
      </c>
      <c r="AZ26" t="s">
        <v>1</v>
      </c>
      <c r="BA26" t="s">
        <v>1</v>
      </c>
      <c r="BB26" t="s">
        <v>1</v>
      </c>
      <c r="BC26" t="s">
        <v>1391</v>
      </c>
      <c r="BD26" t="s">
        <v>1399</v>
      </c>
      <c r="BE26" t="s">
        <v>3</v>
      </c>
      <c r="BF26" t="s">
        <v>3</v>
      </c>
      <c r="BG26" t="s">
        <v>3</v>
      </c>
      <c r="BH26" t="s">
        <v>3</v>
      </c>
      <c r="BI26" t="s">
        <v>3</v>
      </c>
      <c r="BJ26" t="s">
        <v>143</v>
      </c>
      <c r="BK26" t="s">
        <v>3</v>
      </c>
      <c r="BL26" t="s">
        <v>132</v>
      </c>
      <c r="BM26" t="s">
        <v>1</v>
      </c>
      <c r="BN26">
        <f>Tabla1[[#This Row],[precio del paquete]]</f>
        <v>14800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3382</v>
      </c>
      <c r="CD26" t="str" cm="1">
        <f t="array" aca="1" ref="CD26" ca="1">eConcatenar(A26:CB26,"|")</f>
        <v>bbykNX1eaL8oMnhW|CAR2022-0692|3|MEMORIAL|TABASCO|CUNDUACAN|CUNDUACAN|2022-02-04|14800|0|100|50|1|0|0|0|0|0|0|0|0|0|0||0|0|0|BRINDIS|GARCIA|FELICITO|SOLTERO|X|X|CARRETERA A LA COLMENA|LIBERTA CUARTA SECCION|X|X|X|X|X|CARRETERA A LA COLMENA|X|LUNES|x|x|x|x|x|DOMICILIO |100|14700|X|X|X|2022-02-04|2022-02-11|x|x|x|x|x|NL2E7OEHPWYUH7Y|x|HOMBRE|X|14800|X|X|X|X|X|X|X|X|CARDENAS|X|X|X|X|FINAL</v>
      </c>
    </row>
    <row r="27" spans="1:82" x14ac:dyDescent="0.25">
      <c r="A27" t="s">
        <v>178</v>
      </c>
      <c r="B27" t="s">
        <v>179</v>
      </c>
      <c r="C27">
        <v>3</v>
      </c>
      <c r="D27" t="s">
        <v>1369</v>
      </c>
      <c r="E27" t="s">
        <v>1380</v>
      </c>
      <c r="F27" t="s">
        <v>0</v>
      </c>
      <c r="G27" t="s">
        <v>0</v>
      </c>
      <c r="H27" t="s">
        <v>1392</v>
      </c>
      <c r="I27">
        <v>14800</v>
      </c>
      <c r="J27">
        <v>0</v>
      </c>
      <c r="K27">
        <v>100</v>
      </c>
      <c r="L27">
        <v>50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 t="s">
        <v>1708</v>
      </c>
      <c r="AC27" t="s">
        <v>1733</v>
      </c>
      <c r="AD27" s="18" t="s">
        <v>1734</v>
      </c>
      <c r="AE27" t="s">
        <v>4</v>
      </c>
      <c r="AF27" t="s">
        <v>1</v>
      </c>
      <c r="AG27" t="s">
        <v>1</v>
      </c>
      <c r="AH27" t="s">
        <v>2467</v>
      </c>
      <c r="AI27" t="s">
        <v>2983</v>
      </c>
      <c r="AJ27" t="s">
        <v>1</v>
      </c>
      <c r="AK27" t="s">
        <v>1</v>
      </c>
      <c r="AL27" t="s">
        <v>1</v>
      </c>
      <c r="AM27" t="s">
        <v>1</v>
      </c>
      <c r="AN27" t="s">
        <v>1</v>
      </c>
      <c r="AO27" t="s">
        <v>2467</v>
      </c>
      <c r="AP27" t="s">
        <v>1</v>
      </c>
      <c r="AQ27" t="s">
        <v>2</v>
      </c>
      <c r="AR27" t="s">
        <v>3</v>
      </c>
      <c r="AS27" t="s">
        <v>3</v>
      </c>
      <c r="AT27" t="s">
        <v>3</v>
      </c>
      <c r="AU27" t="s">
        <v>3</v>
      </c>
      <c r="AV27" t="s">
        <v>3</v>
      </c>
      <c r="AW27" t="s">
        <v>11</v>
      </c>
      <c r="AX27">
        <f>Tabla1[[#This Row],[precio del paquete]]-Tabla1[[#This Row],[Saldo_Deudor]]</f>
        <v>100</v>
      </c>
      <c r="AY27">
        <v>14700</v>
      </c>
      <c r="AZ27" t="s">
        <v>1</v>
      </c>
      <c r="BA27" t="s">
        <v>1</v>
      </c>
      <c r="BB27" t="s">
        <v>1</v>
      </c>
      <c r="BC27" t="s">
        <v>1392</v>
      </c>
      <c r="BD27" t="s">
        <v>1394</v>
      </c>
      <c r="BE27" t="s">
        <v>3</v>
      </c>
      <c r="BF27" t="s">
        <v>3</v>
      </c>
      <c r="BG27" t="s">
        <v>3</v>
      </c>
      <c r="BH27" t="s">
        <v>3</v>
      </c>
      <c r="BI27" t="s">
        <v>3</v>
      </c>
      <c r="BJ27" t="s">
        <v>3351</v>
      </c>
      <c r="BK27" t="s">
        <v>3</v>
      </c>
      <c r="BL27" t="s">
        <v>132</v>
      </c>
      <c r="BM27" t="s">
        <v>1</v>
      </c>
      <c r="BN27">
        <f>Tabla1[[#This Row],[precio del paquete]]</f>
        <v>14800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3382</v>
      </c>
      <c r="CD27" t="str" cm="1">
        <f t="array" aca="1" ref="CD27" ca="1">eConcatenar(A27:CB27,"|")</f>
        <v>4hJ9ahqgXAwpsY5v|CAR2022-0472|3|MEMORIAL|TABASCO|CARDENAS|CARDENAS|2022-01-27|14800|0|100|50|0|0|0|0|0|0|0|0|0|0|0||0|0|0||YNTERIANO|ABEL HERNANDEZ|SOLTERO|X|X|CARRETERA CARDENAS COMALCALCO SIN  NUMERO|MIGUEL HIDALGO SEGUNDA SECCION|X|X|X|X|X|CARRETERA CARDENAS COMALCALCO SIN  NUMERO|X|LUNES|x|x|x|x|x|DOMICILIO |100|14700|X|X|X|2022-01-27|2022-02-03|x|x|x|x|x|QWZHGJ0U9KVTQO|x|HOMBRE|X|14800|X|X|X|X|X|X|X|X|CARDENAS|X|X|X|X|FINAL</v>
      </c>
    </row>
    <row r="28" spans="1:82" x14ac:dyDescent="0.25">
      <c r="A28" t="s">
        <v>180</v>
      </c>
      <c r="B28" t="s">
        <v>181</v>
      </c>
      <c r="C28">
        <v>3</v>
      </c>
      <c r="D28" t="s">
        <v>1369</v>
      </c>
      <c r="E28" t="s">
        <v>1380</v>
      </c>
      <c r="F28" t="s">
        <v>0</v>
      </c>
      <c r="G28" t="s">
        <v>0</v>
      </c>
      <c r="H28" t="s">
        <v>1391</v>
      </c>
      <c r="I28">
        <v>14800</v>
      </c>
      <c r="J28">
        <v>0</v>
      </c>
      <c r="K28">
        <v>500</v>
      </c>
      <c r="L28">
        <v>50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 t="s">
        <v>1735</v>
      </c>
      <c r="AC28" t="s">
        <v>1736</v>
      </c>
      <c r="AD28" s="18" t="s">
        <v>1737</v>
      </c>
      <c r="AE28" t="s">
        <v>4</v>
      </c>
      <c r="AF28" t="s">
        <v>1</v>
      </c>
      <c r="AG28" t="s">
        <v>1</v>
      </c>
      <c r="AH28" t="s">
        <v>2468</v>
      </c>
      <c r="AI28" t="s">
        <v>2984</v>
      </c>
      <c r="AJ28" t="s">
        <v>1</v>
      </c>
      <c r="AK28" t="s">
        <v>1</v>
      </c>
      <c r="AL28" t="s">
        <v>1</v>
      </c>
      <c r="AM28" t="s">
        <v>1</v>
      </c>
      <c r="AN28" t="s">
        <v>1</v>
      </c>
      <c r="AO28" t="s">
        <v>2468</v>
      </c>
      <c r="AP28" t="s">
        <v>1</v>
      </c>
      <c r="AQ28" t="s">
        <v>2</v>
      </c>
      <c r="AR28" t="s">
        <v>3</v>
      </c>
      <c r="AS28" t="s">
        <v>3</v>
      </c>
      <c r="AT28" t="s">
        <v>3</v>
      </c>
      <c r="AU28" t="s">
        <v>3</v>
      </c>
      <c r="AV28" t="s">
        <v>3</v>
      </c>
      <c r="AW28" t="s">
        <v>11</v>
      </c>
      <c r="AX28">
        <f>Tabla1[[#This Row],[precio del paquete]]-Tabla1[[#This Row],[Saldo_Deudor]]</f>
        <v>500</v>
      </c>
      <c r="AY28">
        <v>14300</v>
      </c>
      <c r="AZ28" t="s">
        <v>1</v>
      </c>
      <c r="BA28" t="s">
        <v>1</v>
      </c>
      <c r="BB28" t="s">
        <v>1</v>
      </c>
      <c r="BC28" t="s">
        <v>1391</v>
      </c>
      <c r="BD28" t="s">
        <v>1399</v>
      </c>
      <c r="BE28" t="s">
        <v>3</v>
      </c>
      <c r="BF28" t="s">
        <v>3</v>
      </c>
      <c r="BG28" t="s">
        <v>3</v>
      </c>
      <c r="BH28" t="s">
        <v>3</v>
      </c>
      <c r="BI28" t="s">
        <v>3</v>
      </c>
      <c r="BJ28" t="s">
        <v>3353</v>
      </c>
      <c r="BK28" t="s">
        <v>3</v>
      </c>
      <c r="BL28" t="s">
        <v>132</v>
      </c>
      <c r="BM28" t="s">
        <v>1</v>
      </c>
      <c r="BN28">
        <f>Tabla1[[#This Row],[precio del paquete]]</f>
        <v>14800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3382</v>
      </c>
      <c r="CD28" t="str" cm="1">
        <f t="array" aca="1" ref="CD28" ca="1">eConcatenar(A28:CB28,"|")</f>
        <v>iWGvdUTUzu7SZfsc|CAR2022-0696|3|MEMORIAL|TABASCO|CARDENAS|CARDENAS|2022-02-04|14800|0|500|50|1|0|0|0|0|0|0|0|0|0|0||0|0|0|DERNANDEZ|AGUILAR|MARICELA|SOLTERO|X|X| CALLE NUMERO 12 AMPLIACION SIN NOMBRE|C-16 EMILIANO ZAPATA|X|X|X|X|X| CALLE NUMERO 12 AMPLIACION SIN NOMBRE|X|LUNES|x|x|x|x|x|DOMICILIO |500|14300|X|X|X|2022-02-04|2022-02-11|x|x|x|x|x|TGYGIVCAZFPUVXE|x|HOMBRE|X|14800|X|X|X|X|X|X|X|X|CARDENAS|X|X|X|X|FINAL</v>
      </c>
    </row>
    <row r="29" spans="1:82" x14ac:dyDescent="0.25">
      <c r="A29" t="s">
        <v>182</v>
      </c>
      <c r="B29" t="s">
        <v>183</v>
      </c>
      <c r="C29">
        <v>3</v>
      </c>
      <c r="D29" t="s">
        <v>1369</v>
      </c>
      <c r="E29" t="s">
        <v>1380</v>
      </c>
      <c r="F29" t="s">
        <v>0</v>
      </c>
      <c r="G29" t="s">
        <v>0</v>
      </c>
      <c r="H29" t="s">
        <v>1389</v>
      </c>
      <c r="I29">
        <v>14800</v>
      </c>
      <c r="J29">
        <v>0</v>
      </c>
      <c r="K29">
        <v>500</v>
      </c>
      <c r="L29">
        <v>50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 t="s">
        <v>1731</v>
      </c>
      <c r="AC29" t="s">
        <v>1699</v>
      </c>
      <c r="AD29" s="18" t="s">
        <v>1738</v>
      </c>
      <c r="AE29" t="s">
        <v>4</v>
      </c>
      <c r="AF29" t="s">
        <v>1</v>
      </c>
      <c r="AG29" t="s">
        <v>1</v>
      </c>
      <c r="AH29" t="s">
        <v>2469</v>
      </c>
      <c r="AI29" t="s">
        <v>2984</v>
      </c>
      <c r="AJ29" t="s">
        <v>1</v>
      </c>
      <c r="AK29" t="s">
        <v>1</v>
      </c>
      <c r="AL29" t="s">
        <v>1</v>
      </c>
      <c r="AM29" t="s">
        <v>1</v>
      </c>
      <c r="AN29" t="s">
        <v>1</v>
      </c>
      <c r="AO29" t="s">
        <v>2469</v>
      </c>
      <c r="AP29" t="s">
        <v>1</v>
      </c>
      <c r="AQ29" t="s">
        <v>2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11</v>
      </c>
      <c r="AX29">
        <f>Tabla1[[#This Row],[precio del paquete]]-Tabla1[[#This Row],[Saldo_Deudor]]</f>
        <v>500</v>
      </c>
      <c r="AY29">
        <v>14300</v>
      </c>
      <c r="AZ29" t="s">
        <v>1</v>
      </c>
      <c r="BA29" t="s">
        <v>1</v>
      </c>
      <c r="BB29" t="s">
        <v>1</v>
      </c>
      <c r="BC29" t="s">
        <v>1389</v>
      </c>
      <c r="BD29" t="s">
        <v>1402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3359</v>
      </c>
      <c r="BK29" t="s">
        <v>3</v>
      </c>
      <c r="BL29" t="s">
        <v>132</v>
      </c>
      <c r="BM29" t="s">
        <v>1</v>
      </c>
      <c r="BN29">
        <f>Tabla1[[#This Row],[precio del paquete]]</f>
        <v>14800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3382</v>
      </c>
      <c r="CD29" t="str" cm="1">
        <f t="array" aca="1" ref="CD29" ca="1">eConcatenar(A29:CB29,"|")</f>
        <v>jQd27bpqrsFbrygR|CAR2022-0622|3|MEMORIAL|TABASCO|CARDENAS|CARDENAS|2022-02-01|14800|0|500|50|1|0|0|0|0|0|0|0|0|0|0||0|0|0|GARCIA|CORDOVA|GILBERTO|SOLTERO|X|X|CALLE NUMERO 3 AMPLIACION SIN NUMERO|C-16 EMILIANO ZAPATA|X|X|X|X|X|CALLE NUMERO 3 AMPLIACION SIN NUMERO|X|LUNES|x|x|x|x|x|DOMICILIO |500|14300|X|X|X|2022-02-01|2022-02-08|x|x|x|x|x|D7MKLZTCDQVFP55|x|HOMBRE|X|14800|X|X|X|X|X|X|X|X|CARDENAS|X|X|X|X|FINAL</v>
      </c>
    </row>
    <row r="30" spans="1:82" x14ac:dyDescent="0.25">
      <c r="A30" t="s">
        <v>184</v>
      </c>
      <c r="B30" t="s">
        <v>185</v>
      </c>
      <c r="C30">
        <v>3</v>
      </c>
      <c r="D30" t="s">
        <v>1369</v>
      </c>
      <c r="E30" t="s">
        <v>1380</v>
      </c>
      <c r="F30" t="s">
        <v>0</v>
      </c>
      <c r="G30" t="s">
        <v>0</v>
      </c>
      <c r="H30" t="s">
        <v>1391</v>
      </c>
      <c r="I30">
        <v>14800</v>
      </c>
      <c r="J30">
        <v>0</v>
      </c>
      <c r="K30">
        <v>200</v>
      </c>
      <c r="L30">
        <v>50</v>
      </c>
      <c r="M30">
        <v>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 t="s">
        <v>1739</v>
      </c>
      <c r="AC30" t="s">
        <v>7</v>
      </c>
      <c r="AD30" s="18" t="s">
        <v>1740</v>
      </c>
      <c r="AE30" t="s">
        <v>4</v>
      </c>
      <c r="AF30" t="s">
        <v>1</v>
      </c>
      <c r="AG30" t="s">
        <v>1</v>
      </c>
      <c r="AH30" t="s">
        <v>2470</v>
      </c>
      <c r="AI30" t="s">
        <v>2985</v>
      </c>
      <c r="AJ30" t="s">
        <v>1</v>
      </c>
      <c r="AK30" t="s">
        <v>1</v>
      </c>
      <c r="AL30" t="s">
        <v>1</v>
      </c>
      <c r="AM30" t="s">
        <v>1</v>
      </c>
      <c r="AN30" t="s">
        <v>1</v>
      </c>
      <c r="AO30" t="s">
        <v>2470</v>
      </c>
      <c r="AP30" t="s">
        <v>1</v>
      </c>
      <c r="AQ30" t="s">
        <v>2</v>
      </c>
      <c r="AR30" t="s">
        <v>3</v>
      </c>
      <c r="AS30" t="s">
        <v>3</v>
      </c>
      <c r="AT30" t="s">
        <v>3</v>
      </c>
      <c r="AU30" t="s">
        <v>3</v>
      </c>
      <c r="AV30" t="s">
        <v>3</v>
      </c>
      <c r="AW30" t="s">
        <v>11</v>
      </c>
      <c r="AX30">
        <f>Tabla1[[#This Row],[precio del paquete]]-Tabla1[[#This Row],[Saldo_Deudor]]</f>
        <v>200</v>
      </c>
      <c r="AY30">
        <v>14600</v>
      </c>
      <c r="AZ30" t="s">
        <v>1</v>
      </c>
      <c r="BA30" t="s">
        <v>1</v>
      </c>
      <c r="BB30" t="s">
        <v>1</v>
      </c>
      <c r="BC30" t="s">
        <v>1391</v>
      </c>
      <c r="BD30" t="s">
        <v>1399</v>
      </c>
      <c r="BE30" t="s">
        <v>3</v>
      </c>
      <c r="BF30" t="s">
        <v>3</v>
      </c>
      <c r="BG30" t="s">
        <v>3</v>
      </c>
      <c r="BH30" t="s">
        <v>3</v>
      </c>
      <c r="BI30" t="s">
        <v>3</v>
      </c>
      <c r="BJ30" t="s">
        <v>3359</v>
      </c>
      <c r="BK30" t="s">
        <v>3</v>
      </c>
      <c r="BL30" t="s">
        <v>132</v>
      </c>
      <c r="BM30" t="s">
        <v>1</v>
      </c>
      <c r="BN30">
        <f>Tabla1[[#This Row],[precio del paquete]]</f>
        <v>14800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3382</v>
      </c>
      <c r="CD30" t="str" cm="1">
        <f t="array" aca="1" ref="CD30" ca="1">eConcatenar(A30:CB30,"|")</f>
        <v>XHnyBH4lCXXBKEJv|CAR2022-0699|3|MEMORIAL|TABASCO|CARDENAS|CARDENAS|2022-02-04|14800|0|200|50|2|0|0|0|0|0|0|0|0|0|0||0|0|0|DE LOS SANTOS|LOPEZ|PETRONILA|SOLTERO|X|X|CALLE NUMERO 3 CASA NUMERO 117|C-9 FRANCISCO I MADERO|X|X|X|X|X|CALLE NUMERO 3 CASA NUMERO 117|X|LUNES|x|x|x|x|x|DOMICILIO |200|14600|X|X|X|2022-02-04|2022-02-11|x|x|x|x|x|D7MKLZTCDQVFP55|x|HOMBRE|X|14800|X|X|X|X|X|X|X|X|CARDENAS|X|X|X|X|FINAL</v>
      </c>
    </row>
    <row r="31" spans="1:82" x14ac:dyDescent="0.25">
      <c r="A31" t="s">
        <v>186</v>
      </c>
      <c r="B31" t="s">
        <v>187</v>
      </c>
      <c r="C31">
        <v>3</v>
      </c>
      <c r="D31" t="s">
        <v>1369</v>
      </c>
      <c r="E31" t="s">
        <v>1380</v>
      </c>
      <c r="F31" t="s">
        <v>0</v>
      </c>
      <c r="G31" t="s">
        <v>0</v>
      </c>
      <c r="H31" t="s">
        <v>1391</v>
      </c>
      <c r="I31">
        <v>14800</v>
      </c>
      <c r="J31">
        <v>0</v>
      </c>
      <c r="K31">
        <v>200</v>
      </c>
      <c r="L31">
        <v>50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 t="s">
        <v>1711</v>
      </c>
      <c r="AC31" t="s">
        <v>1741</v>
      </c>
      <c r="AD31" s="18" t="s">
        <v>1742</v>
      </c>
      <c r="AE31" t="s">
        <v>4</v>
      </c>
      <c r="AF31" t="s">
        <v>1</v>
      </c>
      <c r="AG31" t="s">
        <v>1</v>
      </c>
      <c r="AH31" t="s">
        <v>2471</v>
      </c>
      <c r="AI31" t="s">
        <v>2985</v>
      </c>
      <c r="AJ31" t="s">
        <v>1</v>
      </c>
      <c r="AK31" t="s">
        <v>1</v>
      </c>
      <c r="AL31" t="s">
        <v>1</v>
      </c>
      <c r="AM31" t="s">
        <v>1</v>
      </c>
      <c r="AN31" t="s">
        <v>1</v>
      </c>
      <c r="AO31" t="s">
        <v>2471</v>
      </c>
      <c r="AP31" t="s">
        <v>1</v>
      </c>
      <c r="AQ31" t="s">
        <v>2</v>
      </c>
      <c r="AR31" t="s">
        <v>3</v>
      </c>
      <c r="AS31" t="s">
        <v>3</v>
      </c>
      <c r="AT31" t="s">
        <v>3</v>
      </c>
      <c r="AU31" t="s">
        <v>3</v>
      </c>
      <c r="AV31" t="s">
        <v>3</v>
      </c>
      <c r="AW31" t="s">
        <v>11</v>
      </c>
      <c r="AX31">
        <f>Tabla1[[#This Row],[precio del paquete]]-Tabla1[[#This Row],[Saldo_Deudor]]</f>
        <v>200</v>
      </c>
      <c r="AY31">
        <v>14600</v>
      </c>
      <c r="AZ31" t="s">
        <v>1</v>
      </c>
      <c r="BA31" t="s">
        <v>1</v>
      </c>
      <c r="BB31" t="s">
        <v>1</v>
      </c>
      <c r="BC31" t="s">
        <v>1391</v>
      </c>
      <c r="BD31" t="s">
        <v>1399</v>
      </c>
      <c r="BE31" t="s">
        <v>3</v>
      </c>
      <c r="BF31" t="s">
        <v>3</v>
      </c>
      <c r="BG31" t="s">
        <v>3</v>
      </c>
      <c r="BH31" t="s">
        <v>3</v>
      </c>
      <c r="BI31" t="s">
        <v>3</v>
      </c>
      <c r="BJ31" t="s">
        <v>3359</v>
      </c>
      <c r="BK31" t="s">
        <v>3</v>
      </c>
      <c r="BL31" t="s">
        <v>132</v>
      </c>
      <c r="BM31" t="s">
        <v>1</v>
      </c>
      <c r="BN31">
        <f>Tabla1[[#This Row],[precio del paquete]]</f>
        <v>14800</v>
      </c>
      <c r="BO31" t="s">
        <v>1</v>
      </c>
      <c r="BP31" t="s">
        <v>1</v>
      </c>
      <c r="BQ31" t="s">
        <v>1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3382</v>
      </c>
      <c r="CD31" t="str" cm="1">
        <f t="array" aca="1" ref="CD31" ca="1">eConcatenar(A31:CB31,"|")</f>
        <v>j2FTPpTS594373R3|CAR2022-0803|3|MEMORIAL|TABASCO|CARDENAS|CARDENAS|2022-02-04|14800|0|200|50|1|0|0|0|0|0|0|0|0|0|0||0|0|0|HERNANDEZ|CARRETA|RUTH|SOLTERO|X|X|CALLE NUMERO 2  |C-9 FRANCISCO I MADERO|X|X|X|X|X|CALLE NUMERO 2  |X|LUNES|x|x|x|x|x|DOMICILIO |200|14600|X|X|X|2022-02-04|2022-02-11|x|x|x|x|x|D7MKLZTCDQVFP55|x|HOMBRE|X|14800|X|X|X|X|X|X|X|X|CARDENAS|X|X|X|X|FINAL</v>
      </c>
    </row>
    <row r="32" spans="1:82" x14ac:dyDescent="0.25">
      <c r="A32" t="s">
        <v>188</v>
      </c>
      <c r="B32" t="s">
        <v>189</v>
      </c>
      <c r="C32">
        <v>3</v>
      </c>
      <c r="D32" t="s">
        <v>1368</v>
      </c>
      <c r="E32" t="s">
        <v>1380</v>
      </c>
      <c r="F32" t="s">
        <v>0</v>
      </c>
      <c r="G32" t="s">
        <v>0</v>
      </c>
      <c r="H32" t="s">
        <v>1391</v>
      </c>
      <c r="I32">
        <v>24500</v>
      </c>
      <c r="J32">
        <v>0</v>
      </c>
      <c r="K32">
        <v>100</v>
      </c>
      <c r="L32">
        <v>50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 t="s">
        <v>1743</v>
      </c>
      <c r="AC32" t="s">
        <v>1744</v>
      </c>
      <c r="AD32" s="18" t="s">
        <v>1745</v>
      </c>
      <c r="AE32" t="s">
        <v>4</v>
      </c>
      <c r="AF32" t="s">
        <v>1</v>
      </c>
      <c r="AG32" t="s">
        <v>1</v>
      </c>
      <c r="AH32" t="s">
        <v>2472</v>
      </c>
      <c r="AI32" t="s">
        <v>2985</v>
      </c>
      <c r="AJ32" t="s">
        <v>1</v>
      </c>
      <c r="AK32" t="s">
        <v>1</v>
      </c>
      <c r="AL32" t="s">
        <v>1</v>
      </c>
      <c r="AM32" t="s">
        <v>1</v>
      </c>
      <c r="AN32" t="s">
        <v>1</v>
      </c>
      <c r="AO32" t="s">
        <v>2472</v>
      </c>
      <c r="AP32" t="s">
        <v>1</v>
      </c>
      <c r="AQ32" t="s">
        <v>2</v>
      </c>
      <c r="AR32" t="s">
        <v>3</v>
      </c>
      <c r="AS32" t="s">
        <v>3</v>
      </c>
      <c r="AT32" t="s">
        <v>3</v>
      </c>
      <c r="AU32" t="s">
        <v>3</v>
      </c>
      <c r="AV32" t="s">
        <v>3</v>
      </c>
      <c r="AW32" t="s">
        <v>11</v>
      </c>
      <c r="AX32">
        <f>Tabla1[[#This Row],[precio del paquete]]-Tabla1[[#This Row],[Saldo_Deudor]]</f>
        <v>9800</v>
      </c>
      <c r="AY32">
        <v>14700</v>
      </c>
      <c r="AZ32" t="s">
        <v>1</v>
      </c>
      <c r="BA32" t="s">
        <v>1</v>
      </c>
      <c r="BB32" t="s">
        <v>1</v>
      </c>
      <c r="BC32" t="s">
        <v>1391</v>
      </c>
      <c r="BD32" t="s">
        <v>1399</v>
      </c>
      <c r="BE32" t="s">
        <v>3</v>
      </c>
      <c r="BF32" t="s">
        <v>3</v>
      </c>
      <c r="BG32" t="s">
        <v>3</v>
      </c>
      <c r="BH32" t="s">
        <v>3</v>
      </c>
      <c r="BI32" t="s">
        <v>3</v>
      </c>
      <c r="BJ32" t="s">
        <v>3359</v>
      </c>
      <c r="BK32" t="s">
        <v>3</v>
      </c>
      <c r="BL32" t="s">
        <v>132</v>
      </c>
      <c r="BM32" t="s">
        <v>1</v>
      </c>
      <c r="BN32">
        <f>Tabla1[[#This Row],[precio del paquete]]</f>
        <v>24500</v>
      </c>
      <c r="BO32" t="s">
        <v>1</v>
      </c>
      <c r="BP32" t="s">
        <v>1</v>
      </c>
      <c r="BQ32" t="s">
        <v>1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3382</v>
      </c>
      <c r="CD32" t="str" cm="1">
        <f t="array" aca="1" ref="CD32" ca="1">eConcatenar(A32:CB32,"|")</f>
        <v>rZjHqlR7pjZf9Meh|CAR2022-0802|3|DIGNITY|TABASCO|CARDENAS|CARDENAS|2022-02-04|24500|0|100|50|2|0|0|0|0|0|0|0|0|0|0||0|0|0|DIAZ|PEREZ|LUBISNELLY|SOLTERO|X|X|CALLE NUMERO 2 EMILIANO ZAPATA|C-9 FRANCISCO I MADERO|X|X|X|X|X|CALLE NUMERO 2 EMILIANO ZAPATA|X|LUNES|x|x|x|x|x|DOMICILIO |9800|14700|X|X|X|2022-02-04|2022-02-11|x|x|x|x|x|D7MKLZTCDQVFP55|x|HOMBRE|X|24500|X|X|X|X|X|X|X|X|CARDENAS|X|X|X|X|FINAL</v>
      </c>
    </row>
    <row r="33" spans="1:82" x14ac:dyDescent="0.25">
      <c r="A33" t="s">
        <v>190</v>
      </c>
      <c r="B33" t="s">
        <v>191</v>
      </c>
      <c r="C33">
        <v>3</v>
      </c>
      <c r="D33" t="s">
        <v>1369</v>
      </c>
      <c r="E33" t="s">
        <v>1380</v>
      </c>
      <c r="F33" t="s">
        <v>0</v>
      </c>
      <c r="G33" t="s">
        <v>0</v>
      </c>
      <c r="H33" t="s">
        <v>1391</v>
      </c>
      <c r="I33">
        <v>14800</v>
      </c>
      <c r="J33">
        <v>0</v>
      </c>
      <c r="K33">
        <v>50</v>
      </c>
      <c r="L33">
        <v>50</v>
      </c>
      <c r="M33">
        <v>2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 t="s">
        <v>1699</v>
      </c>
      <c r="AC33" t="s">
        <v>1699</v>
      </c>
      <c r="AD33" s="18" t="s">
        <v>1746</v>
      </c>
      <c r="AE33" t="s">
        <v>4</v>
      </c>
      <c r="AF33" t="s">
        <v>1</v>
      </c>
      <c r="AG33" t="s">
        <v>1</v>
      </c>
      <c r="AH33" t="s">
        <v>2473</v>
      </c>
      <c r="AI33" t="s">
        <v>2985</v>
      </c>
      <c r="AJ33" t="s">
        <v>1</v>
      </c>
      <c r="AK33" t="s">
        <v>1</v>
      </c>
      <c r="AL33" t="s">
        <v>1</v>
      </c>
      <c r="AM33" t="s">
        <v>1</v>
      </c>
      <c r="AN33" t="s">
        <v>1</v>
      </c>
      <c r="AO33" t="s">
        <v>2473</v>
      </c>
      <c r="AP33" t="s">
        <v>1</v>
      </c>
      <c r="AQ33" t="s">
        <v>2</v>
      </c>
      <c r="AR33" t="s">
        <v>3</v>
      </c>
      <c r="AS33" t="s">
        <v>3</v>
      </c>
      <c r="AT33" t="s">
        <v>3</v>
      </c>
      <c r="AU33" t="s">
        <v>3</v>
      </c>
      <c r="AV33" t="s">
        <v>3</v>
      </c>
      <c r="AW33" t="s">
        <v>11</v>
      </c>
      <c r="AX33">
        <f>Tabla1[[#This Row],[precio del paquete]]-Tabla1[[#This Row],[Saldo_Deudor]]</f>
        <v>50</v>
      </c>
      <c r="AY33">
        <v>14750</v>
      </c>
      <c r="AZ33" t="s">
        <v>1</v>
      </c>
      <c r="BA33" t="s">
        <v>1</v>
      </c>
      <c r="BB33" t="s">
        <v>1</v>
      </c>
      <c r="BC33" t="s">
        <v>1391</v>
      </c>
      <c r="BD33" t="s">
        <v>1399</v>
      </c>
      <c r="BE33" t="s">
        <v>3</v>
      </c>
      <c r="BF33" t="s">
        <v>3</v>
      </c>
      <c r="BG33" t="s">
        <v>3</v>
      </c>
      <c r="BH33" t="s">
        <v>3</v>
      </c>
      <c r="BI33" t="s">
        <v>3</v>
      </c>
      <c r="BJ33" t="s">
        <v>3359</v>
      </c>
      <c r="BK33" t="s">
        <v>3</v>
      </c>
      <c r="BL33" t="s">
        <v>132</v>
      </c>
      <c r="BM33" t="s">
        <v>1</v>
      </c>
      <c r="BN33">
        <f>Tabla1[[#This Row],[precio del paquete]]</f>
        <v>14800</v>
      </c>
      <c r="BO33" t="s">
        <v>1</v>
      </c>
      <c r="BP33" t="s">
        <v>1</v>
      </c>
      <c r="BQ33" t="s">
        <v>1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3382</v>
      </c>
      <c r="CD33" t="str" cm="1">
        <f t="array" aca="1" ref="CD33" ca="1">eConcatenar(A33:CB33,"|")</f>
        <v>mFFw4Rk4mKCFLMSP|CAR2022-0698|3|MEMORIAL|TABASCO|CARDENAS|CARDENAS|2022-02-04|14800|0|50|50|2|0|0|0|0|0|0|0|0|0|0||0|0|0|CORDOVA|CORDOVA|SEBASTIAN|SOLTERO|X|X|CALLE NUMERO 1 CASA NUMERO 37|C-9 FRANCISCO I MADERO|X|X|X|X|X|CALLE NUMERO 1 CASA NUMERO 37|X|LUNES|x|x|x|x|x|DOMICILIO |50|14750|X|X|X|2022-02-04|2022-02-11|x|x|x|x|x|D7MKLZTCDQVFP55|x|HOMBRE|X|14800|X|X|X|X|X|X|X|X|CARDENAS|X|X|X|X|FINAL</v>
      </c>
    </row>
    <row r="34" spans="1:82" x14ac:dyDescent="0.25">
      <c r="A34" t="s">
        <v>192</v>
      </c>
      <c r="B34" t="s">
        <v>193</v>
      </c>
      <c r="C34">
        <v>3</v>
      </c>
      <c r="D34" t="s">
        <v>1369</v>
      </c>
      <c r="E34" t="s">
        <v>1380</v>
      </c>
      <c r="F34" t="s">
        <v>0</v>
      </c>
      <c r="G34" t="s">
        <v>0</v>
      </c>
      <c r="H34" t="s">
        <v>1391</v>
      </c>
      <c r="I34">
        <v>14800</v>
      </c>
      <c r="J34">
        <v>0</v>
      </c>
      <c r="K34">
        <v>100</v>
      </c>
      <c r="L34">
        <v>50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 t="s">
        <v>1747</v>
      </c>
      <c r="AC34" t="s">
        <v>1748</v>
      </c>
      <c r="AD34" s="18" t="s">
        <v>1749</v>
      </c>
      <c r="AE34" t="s">
        <v>4</v>
      </c>
      <c r="AF34" t="s">
        <v>1</v>
      </c>
      <c r="AG34" t="s">
        <v>1</v>
      </c>
      <c r="AH34" t="s">
        <v>2474</v>
      </c>
      <c r="AI34" t="s">
        <v>2985</v>
      </c>
      <c r="AJ34" t="s">
        <v>1</v>
      </c>
      <c r="AK34" t="s">
        <v>1</v>
      </c>
      <c r="AL34" t="s">
        <v>1</v>
      </c>
      <c r="AM34" t="s">
        <v>1</v>
      </c>
      <c r="AN34" t="s">
        <v>1</v>
      </c>
      <c r="AO34" t="s">
        <v>2474</v>
      </c>
      <c r="AP34" t="s">
        <v>1</v>
      </c>
      <c r="AQ34" t="s">
        <v>2</v>
      </c>
      <c r="AR34" t="s">
        <v>3</v>
      </c>
      <c r="AS34" t="s">
        <v>3</v>
      </c>
      <c r="AT34" t="s">
        <v>3</v>
      </c>
      <c r="AU34" t="s">
        <v>3</v>
      </c>
      <c r="AV34" t="s">
        <v>3</v>
      </c>
      <c r="AW34" t="s">
        <v>11</v>
      </c>
      <c r="AX34">
        <f>Tabla1[[#This Row],[precio del paquete]]-Tabla1[[#This Row],[Saldo_Deudor]]</f>
        <v>100</v>
      </c>
      <c r="AY34">
        <v>14700</v>
      </c>
      <c r="AZ34" t="s">
        <v>1</v>
      </c>
      <c r="BA34" t="s">
        <v>1</v>
      </c>
      <c r="BB34" t="s">
        <v>1</v>
      </c>
      <c r="BC34" t="s">
        <v>1391</v>
      </c>
      <c r="BD34" t="s">
        <v>1399</v>
      </c>
      <c r="BE34" t="s">
        <v>3</v>
      </c>
      <c r="BF34" t="s">
        <v>3</v>
      </c>
      <c r="BG34" t="s">
        <v>3</v>
      </c>
      <c r="BH34" t="s">
        <v>3</v>
      </c>
      <c r="BI34" t="s">
        <v>3</v>
      </c>
      <c r="BJ34" t="s">
        <v>3360</v>
      </c>
      <c r="BK34" t="s">
        <v>3</v>
      </c>
      <c r="BL34" t="s">
        <v>132</v>
      </c>
      <c r="BM34" t="s">
        <v>1</v>
      </c>
      <c r="BN34">
        <f>Tabla1[[#This Row],[precio del paquete]]</f>
        <v>14800</v>
      </c>
      <c r="BO34" t="s">
        <v>1</v>
      </c>
      <c r="BP34" t="s">
        <v>1</v>
      </c>
      <c r="BQ34" t="s">
        <v>1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3382</v>
      </c>
      <c r="CD34" t="str" cm="1">
        <f t="array" aca="1" ref="CD34" ca="1">eConcatenar(A34:CB34,"|")</f>
        <v>8HWP9Nvx5lwuiJLT|CAR2022-0695|3|MEMORIAL|TABASCO|CARDENAS|CARDENAS|2022-02-04|14800|0|100|50|0|0|0|0|0|0|0|0|0|0|0||0|0|0|GOMES|JIMENEZ|LAURA|SOLTERO|X|X|CALLE NUMERO 1 CASA NUMERO 23|C-9 FRANCISCO I MADERO|X|X|X|X|X|CALLE NUMERO 1 CASA NUMERO 23|X|LUNES|x|x|x|x|x|DOMICILIO |100|14700|X|X|X|2022-02-04|2022-02-11|x|x|x|x|x|KYMDH4NUTCJVUQD|x|HOMBRE|X|14800|X|X|X|X|X|X|X|X|CARDENAS|X|X|X|X|FINAL</v>
      </c>
    </row>
    <row r="35" spans="1:82" x14ac:dyDescent="0.25">
      <c r="A35" t="s">
        <v>194</v>
      </c>
      <c r="B35" t="s">
        <v>195</v>
      </c>
      <c r="C35">
        <v>3</v>
      </c>
      <c r="D35" t="s">
        <v>1369</v>
      </c>
      <c r="E35" t="s">
        <v>1380</v>
      </c>
      <c r="F35" t="s">
        <v>0</v>
      </c>
      <c r="G35" t="s">
        <v>0</v>
      </c>
      <c r="H35" t="s">
        <v>1391</v>
      </c>
      <c r="I35">
        <v>14800</v>
      </c>
      <c r="J35">
        <v>0</v>
      </c>
      <c r="K35">
        <v>200</v>
      </c>
      <c r="L35">
        <v>50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 t="s">
        <v>1744</v>
      </c>
      <c r="AC35" t="s">
        <v>1750</v>
      </c>
      <c r="AD35" s="18" t="s">
        <v>1751</v>
      </c>
      <c r="AE35" t="s">
        <v>4</v>
      </c>
      <c r="AF35" t="s">
        <v>1</v>
      </c>
      <c r="AG35" t="s">
        <v>1</v>
      </c>
      <c r="AH35" t="s">
        <v>2475</v>
      </c>
      <c r="AI35" t="s">
        <v>2985</v>
      </c>
      <c r="AJ35" t="s">
        <v>1</v>
      </c>
      <c r="AK35" t="s">
        <v>1</v>
      </c>
      <c r="AL35" t="s">
        <v>1</v>
      </c>
      <c r="AM35" t="s">
        <v>1</v>
      </c>
      <c r="AN35" t="s">
        <v>1</v>
      </c>
      <c r="AO35" t="s">
        <v>2475</v>
      </c>
      <c r="AP35" t="s">
        <v>1</v>
      </c>
      <c r="AQ35" t="s">
        <v>2</v>
      </c>
      <c r="AR35" t="s">
        <v>3</v>
      </c>
      <c r="AS35" t="s">
        <v>3</v>
      </c>
      <c r="AT35" t="s">
        <v>3</v>
      </c>
      <c r="AU35" t="s">
        <v>3</v>
      </c>
      <c r="AV35" t="s">
        <v>3</v>
      </c>
      <c r="AW35" t="s">
        <v>11</v>
      </c>
      <c r="AX35">
        <f>Tabla1[[#This Row],[precio del paquete]]-Tabla1[[#This Row],[Saldo_Deudor]]</f>
        <v>200</v>
      </c>
      <c r="AY35">
        <v>14600</v>
      </c>
      <c r="AZ35" t="s">
        <v>1</v>
      </c>
      <c r="BA35" t="s">
        <v>1</v>
      </c>
      <c r="BB35" t="s">
        <v>1</v>
      </c>
      <c r="BC35" t="s">
        <v>1391</v>
      </c>
      <c r="BD35" t="s">
        <v>1399</v>
      </c>
      <c r="BE35" t="s">
        <v>3</v>
      </c>
      <c r="BF35" t="s">
        <v>3</v>
      </c>
      <c r="BG35" t="s">
        <v>3</v>
      </c>
      <c r="BH35" t="s">
        <v>3</v>
      </c>
      <c r="BI35" t="s">
        <v>3</v>
      </c>
      <c r="BJ35" t="s">
        <v>3353</v>
      </c>
      <c r="BK35" t="s">
        <v>3</v>
      </c>
      <c r="BL35" t="s">
        <v>132</v>
      </c>
      <c r="BM35" t="s">
        <v>1</v>
      </c>
      <c r="BN35">
        <f>Tabla1[[#This Row],[precio del paquete]]</f>
        <v>14800</v>
      </c>
      <c r="BO35" t="s">
        <v>1</v>
      </c>
      <c r="BP35" t="s">
        <v>1</v>
      </c>
      <c r="BQ35" t="s">
        <v>1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3382</v>
      </c>
      <c r="CD35" t="str" cm="1">
        <f t="array" aca="1" ref="CD35" ca="1">eConcatenar(A35:CB35,"|")</f>
        <v>JVLovNTjYOlvQsVh|CAR2022-0800|3|MEMORIAL|TABASCO|CARDENAS|CARDENAS|2022-02-04|14800|0|200|50|0|0|0|0|0|0|0|0|0|0|0||0|0|0|PEREZ|IZQUIERDO|ISAIAS|SOLTERO|X|X|CALLE NUMERO 1 ADOLFO RUIZ CORTINEZ CASA NUMERO 23|C-9 FRANCISCO I MADERO|X|X|X|X|X|CALLE NUMERO 1 ADOLFO RUIZ CORTINEZ CASA NUMERO 23|X|LUNES|x|x|x|x|x|DOMICILIO |200|14600|X|X|X|2022-02-04|2022-02-11|x|x|x|x|x|TGYGIVCAZFPUVXE|x|HOMBRE|X|14800|X|X|X|X|X|X|X|X|CARDENAS|X|X|X|X|FINAL</v>
      </c>
    </row>
    <row r="36" spans="1:82" x14ac:dyDescent="0.25">
      <c r="A36" t="s">
        <v>196</v>
      </c>
      <c r="B36" t="s">
        <v>197</v>
      </c>
      <c r="C36">
        <v>3</v>
      </c>
      <c r="D36" t="s">
        <v>1369</v>
      </c>
      <c r="E36" t="s">
        <v>1380</v>
      </c>
      <c r="F36" t="s">
        <v>0</v>
      </c>
      <c r="G36" t="s">
        <v>0</v>
      </c>
      <c r="H36" t="s">
        <v>1391</v>
      </c>
      <c r="I36">
        <v>14800</v>
      </c>
      <c r="J36">
        <v>0</v>
      </c>
      <c r="K36">
        <v>50</v>
      </c>
      <c r="L36">
        <v>50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 t="s">
        <v>1731</v>
      </c>
      <c r="AC36" t="s">
        <v>1752</v>
      </c>
      <c r="AD36" s="18" t="s">
        <v>1753</v>
      </c>
      <c r="AE36" t="s">
        <v>4</v>
      </c>
      <c r="AF36" t="s">
        <v>1</v>
      </c>
      <c r="AG36" t="s">
        <v>1</v>
      </c>
      <c r="AH36" t="s">
        <v>2476</v>
      </c>
      <c r="AI36" t="s">
        <v>2985</v>
      </c>
      <c r="AJ36" t="s">
        <v>1</v>
      </c>
      <c r="AK36" t="s">
        <v>1</v>
      </c>
      <c r="AL36" t="s">
        <v>1</v>
      </c>
      <c r="AM36" t="s">
        <v>1</v>
      </c>
      <c r="AN36" t="s">
        <v>1</v>
      </c>
      <c r="AO36" t="s">
        <v>2476</v>
      </c>
      <c r="AP36" t="s">
        <v>1</v>
      </c>
      <c r="AQ36" t="s">
        <v>2</v>
      </c>
      <c r="AR36" t="s">
        <v>3</v>
      </c>
      <c r="AS36" t="s">
        <v>3</v>
      </c>
      <c r="AT36" t="s">
        <v>3</v>
      </c>
      <c r="AU36" t="s">
        <v>3</v>
      </c>
      <c r="AV36" t="s">
        <v>3</v>
      </c>
      <c r="AW36" t="s">
        <v>11</v>
      </c>
      <c r="AX36">
        <f>Tabla1[[#This Row],[precio del paquete]]-Tabla1[[#This Row],[Saldo_Deudor]]</f>
        <v>50</v>
      </c>
      <c r="AY36">
        <v>14750</v>
      </c>
      <c r="AZ36" t="s">
        <v>1</v>
      </c>
      <c r="BA36" t="s">
        <v>1</v>
      </c>
      <c r="BB36" t="s">
        <v>1</v>
      </c>
      <c r="BC36" t="s">
        <v>1391</v>
      </c>
      <c r="BD36" t="s">
        <v>1399</v>
      </c>
      <c r="BE36" t="s">
        <v>3</v>
      </c>
      <c r="BF36" t="s">
        <v>3</v>
      </c>
      <c r="BG36" t="s">
        <v>3</v>
      </c>
      <c r="BH36" t="s">
        <v>3</v>
      </c>
      <c r="BI36" t="s">
        <v>3</v>
      </c>
      <c r="BJ36" t="s">
        <v>3359</v>
      </c>
      <c r="BK36" t="s">
        <v>3</v>
      </c>
      <c r="BL36" t="s">
        <v>132</v>
      </c>
      <c r="BM36" t="s">
        <v>1</v>
      </c>
      <c r="BN36">
        <f>Tabla1[[#This Row],[precio del paquete]]</f>
        <v>14800</v>
      </c>
      <c r="BO36" t="s">
        <v>1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3382</v>
      </c>
      <c r="CD36" t="str" cm="1">
        <f t="array" aca="1" ref="CD36" ca="1">eConcatenar(A36:CB36,"|")</f>
        <v>3HT6cXLnkQFwn3g5|CAR2022-0801|3|MEMORIAL|TABASCO|CARDENAS|CARDENAS|2022-02-04|14800|0|50|50|0|0|0|0|0|0|0|0|0|0|0||0|0|0|GARCIA|VALENZUELA|JOSE|SOLTERO|X|X|CALLE NUMERO 2 GREGORIO MENDEZ MAGAÑA SIN NUEMRO|C-9 FRANCISCO I MADERO|X|X|X|X|X|CALLE NUMERO 2 GREGORIO MENDEZ MAGAÑA SIN NUEMRO|X|LUNES|x|x|x|x|x|DOMICILIO |50|14750|X|X|X|2022-02-04|2022-02-11|x|x|x|x|x|D7MKLZTCDQVFP55|x|HOMBRE|X|14800|X|X|X|X|X|X|X|X|CARDENAS|X|X|X|X|FINAL</v>
      </c>
    </row>
    <row r="37" spans="1:82" x14ac:dyDescent="0.25">
      <c r="A37" t="s">
        <v>198</v>
      </c>
      <c r="B37" t="s">
        <v>199</v>
      </c>
      <c r="C37">
        <v>3</v>
      </c>
      <c r="D37" t="s">
        <v>1369</v>
      </c>
      <c r="E37" t="s">
        <v>1380</v>
      </c>
      <c r="F37" t="s">
        <v>0</v>
      </c>
      <c r="G37" t="s">
        <v>0</v>
      </c>
      <c r="H37" t="s">
        <v>1393</v>
      </c>
      <c r="I37">
        <v>14800</v>
      </c>
      <c r="J37">
        <v>0</v>
      </c>
      <c r="K37">
        <v>200</v>
      </c>
      <c r="L37">
        <v>50</v>
      </c>
      <c r="M37">
        <v>2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 t="s">
        <v>1719</v>
      </c>
      <c r="AC37" t="s">
        <v>1754</v>
      </c>
      <c r="AD37" s="18" t="s">
        <v>1755</v>
      </c>
      <c r="AE37" t="s">
        <v>4</v>
      </c>
      <c r="AF37" t="s">
        <v>1</v>
      </c>
      <c r="AG37" t="s">
        <v>1</v>
      </c>
      <c r="AH37" t="s">
        <v>2477</v>
      </c>
      <c r="AI37" t="s">
        <v>2986</v>
      </c>
      <c r="AJ37" t="s">
        <v>1</v>
      </c>
      <c r="AK37" t="s">
        <v>1</v>
      </c>
      <c r="AL37" t="s">
        <v>1</v>
      </c>
      <c r="AM37" t="s">
        <v>1</v>
      </c>
      <c r="AN37" t="s">
        <v>1</v>
      </c>
      <c r="AO37" t="s">
        <v>2477</v>
      </c>
      <c r="AP37" t="s">
        <v>1</v>
      </c>
      <c r="AQ37" t="s">
        <v>2</v>
      </c>
      <c r="AR37" t="s">
        <v>3</v>
      </c>
      <c r="AS37" t="s">
        <v>3</v>
      </c>
      <c r="AT37" t="s">
        <v>3</v>
      </c>
      <c r="AU37" t="s">
        <v>3</v>
      </c>
      <c r="AV37" t="s">
        <v>3</v>
      </c>
      <c r="AW37" t="s">
        <v>11</v>
      </c>
      <c r="AX37">
        <f>Tabla1[[#This Row],[precio del paquete]]-Tabla1[[#This Row],[Saldo_Deudor]]</f>
        <v>200</v>
      </c>
      <c r="AY37">
        <v>14600</v>
      </c>
      <c r="AZ37" t="s">
        <v>1</v>
      </c>
      <c r="BA37" t="s">
        <v>1</v>
      </c>
      <c r="BB37" t="s">
        <v>1</v>
      </c>
      <c r="BC37" t="s">
        <v>1386</v>
      </c>
      <c r="BD37" t="s">
        <v>1388</v>
      </c>
      <c r="BE37" t="s">
        <v>3</v>
      </c>
      <c r="BF37" t="s">
        <v>3</v>
      </c>
      <c r="BG37" t="s">
        <v>3</v>
      </c>
      <c r="BH37" t="s">
        <v>3</v>
      </c>
      <c r="BI37" t="s">
        <v>3</v>
      </c>
      <c r="BJ37" t="s">
        <v>3357</v>
      </c>
      <c r="BK37" t="s">
        <v>3</v>
      </c>
      <c r="BL37" t="s">
        <v>132</v>
      </c>
      <c r="BM37" t="s">
        <v>1</v>
      </c>
      <c r="BN37">
        <f>Tabla1[[#This Row],[precio del paquete]]</f>
        <v>14800</v>
      </c>
      <c r="BO37" t="s">
        <v>1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3382</v>
      </c>
      <c r="CD37" t="str" cm="1">
        <f t="array" aca="1" ref="CD37" ca="1">eConcatenar(A37:CB37,"|")</f>
        <v>7UnPIFcQNluBwzuw|CAR2022-0489|3|MEMORIAL|TABASCO|CARDENAS|CARDENAS|2022-01-28|14800|0|200|50|2|0|0|0|0|0|0|0|0|0|0||0|0|0|PALMA|PATRACA|DANIEL|SOLTERO|X|X|CALLE ISORA SIN NUMERO|BAJIO PRIMERA SECCION|X|X|X|X|X|CALLE ISORA SIN NUMERO|X|LUNES|x|x|x|x|x|DOMICILIO |200|14600|X|X|X|2022-01-29|2022-02-05|x|x|x|x|x|QWZBUES49KVTQO|x|HOMBRE|X|14800|X|X|X|X|X|X|X|X|CARDENAS|X|X|X|X|FINAL</v>
      </c>
    </row>
    <row r="38" spans="1:82" x14ac:dyDescent="0.25">
      <c r="A38" t="s">
        <v>200</v>
      </c>
      <c r="B38" t="s">
        <v>201</v>
      </c>
      <c r="C38">
        <v>3</v>
      </c>
      <c r="D38" t="s">
        <v>1369</v>
      </c>
      <c r="E38" t="s">
        <v>1380</v>
      </c>
      <c r="F38" t="s">
        <v>0</v>
      </c>
      <c r="G38" t="s">
        <v>0</v>
      </c>
      <c r="H38" t="s">
        <v>1389</v>
      </c>
      <c r="I38">
        <v>14800</v>
      </c>
      <c r="J38">
        <v>0</v>
      </c>
      <c r="K38">
        <v>100</v>
      </c>
      <c r="L38">
        <v>50</v>
      </c>
      <c r="M38">
        <v>2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 t="s">
        <v>1756</v>
      </c>
      <c r="AC38" t="s">
        <v>1748</v>
      </c>
      <c r="AD38" s="18" t="s">
        <v>1757</v>
      </c>
      <c r="AE38" t="s">
        <v>4</v>
      </c>
      <c r="AF38" t="s">
        <v>1</v>
      </c>
      <c r="AG38" t="s">
        <v>1</v>
      </c>
      <c r="AH38" t="s">
        <v>2478</v>
      </c>
      <c r="AI38" t="s">
        <v>2987</v>
      </c>
      <c r="AJ38" t="s">
        <v>1</v>
      </c>
      <c r="AK38" t="s">
        <v>1</v>
      </c>
      <c r="AL38" t="s">
        <v>1</v>
      </c>
      <c r="AM38" t="s">
        <v>1</v>
      </c>
      <c r="AN38" t="s">
        <v>1</v>
      </c>
      <c r="AO38" t="s">
        <v>2478</v>
      </c>
      <c r="AP38" t="s">
        <v>1</v>
      </c>
      <c r="AQ38" t="s">
        <v>2</v>
      </c>
      <c r="AR38" t="s">
        <v>3</v>
      </c>
      <c r="AS38" t="s">
        <v>3</v>
      </c>
      <c r="AT38" t="s">
        <v>3</v>
      </c>
      <c r="AU38" t="s">
        <v>3</v>
      </c>
      <c r="AV38" t="s">
        <v>3</v>
      </c>
      <c r="AW38" t="s">
        <v>11</v>
      </c>
      <c r="AX38">
        <f>Tabla1[[#This Row],[precio del paquete]]-Tabla1[[#This Row],[Saldo_Deudor]]</f>
        <v>100</v>
      </c>
      <c r="AY38">
        <v>14700</v>
      </c>
      <c r="AZ38" t="s">
        <v>1</v>
      </c>
      <c r="BA38" t="s">
        <v>1</v>
      </c>
      <c r="BB38" t="s">
        <v>1</v>
      </c>
      <c r="BC38" t="s">
        <v>1389</v>
      </c>
      <c r="BD38" t="s">
        <v>1402</v>
      </c>
      <c r="BE38" t="s">
        <v>3</v>
      </c>
      <c r="BF38" t="s">
        <v>3</v>
      </c>
      <c r="BG38" t="s">
        <v>3</v>
      </c>
      <c r="BH38" t="s">
        <v>3</v>
      </c>
      <c r="BI38" t="s">
        <v>3</v>
      </c>
      <c r="BJ38" t="s">
        <v>3357</v>
      </c>
      <c r="BK38" t="s">
        <v>3</v>
      </c>
      <c r="BL38" t="s">
        <v>132</v>
      </c>
      <c r="BM38" t="s">
        <v>1</v>
      </c>
      <c r="BN38">
        <f>Tabla1[[#This Row],[precio del paquete]]</f>
        <v>14800</v>
      </c>
      <c r="BO38" t="s">
        <v>1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3382</v>
      </c>
      <c r="CD38" t="str" cm="1">
        <f t="array" aca="1" ref="CD38" ca="1">eConcatenar(A38:CB38,"|")</f>
        <v>ElDJ05Ldv2JlQcak|CAR2022-0637|3|MEMORIAL|TABASCO|CARDENAS|CARDENAS|2022-02-01|14800|0|100|50|2|0|0|0|0|0|0|0|0|0|0||0|0|0|CEFERINO|JIMENEZ|RAMIRO|SOLTERO|X|X|CALLE NICOLAZA CANO, CASA NUMERO 20|SANTA MARIA DE GUADALUPE|X|X|X|X|X|CALLE NICOLAZA CANO, CASA NUMERO 20|X|LUNES|x|x|x|x|x|DOMICILIO |100|14700|X|X|X|2022-02-01|2022-02-08|x|x|x|x|x|QWZBUES49KVTQO|x|HOMBRE|X|14800|X|X|X|X|X|X|X|X|CARDENAS|X|X|X|X|FINAL</v>
      </c>
    </row>
    <row r="39" spans="1:82" x14ac:dyDescent="0.25">
      <c r="A39" t="s">
        <v>202</v>
      </c>
      <c r="B39" t="s">
        <v>203</v>
      </c>
      <c r="C39">
        <v>3</v>
      </c>
      <c r="D39" t="s">
        <v>1370</v>
      </c>
      <c r="E39" t="s">
        <v>1380</v>
      </c>
      <c r="F39" t="s">
        <v>1382</v>
      </c>
      <c r="G39" t="s">
        <v>1382</v>
      </c>
      <c r="H39" t="s">
        <v>1386</v>
      </c>
      <c r="I39">
        <v>35000</v>
      </c>
      <c r="J39">
        <v>0</v>
      </c>
      <c r="K39">
        <v>200</v>
      </c>
      <c r="L39">
        <v>50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 t="s">
        <v>1758</v>
      </c>
      <c r="AC39" t="s">
        <v>1703</v>
      </c>
      <c r="AD39" s="18" t="s">
        <v>1759</v>
      </c>
      <c r="AE39" t="s">
        <v>4</v>
      </c>
      <c r="AF39" t="s">
        <v>1</v>
      </c>
      <c r="AG39" t="s">
        <v>1</v>
      </c>
      <c r="AH39" t="s">
        <v>2479</v>
      </c>
      <c r="AI39" t="s">
        <v>2988</v>
      </c>
      <c r="AJ39" t="s">
        <v>1</v>
      </c>
      <c r="AK39" t="s">
        <v>1</v>
      </c>
      <c r="AL39" t="s">
        <v>1</v>
      </c>
      <c r="AM39" t="s">
        <v>1</v>
      </c>
      <c r="AN39" t="s">
        <v>1</v>
      </c>
      <c r="AO39" t="s">
        <v>2479</v>
      </c>
      <c r="AP39" t="s">
        <v>1</v>
      </c>
      <c r="AQ39" t="s">
        <v>2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11</v>
      </c>
      <c r="AX39">
        <f>Tabla1[[#This Row],[precio del paquete]]-Tabla1[[#This Row],[Saldo_Deudor]]</f>
        <v>200</v>
      </c>
      <c r="AY39">
        <v>34800</v>
      </c>
      <c r="AZ39" t="s">
        <v>1</v>
      </c>
      <c r="BA39" t="s">
        <v>1</v>
      </c>
      <c r="BB39" t="s">
        <v>1</v>
      </c>
      <c r="BC39" t="s">
        <v>1386</v>
      </c>
      <c r="BD39" t="s">
        <v>1388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3361</v>
      </c>
      <c r="BK39" t="s">
        <v>3</v>
      </c>
      <c r="BL39" t="s">
        <v>132</v>
      </c>
      <c r="BM39" t="s">
        <v>1</v>
      </c>
      <c r="BN39">
        <f>Tabla1[[#This Row],[precio del paquete]]</f>
        <v>35000</v>
      </c>
      <c r="BO39" t="s">
        <v>1</v>
      </c>
      <c r="BP39" t="s">
        <v>1</v>
      </c>
      <c r="BQ39" t="s">
        <v>1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3382</v>
      </c>
      <c r="CD39" t="str" cm="1">
        <f t="array" aca="1" ref="CD39" ca="1">eConcatenar(A39:CB39,"|")</f>
        <v>GHgFuNorSNkntIat|CAR2022-0491|3|DELUX|TABASCO|HUIMANGUILLO|HUIMANGUILLO|2022-01-29|35000|0|200|50|0|0|0|0|0|0|0|0|0|0|0||0|0|0|ARIAS|RAMOS|FRANCISCA|SOLTERO|X|X|CALLE SIN NUMERO LOTE NUMERO 25 Y 26|GENARO VAZQUEZ|X|X|X|X|X|CALLE SIN NUMERO LOTE NUMERO 25 Y 26|X|LUNES|x|x|x|x|x|DOMICILIO |200|34800|X|X|X|2022-01-29|2022-02-05|x|x|x|x|x|QXTXF5PY9KVTQO|x|HOMBRE|X|35000|X|X|X|X|X|X|X|X|CARDENAS|X|X|X|X|FINAL</v>
      </c>
    </row>
    <row r="40" spans="1:82" x14ac:dyDescent="0.25">
      <c r="A40" t="s">
        <v>204</v>
      </c>
      <c r="B40" t="s">
        <v>205</v>
      </c>
      <c r="C40">
        <v>3</v>
      </c>
      <c r="D40" t="s">
        <v>1369</v>
      </c>
      <c r="E40" t="s">
        <v>1380</v>
      </c>
      <c r="F40" t="s">
        <v>1382</v>
      </c>
      <c r="G40" t="s">
        <v>1382</v>
      </c>
      <c r="H40" t="s">
        <v>1387</v>
      </c>
      <c r="I40">
        <v>14800</v>
      </c>
      <c r="J40">
        <v>0</v>
      </c>
      <c r="K40">
        <v>200</v>
      </c>
      <c r="L40">
        <v>50</v>
      </c>
      <c r="M40">
        <v>1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 t="s">
        <v>1760</v>
      </c>
      <c r="AC40" t="s">
        <v>1761</v>
      </c>
      <c r="AD40" s="18" t="s">
        <v>1762</v>
      </c>
      <c r="AE40" t="s">
        <v>4</v>
      </c>
      <c r="AF40" t="s">
        <v>1</v>
      </c>
      <c r="AG40" t="s">
        <v>1</v>
      </c>
      <c r="AH40" t="s">
        <v>2480</v>
      </c>
      <c r="AI40" t="s">
        <v>5</v>
      </c>
      <c r="AJ40" t="s">
        <v>1</v>
      </c>
      <c r="AK40" t="s">
        <v>1</v>
      </c>
      <c r="AL40" t="s">
        <v>1</v>
      </c>
      <c r="AM40" t="s">
        <v>1</v>
      </c>
      <c r="AN40" t="s">
        <v>1</v>
      </c>
      <c r="AO40" t="s">
        <v>2480</v>
      </c>
      <c r="AP40" t="s">
        <v>1</v>
      </c>
      <c r="AQ40" t="s">
        <v>2</v>
      </c>
      <c r="AR40" t="s">
        <v>3</v>
      </c>
      <c r="AS40" t="s">
        <v>3</v>
      </c>
      <c r="AT40" t="s">
        <v>3</v>
      </c>
      <c r="AU40" t="s">
        <v>3</v>
      </c>
      <c r="AV40" t="s">
        <v>3</v>
      </c>
      <c r="AW40" t="s">
        <v>11</v>
      </c>
      <c r="AX40">
        <f>Tabla1[[#This Row],[precio del paquete]]-Tabla1[[#This Row],[Saldo_Deudor]]</f>
        <v>700</v>
      </c>
      <c r="AY40">
        <v>14100</v>
      </c>
      <c r="AZ40" t="s">
        <v>1</v>
      </c>
      <c r="BA40" t="s">
        <v>1</v>
      </c>
      <c r="BB40" t="s">
        <v>1</v>
      </c>
      <c r="BC40" t="s">
        <v>1387</v>
      </c>
      <c r="BD40" t="s">
        <v>1397</v>
      </c>
      <c r="BE40" t="s">
        <v>3</v>
      </c>
      <c r="BF40" t="s">
        <v>3</v>
      </c>
      <c r="BG40" t="s">
        <v>3</v>
      </c>
      <c r="BH40" t="s">
        <v>3</v>
      </c>
      <c r="BI40" t="s">
        <v>3</v>
      </c>
      <c r="BJ40" t="s">
        <v>3357</v>
      </c>
      <c r="BK40" t="s">
        <v>3</v>
      </c>
      <c r="BL40" t="s">
        <v>132</v>
      </c>
      <c r="BM40" t="s">
        <v>1</v>
      </c>
      <c r="BN40">
        <f>Tabla1[[#This Row],[precio del paquete]]</f>
        <v>14800</v>
      </c>
      <c r="BO40" t="s">
        <v>1</v>
      </c>
      <c r="BP40" t="s">
        <v>1</v>
      </c>
      <c r="BQ40" t="s">
        <v>1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3382</v>
      </c>
      <c r="CD40" t="str" cm="1">
        <f t="array" aca="1" ref="CD40" ca="1">eConcatenar(A40:CB40,"|")</f>
        <v>AXccrbC1pF4JasLV|CAR2022-0619|3|MEMORIAL|TABASCO|HUIMANGUILLO|HUIMANGUILLO|2022-01-31|14800|0|200|50|1|0|0|0|0|0|0|0|0|0|0||0|0|0|CANDELARIO|CUSTODIO|EDNA NALLELY|SOLTERO|X|X|CALLE CUAUHTEMOC NUMERO 171|CENTRO|X|X|X|X|X|CALLE CUAUHTEMOC NUMERO 171|X|LUNES|x|x|x|x|x|DOMICILIO |700|14100|X|X|X|2022-01-31|2022-02-07|x|x|x|x|x|QWZBUES49KVTQO|x|HOMBRE|X|14800|X|X|X|X|X|X|X|X|CARDENAS|X|X|X|X|FINAL</v>
      </c>
    </row>
    <row r="41" spans="1:82" x14ac:dyDescent="0.25">
      <c r="A41" t="s">
        <v>206</v>
      </c>
      <c r="B41" t="s">
        <v>207</v>
      </c>
      <c r="C41">
        <v>3</v>
      </c>
      <c r="D41" t="s">
        <v>1369</v>
      </c>
      <c r="E41" t="s">
        <v>1380</v>
      </c>
      <c r="F41" t="s">
        <v>0</v>
      </c>
      <c r="G41" t="s">
        <v>0</v>
      </c>
      <c r="H41" t="s">
        <v>1386</v>
      </c>
      <c r="I41">
        <v>14800</v>
      </c>
      <c r="J41">
        <v>0</v>
      </c>
      <c r="K41">
        <v>50</v>
      </c>
      <c r="L41">
        <v>50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 t="s">
        <v>1703</v>
      </c>
      <c r="AC41" t="s">
        <v>1763</v>
      </c>
      <c r="AD41" s="18" t="s">
        <v>1749</v>
      </c>
      <c r="AE41" t="s">
        <v>4</v>
      </c>
      <c r="AF41" t="s">
        <v>1</v>
      </c>
      <c r="AG41" t="s">
        <v>1</v>
      </c>
      <c r="AH41" t="s">
        <v>2481</v>
      </c>
      <c r="AI41" t="s">
        <v>2977</v>
      </c>
      <c r="AJ41" t="s">
        <v>1</v>
      </c>
      <c r="AK41" t="s">
        <v>1</v>
      </c>
      <c r="AL41" t="s">
        <v>1</v>
      </c>
      <c r="AM41" t="s">
        <v>1</v>
      </c>
      <c r="AN41" t="s">
        <v>1</v>
      </c>
      <c r="AO41" t="s">
        <v>2481</v>
      </c>
      <c r="AP41" t="s">
        <v>1</v>
      </c>
      <c r="AQ41" t="s">
        <v>2</v>
      </c>
      <c r="AR41" t="s">
        <v>3</v>
      </c>
      <c r="AS41" t="s">
        <v>3</v>
      </c>
      <c r="AT41" t="s">
        <v>3</v>
      </c>
      <c r="AU41" t="s">
        <v>3</v>
      </c>
      <c r="AV41" t="s">
        <v>3</v>
      </c>
      <c r="AW41" t="s">
        <v>11</v>
      </c>
      <c r="AX41">
        <f>Tabla1[[#This Row],[precio del paquete]]-Tabla1[[#This Row],[Saldo_Deudor]]</f>
        <v>50</v>
      </c>
      <c r="AY41">
        <v>14750</v>
      </c>
      <c r="AZ41" t="s">
        <v>1</v>
      </c>
      <c r="BA41" t="s">
        <v>1</v>
      </c>
      <c r="BB41" t="s">
        <v>1</v>
      </c>
      <c r="BC41" t="s">
        <v>1386</v>
      </c>
      <c r="BD41" t="s">
        <v>1388</v>
      </c>
      <c r="BE41" t="s">
        <v>3</v>
      </c>
      <c r="BF41" t="s">
        <v>3</v>
      </c>
      <c r="BG41" t="s">
        <v>3</v>
      </c>
      <c r="BH41" t="s">
        <v>3</v>
      </c>
      <c r="BI41" t="s">
        <v>3</v>
      </c>
      <c r="BJ41" t="s">
        <v>3362</v>
      </c>
      <c r="BK41" t="s">
        <v>3</v>
      </c>
      <c r="BL41" t="s">
        <v>132</v>
      </c>
      <c r="BM41" t="s">
        <v>1</v>
      </c>
      <c r="BN41">
        <f>Tabla1[[#This Row],[precio del paquete]]</f>
        <v>14800</v>
      </c>
      <c r="BO41" t="s">
        <v>1</v>
      </c>
      <c r="BP41" t="s">
        <v>1</v>
      </c>
      <c r="BQ41" t="s">
        <v>1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3382</v>
      </c>
      <c r="CD41" t="str" cm="1">
        <f t="array" aca="1" ref="CD41" ca="1">eConcatenar(A41:CB41,"|")</f>
        <v>OLavup9pREy3faKL|CAR2022-0497|3|MEMORIAL|TABASCO|CARDENAS|CARDENAS|2022-01-29|14800|0|50|50|1|0|0|0|0|0|0|0|0|0|0||0|0|0|RAMOS|DE LA O|LAURA|SOLTERO|X|X|CALLE NUMERO 1 SIN NOMBRE|HABANERO PRIMERA SECCION|X|X|X|X|X|CALLE NUMERO 1 SIN NOMBRE|X|LUNES|x|x|x|x|x|DOMICILIO |50|14750|X|X|X|2022-01-29|2022-02-05|x|x|x|x|x|QX002LYO9KVTQO|x|HOMBRE|X|14800|X|X|X|X|X|X|X|X|CARDENAS|X|X|X|X|FINAL</v>
      </c>
    </row>
    <row r="42" spans="1:82" x14ac:dyDescent="0.25">
      <c r="A42" t="s">
        <v>208</v>
      </c>
      <c r="B42" t="s">
        <v>209</v>
      </c>
      <c r="C42">
        <v>3</v>
      </c>
      <c r="D42" t="s">
        <v>1369</v>
      </c>
      <c r="E42" t="s">
        <v>1380</v>
      </c>
      <c r="F42" t="s">
        <v>0</v>
      </c>
      <c r="G42" t="s">
        <v>0</v>
      </c>
      <c r="H42" t="s">
        <v>1387</v>
      </c>
      <c r="I42">
        <v>14800</v>
      </c>
      <c r="J42">
        <v>0</v>
      </c>
      <c r="K42">
        <v>100</v>
      </c>
      <c r="L42">
        <v>50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 t="s">
        <v>1744</v>
      </c>
      <c r="AC42" t="s">
        <v>1711</v>
      </c>
      <c r="AD42" s="18" t="s">
        <v>1764</v>
      </c>
      <c r="AE42" t="s">
        <v>4</v>
      </c>
      <c r="AF42" t="s">
        <v>1</v>
      </c>
      <c r="AG42" t="s">
        <v>1</v>
      </c>
      <c r="AH42" t="s">
        <v>2482</v>
      </c>
      <c r="AI42" t="s">
        <v>2977</v>
      </c>
      <c r="AJ42" t="s">
        <v>1</v>
      </c>
      <c r="AK42" t="s">
        <v>1</v>
      </c>
      <c r="AL42" t="s">
        <v>1</v>
      </c>
      <c r="AM42" t="s">
        <v>1</v>
      </c>
      <c r="AN42" t="s">
        <v>1</v>
      </c>
      <c r="AO42" t="s">
        <v>2482</v>
      </c>
      <c r="AP42" t="s">
        <v>1</v>
      </c>
      <c r="AQ42" t="s">
        <v>2</v>
      </c>
      <c r="AR42" t="s">
        <v>3</v>
      </c>
      <c r="AS42" t="s">
        <v>3</v>
      </c>
      <c r="AT42" t="s">
        <v>3</v>
      </c>
      <c r="AU42" t="s">
        <v>3</v>
      </c>
      <c r="AV42" t="s">
        <v>3</v>
      </c>
      <c r="AW42" t="s">
        <v>11</v>
      </c>
      <c r="AX42">
        <f>Tabla1[[#This Row],[precio del paquete]]-Tabla1[[#This Row],[Saldo_Deudor]]</f>
        <v>100</v>
      </c>
      <c r="AY42">
        <v>14700</v>
      </c>
      <c r="AZ42" t="s">
        <v>1</v>
      </c>
      <c r="BA42" t="s">
        <v>1</v>
      </c>
      <c r="BB42" t="s">
        <v>1</v>
      </c>
      <c r="BC42" t="s">
        <v>1387</v>
      </c>
      <c r="BD42" t="s">
        <v>1397</v>
      </c>
      <c r="BE42" t="s">
        <v>3</v>
      </c>
      <c r="BF42" t="s">
        <v>3</v>
      </c>
      <c r="BG42" t="s">
        <v>3</v>
      </c>
      <c r="BH42" t="s">
        <v>3</v>
      </c>
      <c r="BI42" t="s">
        <v>3</v>
      </c>
      <c r="BJ42" t="s">
        <v>3362</v>
      </c>
      <c r="BK42" t="s">
        <v>3</v>
      </c>
      <c r="BL42" t="s">
        <v>132</v>
      </c>
      <c r="BM42" t="s">
        <v>1</v>
      </c>
      <c r="BN42">
        <f>Tabla1[[#This Row],[precio del paquete]]</f>
        <v>14800</v>
      </c>
      <c r="BO42" t="s">
        <v>1</v>
      </c>
      <c r="BP42" t="s">
        <v>1</v>
      </c>
      <c r="BQ42" t="s">
        <v>1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3382</v>
      </c>
      <c r="CD42" t="str" cm="1">
        <f t="array" aca="1" ref="CD42" ca="1">eConcatenar(A42:CB42,"|")</f>
        <v>EZ0yNlhp3K6DCtk3|CAR2022-0614|3|MEMORIAL|TABASCO|CARDENAS|CARDENAS|2022-01-31|14800|0|100|50|0|0|0|0|0|0|0|0|0|0|0||0|0|0|PEREZ|HERNANDEZ|PEDRO|SOLTERO|X|X|CALLE UNO SIN NUMERO |HABANERO PRIMERA SECCION|X|X|X|X|X|CALLE UNO SIN NUMERO |X|LUNES|x|x|x|x|x|DOMICILIO |100|14700|X|X|X|2022-01-31|2022-02-07|x|x|x|x|x|QX002LYO9KVTQO|x|HOMBRE|X|14800|X|X|X|X|X|X|X|X|CARDENAS|X|X|X|X|FINAL</v>
      </c>
    </row>
    <row r="43" spans="1:82" x14ac:dyDescent="0.25">
      <c r="A43" t="s">
        <v>210</v>
      </c>
      <c r="B43" t="s">
        <v>211</v>
      </c>
      <c r="C43">
        <v>3</v>
      </c>
      <c r="D43" t="s">
        <v>1369</v>
      </c>
      <c r="E43" t="s">
        <v>1380</v>
      </c>
      <c r="F43" t="s">
        <v>0</v>
      </c>
      <c r="G43" t="s">
        <v>0</v>
      </c>
      <c r="H43" t="s">
        <v>1389</v>
      </c>
      <c r="I43">
        <v>14800</v>
      </c>
      <c r="J43">
        <v>0</v>
      </c>
      <c r="K43">
        <v>500</v>
      </c>
      <c r="L43">
        <v>50</v>
      </c>
      <c r="M43">
        <v>2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 t="s">
        <v>1758</v>
      </c>
      <c r="AC43" t="s">
        <v>1765</v>
      </c>
      <c r="AD43" s="18" t="s">
        <v>1766</v>
      </c>
      <c r="AE43" t="s">
        <v>4</v>
      </c>
      <c r="AF43" t="s">
        <v>1</v>
      </c>
      <c r="AG43" t="s">
        <v>1</v>
      </c>
      <c r="AH43" t="s">
        <v>2483</v>
      </c>
      <c r="AI43" t="s">
        <v>2989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2483</v>
      </c>
      <c r="AP43" t="s">
        <v>1</v>
      </c>
      <c r="AQ43" t="s">
        <v>2</v>
      </c>
      <c r="AR43" t="s">
        <v>3</v>
      </c>
      <c r="AS43" t="s">
        <v>3</v>
      </c>
      <c r="AT43" t="s">
        <v>3</v>
      </c>
      <c r="AU43" t="s">
        <v>3</v>
      </c>
      <c r="AV43" t="s">
        <v>3</v>
      </c>
      <c r="AW43" t="s">
        <v>11</v>
      </c>
      <c r="AX43">
        <f>Tabla1[[#This Row],[precio del paquete]]-Tabla1[[#This Row],[Saldo_Deudor]]</f>
        <v>500</v>
      </c>
      <c r="AY43">
        <v>14300</v>
      </c>
      <c r="AZ43" t="s">
        <v>1</v>
      </c>
      <c r="BA43" t="s">
        <v>1</v>
      </c>
      <c r="BB43" t="s">
        <v>1</v>
      </c>
      <c r="BC43" t="s">
        <v>1389</v>
      </c>
      <c r="BD43" t="s">
        <v>1402</v>
      </c>
      <c r="BE43" t="s">
        <v>3</v>
      </c>
      <c r="BF43" t="s">
        <v>3</v>
      </c>
      <c r="BG43" t="s">
        <v>3</v>
      </c>
      <c r="BH43" t="s">
        <v>3</v>
      </c>
      <c r="BI43" t="s">
        <v>3</v>
      </c>
      <c r="BJ43" t="s">
        <v>3357</v>
      </c>
      <c r="BK43" t="s">
        <v>3</v>
      </c>
      <c r="BL43" t="s">
        <v>132</v>
      </c>
      <c r="BM43" t="s">
        <v>1</v>
      </c>
      <c r="BN43">
        <f>Tabla1[[#This Row],[precio del paquete]]</f>
        <v>14800</v>
      </c>
      <c r="BO43" t="s">
        <v>1</v>
      </c>
      <c r="BP43" t="s">
        <v>1</v>
      </c>
      <c r="BQ43" t="s">
        <v>1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3382</v>
      </c>
      <c r="CD43" t="str" cm="1">
        <f t="array" aca="1" ref="CD43" ca="1">eConcatenar(A43:CB43,"|")</f>
        <v>kCDE6crD19NOJ491|CAR2022-0626|3|MEMORIAL|TABASCO|CARDENAS|CARDENAS|2022-02-01|14800|0|500|50|2|0|0|0|0|0|0|0|0|0|0||0|0|0|ARIAS|ESCUDERO|ANA LESLIE|SOLTERO|X|X|ANDADOR PIMIENTA CALLE NUMERO 12 LOTE 18|INVITAB PASO Y PLAYA|X|X|X|X|X|ANDADOR PIMIENTA CALLE NUMERO 12 LOTE 18|X|LUNES|x|x|x|x|x|DOMICILIO |500|14300|X|X|X|2022-02-01|2022-02-08|x|x|x|x|x|QWZBUES49KVTQO|x|HOMBRE|X|14800|X|X|X|X|X|X|X|X|CARDENAS|X|X|X|X|FINAL</v>
      </c>
    </row>
    <row r="44" spans="1:82" x14ac:dyDescent="0.25">
      <c r="A44" t="s">
        <v>212</v>
      </c>
      <c r="B44" t="s">
        <v>213</v>
      </c>
      <c r="C44">
        <v>3</v>
      </c>
      <c r="D44" t="s">
        <v>1369</v>
      </c>
      <c r="E44" t="s">
        <v>1380</v>
      </c>
      <c r="F44" t="s">
        <v>0</v>
      </c>
      <c r="G44" t="s">
        <v>0</v>
      </c>
      <c r="H44" t="s">
        <v>1387</v>
      </c>
      <c r="I44">
        <v>14800</v>
      </c>
      <c r="J44">
        <v>0</v>
      </c>
      <c r="K44">
        <v>200</v>
      </c>
      <c r="L44">
        <v>50</v>
      </c>
      <c r="M44">
        <v>2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 t="s">
        <v>1767</v>
      </c>
      <c r="AC44" t="s">
        <v>1731</v>
      </c>
      <c r="AD44" s="18" t="s">
        <v>1768</v>
      </c>
      <c r="AE44" t="s">
        <v>4</v>
      </c>
      <c r="AF44" t="s">
        <v>1</v>
      </c>
      <c r="AG44" t="s">
        <v>1</v>
      </c>
      <c r="AH44" t="s">
        <v>2484</v>
      </c>
      <c r="AI44" t="s">
        <v>5</v>
      </c>
      <c r="AJ44" t="s">
        <v>1</v>
      </c>
      <c r="AK44" t="s">
        <v>1</v>
      </c>
      <c r="AL44" t="s">
        <v>1</v>
      </c>
      <c r="AM44" t="s">
        <v>1</v>
      </c>
      <c r="AN44" t="s">
        <v>1</v>
      </c>
      <c r="AO44" t="s">
        <v>2484</v>
      </c>
      <c r="AP44" t="s">
        <v>1</v>
      </c>
      <c r="AQ44" t="s">
        <v>2</v>
      </c>
      <c r="AR44" t="s">
        <v>3</v>
      </c>
      <c r="AS44" t="s">
        <v>3</v>
      </c>
      <c r="AT44" t="s">
        <v>3</v>
      </c>
      <c r="AU44" t="s">
        <v>3</v>
      </c>
      <c r="AV44" t="s">
        <v>3</v>
      </c>
      <c r="AW44" t="s">
        <v>11</v>
      </c>
      <c r="AX44">
        <f>Tabla1[[#This Row],[precio del paquete]]-Tabla1[[#This Row],[Saldo_Deudor]]</f>
        <v>200</v>
      </c>
      <c r="AY44">
        <v>14600</v>
      </c>
      <c r="AZ44" t="s">
        <v>1</v>
      </c>
      <c r="BA44" t="s">
        <v>1</v>
      </c>
      <c r="BB44" t="s">
        <v>1</v>
      </c>
      <c r="BC44" t="s">
        <v>1387</v>
      </c>
      <c r="BD44" t="s">
        <v>1397</v>
      </c>
      <c r="BE44" t="s">
        <v>3</v>
      </c>
      <c r="BF44" t="s">
        <v>3</v>
      </c>
      <c r="BG44" t="s">
        <v>3</v>
      </c>
      <c r="BH44" t="s">
        <v>3</v>
      </c>
      <c r="BI44" t="s">
        <v>3</v>
      </c>
      <c r="BJ44" t="s">
        <v>3357</v>
      </c>
      <c r="BK44" t="s">
        <v>3</v>
      </c>
      <c r="BL44" t="s">
        <v>132</v>
      </c>
      <c r="BM44" t="s">
        <v>1</v>
      </c>
      <c r="BN44">
        <f>Tabla1[[#This Row],[precio del paquete]]</f>
        <v>14800</v>
      </c>
      <c r="BO44" t="s">
        <v>1</v>
      </c>
      <c r="BP44" t="s">
        <v>1</v>
      </c>
      <c r="BQ44" t="s">
        <v>1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3382</v>
      </c>
      <c r="CD44" t="str" cm="1">
        <f t="array" aca="1" ref="CD44" ca="1">eConcatenar(A44:CB44,"|")</f>
        <v>eo4XWGFe12donLlp|CAR2022-0618|3|MEMORIAL|TABASCO|CARDENAS|CARDENAS|2022-01-31|14800|0|200|50|2|0|0|0|0|0|0|0|0|0|0||0|0|0|DELGADO|GARCIA|MANUEL CARLOS|SOLTERO|X|X|CALLE CUAUHTEMOC NUMERO 909 B|CENTRO|X|X|X|X|X|CALLE CUAUHTEMOC NUMERO 909 B|X|LUNES|x|x|x|x|x|DOMICILIO |200|14600|X|X|X|2022-01-31|2022-02-07|x|x|x|x|x|QWZBUES49KVTQO|x|HOMBRE|X|14800|X|X|X|X|X|X|X|X|CARDENAS|X|X|X|X|FINAL</v>
      </c>
    </row>
    <row r="45" spans="1:82" x14ac:dyDescent="0.25">
      <c r="A45" t="s">
        <v>214</v>
      </c>
      <c r="B45" t="s">
        <v>215</v>
      </c>
      <c r="C45">
        <v>3</v>
      </c>
      <c r="D45" t="s">
        <v>1369</v>
      </c>
      <c r="E45" t="s">
        <v>1380</v>
      </c>
      <c r="F45" t="s">
        <v>0</v>
      </c>
      <c r="G45" t="s">
        <v>0</v>
      </c>
      <c r="H45" t="s">
        <v>1389</v>
      </c>
      <c r="I45">
        <v>14800</v>
      </c>
      <c r="J45">
        <v>0</v>
      </c>
      <c r="K45">
        <v>50</v>
      </c>
      <c r="L45">
        <v>50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 t="s">
        <v>1769</v>
      </c>
      <c r="AC45" t="s">
        <v>1758</v>
      </c>
      <c r="AD45" s="18" t="s">
        <v>1770</v>
      </c>
      <c r="AE45" t="s">
        <v>4</v>
      </c>
      <c r="AF45" t="s">
        <v>1</v>
      </c>
      <c r="AG45" t="s">
        <v>1</v>
      </c>
      <c r="AH45" t="s">
        <v>2485</v>
      </c>
      <c r="AI45" t="s">
        <v>2990</v>
      </c>
      <c r="AJ45" t="s">
        <v>1</v>
      </c>
      <c r="AK45" t="s">
        <v>1</v>
      </c>
      <c r="AL45" t="s">
        <v>1</v>
      </c>
      <c r="AM45" t="s">
        <v>1</v>
      </c>
      <c r="AN45" t="s">
        <v>1</v>
      </c>
      <c r="AO45" t="s">
        <v>2485</v>
      </c>
      <c r="AP45" t="s">
        <v>1</v>
      </c>
      <c r="AQ45" t="s">
        <v>2</v>
      </c>
      <c r="AR45" t="s">
        <v>3</v>
      </c>
      <c r="AS45" t="s">
        <v>3</v>
      </c>
      <c r="AT45" t="s">
        <v>3</v>
      </c>
      <c r="AU45" t="s">
        <v>3</v>
      </c>
      <c r="AV45" t="s">
        <v>3</v>
      </c>
      <c r="AW45" t="s">
        <v>11</v>
      </c>
      <c r="AX45">
        <f>Tabla1[[#This Row],[precio del paquete]]-Tabla1[[#This Row],[Saldo_Deudor]]</f>
        <v>50</v>
      </c>
      <c r="AY45">
        <v>14750</v>
      </c>
      <c r="AZ45" t="s">
        <v>1</v>
      </c>
      <c r="BA45" t="s">
        <v>1</v>
      </c>
      <c r="BB45" t="s">
        <v>1</v>
      </c>
      <c r="BC45" t="s">
        <v>1389</v>
      </c>
      <c r="BD45" t="s">
        <v>1402</v>
      </c>
      <c r="BE45" t="s">
        <v>3</v>
      </c>
      <c r="BF45" t="s">
        <v>3</v>
      </c>
      <c r="BG45" t="s">
        <v>3</v>
      </c>
      <c r="BH45" t="s">
        <v>3</v>
      </c>
      <c r="BI45" t="s">
        <v>3</v>
      </c>
      <c r="BJ45" t="s">
        <v>3357</v>
      </c>
      <c r="BK45" t="s">
        <v>3</v>
      </c>
      <c r="BL45" t="s">
        <v>132</v>
      </c>
      <c r="BM45" t="s">
        <v>1</v>
      </c>
      <c r="BN45">
        <f>Tabla1[[#This Row],[precio del paquete]]</f>
        <v>14800</v>
      </c>
      <c r="BO45" t="s">
        <v>1</v>
      </c>
      <c r="BP45" t="s">
        <v>1</v>
      </c>
      <c r="BQ45" t="s">
        <v>1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3382</v>
      </c>
      <c r="CD45" t="str" cm="1">
        <f t="array" aca="1" ref="CD45" ca="1">eConcatenar(A45:CB45,"|")</f>
        <v>7JXOt8CFKpVKO7DN|CAR2022-0624|3|MEMORIAL|TABASCO|CARDENAS|CARDENAS|2022-02-01|14800|0|50|50|0|0|0|0|0|0|0|0|0|0|0||0|0|0|TORRES|ARIAS|CARLOS ALBERTO|SOLTERO|X|X|CALLE RAMON LOPE ZVELARDE CASA NUMERO 21|EL TOLOQUE|X|X|X|X|X|CALLE RAMON LOPE ZVELARDE CASA NUMERO 21|X|LUNES|x|x|x|x|x|DOMICILIO |50|14750|X|X|X|2022-02-01|2022-02-08|x|x|x|x|x|QWZBUES49KVTQO|x|HOMBRE|X|14800|X|X|X|X|X|X|X|X|CARDENAS|X|X|X|X|FINAL</v>
      </c>
    </row>
    <row r="46" spans="1:82" x14ac:dyDescent="0.25">
      <c r="A46" t="s">
        <v>216</v>
      </c>
      <c r="B46" t="s">
        <v>217</v>
      </c>
      <c r="C46">
        <v>3</v>
      </c>
      <c r="D46" t="s">
        <v>1369</v>
      </c>
      <c r="E46" t="s">
        <v>1380</v>
      </c>
      <c r="F46" t="s">
        <v>0</v>
      </c>
      <c r="G46" t="s">
        <v>0</v>
      </c>
      <c r="H46" t="s">
        <v>1389</v>
      </c>
      <c r="I46">
        <v>14800</v>
      </c>
      <c r="J46">
        <v>0</v>
      </c>
      <c r="K46">
        <v>300</v>
      </c>
      <c r="L46">
        <v>50</v>
      </c>
      <c r="M4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 t="s">
        <v>7</v>
      </c>
      <c r="AC46" t="s">
        <v>1711</v>
      </c>
      <c r="AD46" s="18" t="s">
        <v>1771</v>
      </c>
      <c r="AE46" t="s">
        <v>4</v>
      </c>
      <c r="AF46" t="s">
        <v>1</v>
      </c>
      <c r="AG46" t="s">
        <v>1</v>
      </c>
      <c r="AH46" t="s">
        <v>2486</v>
      </c>
      <c r="AI46" t="s">
        <v>2991</v>
      </c>
      <c r="AJ46" t="s">
        <v>1</v>
      </c>
      <c r="AK46" t="s">
        <v>1</v>
      </c>
      <c r="AL46" t="s">
        <v>1</v>
      </c>
      <c r="AM46" t="s">
        <v>1</v>
      </c>
      <c r="AN46" t="s">
        <v>1</v>
      </c>
      <c r="AO46" t="s">
        <v>2486</v>
      </c>
      <c r="AP46" t="s">
        <v>1</v>
      </c>
      <c r="AQ46" t="s">
        <v>2</v>
      </c>
      <c r="AR46" t="s">
        <v>3</v>
      </c>
      <c r="AS46" t="s">
        <v>3</v>
      </c>
      <c r="AT46" t="s">
        <v>3</v>
      </c>
      <c r="AU46" t="s">
        <v>3</v>
      </c>
      <c r="AV46" t="s">
        <v>3</v>
      </c>
      <c r="AW46" t="s">
        <v>11</v>
      </c>
      <c r="AX46">
        <f>Tabla1[[#This Row],[precio del paquete]]-Tabla1[[#This Row],[Saldo_Deudor]]</f>
        <v>300</v>
      </c>
      <c r="AY46">
        <v>14500</v>
      </c>
      <c r="AZ46" t="s">
        <v>1</v>
      </c>
      <c r="BA46" t="s">
        <v>1</v>
      </c>
      <c r="BB46" t="s">
        <v>1</v>
      </c>
      <c r="BC46" t="s">
        <v>1389</v>
      </c>
      <c r="BD46" t="s">
        <v>1402</v>
      </c>
      <c r="BE46" t="s">
        <v>3</v>
      </c>
      <c r="BF46" t="s">
        <v>3</v>
      </c>
      <c r="BG46" t="s">
        <v>3</v>
      </c>
      <c r="BH46" t="s">
        <v>3</v>
      </c>
      <c r="BI46" t="s">
        <v>3</v>
      </c>
      <c r="BJ46" t="s">
        <v>3362</v>
      </c>
      <c r="BK46" t="s">
        <v>3</v>
      </c>
      <c r="BL46" t="s">
        <v>132</v>
      </c>
      <c r="BM46" t="s">
        <v>1</v>
      </c>
      <c r="BN46">
        <f>Tabla1[[#This Row],[precio del paquete]]</f>
        <v>14800</v>
      </c>
      <c r="BO46" t="s">
        <v>1</v>
      </c>
      <c r="BP46" t="s">
        <v>1</v>
      </c>
      <c r="BQ46" t="s">
        <v>1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3382</v>
      </c>
      <c r="CD46" t="str" cm="1">
        <f t="array" aca="1" ref="CD46" ca="1">eConcatenar(A46:CB46,"|")</f>
        <v>HMvZpfQXYvxaEwOF|CAR2022-0625|3|MEMORIAL|TABASCO|CARDENAS|CARDENAS|2022-02-01|14800|0|300|50|1|0|0|0|0|0|0|0|0|0|0||0|0|0|LOPEZ|HERNANDEZ|TITO|SOLTERO|X|X|CALLE RIO CARRIZAL MANZANA 22 LOTE NUMERO 9|FRACCIONAMIENTO TABSCOOB|X|X|X|X|X|CALLE RIO CARRIZAL MANZANA 22 LOTE NUMERO 9|X|LUNES|x|x|x|x|x|DOMICILIO |300|14500|X|X|X|2022-02-01|2022-02-08|x|x|x|x|x|QX002LYO9KVTQO|x|HOMBRE|X|14800|X|X|X|X|X|X|X|X|CARDENAS|X|X|X|X|FINAL</v>
      </c>
    </row>
    <row r="47" spans="1:82" x14ac:dyDescent="0.25">
      <c r="A47" t="s">
        <v>218</v>
      </c>
      <c r="B47" t="s">
        <v>219</v>
      </c>
      <c r="C47">
        <v>3</v>
      </c>
      <c r="D47" t="s">
        <v>1369</v>
      </c>
      <c r="E47" t="s">
        <v>1380</v>
      </c>
      <c r="F47" t="s">
        <v>0</v>
      </c>
      <c r="G47" t="s">
        <v>0</v>
      </c>
      <c r="H47" t="s">
        <v>1387</v>
      </c>
      <c r="I47">
        <v>14800</v>
      </c>
      <c r="J47">
        <v>0</v>
      </c>
      <c r="K47">
        <v>100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 t="s">
        <v>1772</v>
      </c>
      <c r="AC47" t="s">
        <v>1708</v>
      </c>
      <c r="AD47" s="18" t="s">
        <v>1773</v>
      </c>
      <c r="AE47" t="s">
        <v>4</v>
      </c>
      <c r="AF47" t="s">
        <v>1</v>
      </c>
      <c r="AG47" t="s">
        <v>1</v>
      </c>
      <c r="AH47" t="s">
        <v>2487</v>
      </c>
      <c r="AI47" t="s">
        <v>2987</v>
      </c>
      <c r="AJ47" t="s">
        <v>1</v>
      </c>
      <c r="AK47" t="s">
        <v>1</v>
      </c>
      <c r="AL47" t="s">
        <v>1</v>
      </c>
      <c r="AM47" t="s">
        <v>1</v>
      </c>
      <c r="AN47" t="s">
        <v>1</v>
      </c>
      <c r="AO47" t="s">
        <v>2487</v>
      </c>
      <c r="AP47" t="s">
        <v>1</v>
      </c>
      <c r="AQ47" t="s">
        <v>2</v>
      </c>
      <c r="AR47" t="s">
        <v>3</v>
      </c>
      <c r="AS47" t="s">
        <v>3</v>
      </c>
      <c r="AT47" t="s">
        <v>3</v>
      </c>
      <c r="AU47" t="s">
        <v>3</v>
      </c>
      <c r="AV47" t="s">
        <v>3</v>
      </c>
      <c r="AW47" t="s">
        <v>11</v>
      </c>
      <c r="AX47">
        <f>Tabla1[[#This Row],[precio del paquete]]-Tabla1[[#This Row],[Saldo_Deudor]]</f>
        <v>100</v>
      </c>
      <c r="AY47">
        <v>14700</v>
      </c>
      <c r="AZ47" t="s">
        <v>1</v>
      </c>
      <c r="BA47" t="s">
        <v>1</v>
      </c>
      <c r="BB47" t="s">
        <v>1</v>
      </c>
      <c r="BC47" t="s">
        <v>1387</v>
      </c>
      <c r="BD47" t="s">
        <v>1397</v>
      </c>
      <c r="BE47" t="s">
        <v>3</v>
      </c>
      <c r="BF47" t="s">
        <v>3</v>
      </c>
      <c r="BG47" t="s">
        <v>3</v>
      </c>
      <c r="BH47" t="s">
        <v>3</v>
      </c>
      <c r="BI47" t="s">
        <v>3</v>
      </c>
      <c r="BJ47" t="s">
        <v>3357</v>
      </c>
      <c r="BK47" t="s">
        <v>3</v>
      </c>
      <c r="BL47" t="s">
        <v>132</v>
      </c>
      <c r="BM47" t="s">
        <v>1</v>
      </c>
      <c r="BN47">
        <f>Tabla1[[#This Row],[precio del paquete]]</f>
        <v>14800</v>
      </c>
      <c r="BO47" t="s">
        <v>1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3382</v>
      </c>
      <c r="CD47" t="str" cm="1">
        <f t="array" aca="1" ref="CD47" ca="1">eConcatenar(A47:CB47,"|")</f>
        <v>DBMxZ4pH8I58DQrH|CAR2022-0611|3|MEMORIAL|TABASCO|CARDENAS|CARDENAS|2022-01-31|14800|0|100|50|0|0|0|0|0|0|0|0|0|0|0||0|0|0|LANDERO||LEONARDA|SOLTERO|X|X|CALLE NICOLASA CANO DE DOMINGUEZ NUMERO 5|SANTA MARIA DE GUADALUPE|X|X|X|X|X|CALLE NICOLASA CANO DE DOMINGUEZ NUMERO 5|X|LUNES|x|x|x|x|x|DOMICILIO |100|14700|X|X|X|2022-01-31|2022-02-07|x|x|x|x|x|QWZBUES49KVTQO|x|HOMBRE|X|14800|X|X|X|X|X|X|X|X|CARDENAS|X|X|X|X|FINAL</v>
      </c>
    </row>
    <row r="48" spans="1:82" x14ac:dyDescent="0.25">
      <c r="A48" t="s">
        <v>220</v>
      </c>
      <c r="B48" t="s">
        <v>221</v>
      </c>
      <c r="C48">
        <v>3</v>
      </c>
      <c r="D48" t="s">
        <v>1369</v>
      </c>
      <c r="E48" t="s">
        <v>1380</v>
      </c>
      <c r="F48" t="s">
        <v>0</v>
      </c>
      <c r="G48" t="s">
        <v>0</v>
      </c>
      <c r="H48" t="s">
        <v>1389</v>
      </c>
      <c r="I48">
        <v>14800</v>
      </c>
      <c r="J48">
        <v>0</v>
      </c>
      <c r="K48">
        <v>200</v>
      </c>
      <c r="L48">
        <v>50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 t="s">
        <v>1711</v>
      </c>
      <c r="AC48" t="s">
        <v>1774</v>
      </c>
      <c r="AD48" s="18" t="s">
        <v>1775</v>
      </c>
      <c r="AE48" t="s">
        <v>4</v>
      </c>
      <c r="AF48" t="s">
        <v>1</v>
      </c>
      <c r="AG48" t="s">
        <v>1</v>
      </c>
      <c r="AH48" t="s">
        <v>2456</v>
      </c>
      <c r="AI48" t="s">
        <v>2992</v>
      </c>
      <c r="AJ48" t="s">
        <v>1</v>
      </c>
      <c r="AK48" t="s">
        <v>1</v>
      </c>
      <c r="AL48" t="s">
        <v>1</v>
      </c>
      <c r="AM48" t="s">
        <v>1</v>
      </c>
      <c r="AN48" t="s">
        <v>1</v>
      </c>
      <c r="AO48" t="s">
        <v>2456</v>
      </c>
      <c r="AP48" t="s">
        <v>1</v>
      </c>
      <c r="AQ48" t="s">
        <v>2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11</v>
      </c>
      <c r="AX48">
        <f>Tabla1[[#This Row],[precio del paquete]]-Tabla1[[#This Row],[Saldo_Deudor]]</f>
        <v>200</v>
      </c>
      <c r="AY48">
        <v>14600</v>
      </c>
      <c r="AZ48" t="s">
        <v>1</v>
      </c>
      <c r="BA48" t="s">
        <v>1</v>
      </c>
      <c r="BB48" t="s">
        <v>1</v>
      </c>
      <c r="BC48" t="s">
        <v>1389</v>
      </c>
      <c r="BD48" t="s">
        <v>1402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3361</v>
      </c>
      <c r="BK48" t="s">
        <v>3</v>
      </c>
      <c r="BL48" t="s">
        <v>132</v>
      </c>
      <c r="BM48" t="s">
        <v>1</v>
      </c>
      <c r="BN48">
        <f>Tabla1[[#This Row],[precio del paquete]]</f>
        <v>14800</v>
      </c>
      <c r="BO48" t="s">
        <v>1</v>
      </c>
      <c r="BP48" t="s">
        <v>1</v>
      </c>
      <c r="BQ48" t="s">
        <v>1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3382</v>
      </c>
      <c r="CD48" t="str" cm="1">
        <f t="array" aca="1" ref="CD48" ca="1">eConcatenar(A48:CB48,"|")</f>
        <v>kQdaTTW2zn1c4n8C|CAR2022-0627|3|MEMORIAL|TABASCO|CARDENAS|CARDENAS|2022-02-01|14800|0|200|50|0|0|0|0|0|0|0|0|0|0|0||0|0|0|HERNANDEZ|GONZALEZ|MIRIAM|SOLTERO|X|X|CALLE PRINCIPAL SIN NUMERO|BAJIO SEGUNDA SECCION|X|X|X|X|X|CALLE PRINCIPAL SIN NUMERO|X|LUNES|x|x|x|x|x|DOMICILIO |200|14600|X|X|X|2022-02-01|2022-02-08|x|x|x|x|x|QXTXF5PY9KVTQO|x|HOMBRE|X|14800|X|X|X|X|X|X|X|X|CARDENAS|X|X|X|X|FINAL</v>
      </c>
    </row>
    <row r="49" spans="1:82" x14ac:dyDescent="0.25">
      <c r="A49" t="s">
        <v>222</v>
      </c>
      <c r="B49" t="s">
        <v>223</v>
      </c>
      <c r="C49">
        <v>3</v>
      </c>
      <c r="D49" t="s">
        <v>1369</v>
      </c>
      <c r="E49" t="s">
        <v>1380</v>
      </c>
      <c r="F49" t="s">
        <v>0</v>
      </c>
      <c r="G49" t="s">
        <v>0</v>
      </c>
      <c r="H49" t="s">
        <v>1390</v>
      </c>
      <c r="I49">
        <v>14800</v>
      </c>
      <c r="J49">
        <v>0</v>
      </c>
      <c r="K49">
        <v>100</v>
      </c>
      <c r="L49">
        <v>50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 t="s">
        <v>1776</v>
      </c>
      <c r="AC49" t="s">
        <v>1777</v>
      </c>
      <c r="AD49" s="18" t="s">
        <v>1778</v>
      </c>
      <c r="AE49" t="s">
        <v>4</v>
      </c>
      <c r="AF49" t="s">
        <v>1</v>
      </c>
      <c r="AG49" t="s">
        <v>1</v>
      </c>
      <c r="AH49" t="s">
        <v>2488</v>
      </c>
      <c r="AI49" t="s">
        <v>2993</v>
      </c>
      <c r="AJ49" t="s">
        <v>1</v>
      </c>
      <c r="AK49" t="s">
        <v>1</v>
      </c>
      <c r="AL49" t="s">
        <v>1</v>
      </c>
      <c r="AM49" t="s">
        <v>1</v>
      </c>
      <c r="AN49" t="s">
        <v>1</v>
      </c>
      <c r="AO49" t="s">
        <v>2488</v>
      </c>
      <c r="AP49" t="s">
        <v>1</v>
      </c>
      <c r="AQ49" t="s">
        <v>2</v>
      </c>
      <c r="AR49" t="s">
        <v>3</v>
      </c>
      <c r="AS49" t="s">
        <v>3</v>
      </c>
      <c r="AT49" t="s">
        <v>3</v>
      </c>
      <c r="AU49" t="s">
        <v>3</v>
      </c>
      <c r="AV49" t="s">
        <v>3</v>
      </c>
      <c r="AW49" t="s">
        <v>11</v>
      </c>
      <c r="AX49">
        <f>Tabla1[[#This Row],[precio del paquete]]-Tabla1[[#This Row],[Saldo_Deudor]]</f>
        <v>100</v>
      </c>
      <c r="AY49">
        <v>14700</v>
      </c>
      <c r="AZ49" t="s">
        <v>1</v>
      </c>
      <c r="BA49" t="s">
        <v>1</v>
      </c>
      <c r="BB49" t="s">
        <v>1</v>
      </c>
      <c r="BC49" t="s">
        <v>1390</v>
      </c>
      <c r="BD49" t="s">
        <v>1401</v>
      </c>
      <c r="BE49" t="s">
        <v>3</v>
      </c>
      <c r="BF49" t="s">
        <v>3</v>
      </c>
      <c r="BG49" t="s">
        <v>3</v>
      </c>
      <c r="BH49" t="s">
        <v>3</v>
      </c>
      <c r="BI49" t="s">
        <v>3</v>
      </c>
      <c r="BJ49" t="s">
        <v>3358</v>
      </c>
      <c r="BK49" t="s">
        <v>3</v>
      </c>
      <c r="BL49" t="s">
        <v>132</v>
      </c>
      <c r="BM49" t="s">
        <v>1</v>
      </c>
      <c r="BN49">
        <f>Tabla1[[#This Row],[precio del paquete]]</f>
        <v>14800</v>
      </c>
      <c r="BO49" t="s">
        <v>1</v>
      </c>
      <c r="BP49" t="s">
        <v>1</v>
      </c>
      <c r="BQ49" t="s">
        <v>1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3382</v>
      </c>
      <c r="CD49" t="str" cm="1">
        <f t="array" aca="1" ref="CD49" ca="1">eConcatenar(A49:CB49,"|")</f>
        <v>VbzxnU93HQQ2bnGi|CAR2022-0640|3|MEMORIAL|TABASCO|CARDENAS|CARDENAS|2022-02-02|14800|0|100|50|0|0|0|0|0|0|0|0|0|0|0||0|0|0|AVALOS|ALVARADO|ISAI|SOLTERO|X|X|AVENIDA CAÑAVERAL SIN NUMERO|FRACCIONAMIENTO CAÑALES TERCERA ETAPA NORTE|X|X|X|X|X|AVENIDA CAÑAVERAL SIN NUMERO|X|LUNES|x|x|x|x|x|DOMICILIO |100|14700|X|X|X|2022-02-02|2022-02-09|x|x|x|x|x|3O8PTA2AZPGA3HB|x|HOMBRE|X|14800|X|X|X|X|X|X|X|X|CARDENAS|X|X|X|X|FINAL</v>
      </c>
    </row>
    <row r="50" spans="1:82" x14ac:dyDescent="0.25">
      <c r="A50" t="s">
        <v>224</v>
      </c>
      <c r="B50" t="s">
        <v>225</v>
      </c>
      <c r="C50">
        <v>3</v>
      </c>
      <c r="D50" t="s">
        <v>1368</v>
      </c>
      <c r="E50" t="s">
        <v>1380</v>
      </c>
      <c r="F50" t="s">
        <v>0</v>
      </c>
      <c r="G50" t="s">
        <v>0</v>
      </c>
      <c r="H50" t="s">
        <v>1390</v>
      </c>
      <c r="I50">
        <v>24500</v>
      </c>
      <c r="J50">
        <v>0</v>
      </c>
      <c r="K50">
        <v>200</v>
      </c>
      <c r="L50">
        <v>50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 t="s">
        <v>1779</v>
      </c>
      <c r="AC50" t="s">
        <v>1744</v>
      </c>
      <c r="AD50" s="18" t="s">
        <v>1780</v>
      </c>
      <c r="AE50" t="s">
        <v>4</v>
      </c>
      <c r="AF50" t="s">
        <v>1</v>
      </c>
      <c r="AG50" t="s">
        <v>1</v>
      </c>
      <c r="AH50" t="s">
        <v>2489</v>
      </c>
      <c r="AI50" t="s">
        <v>2994</v>
      </c>
      <c r="AJ50" t="s">
        <v>1</v>
      </c>
      <c r="AK50" t="s">
        <v>1</v>
      </c>
      <c r="AL50" t="s">
        <v>1</v>
      </c>
      <c r="AM50" t="s">
        <v>1</v>
      </c>
      <c r="AN50" t="s">
        <v>1</v>
      </c>
      <c r="AO50" t="s">
        <v>2489</v>
      </c>
      <c r="AP50" t="s">
        <v>1</v>
      </c>
      <c r="AQ50" t="s">
        <v>2</v>
      </c>
      <c r="AR50" t="s">
        <v>3</v>
      </c>
      <c r="AS50" t="s">
        <v>3</v>
      </c>
      <c r="AT50" t="s">
        <v>3</v>
      </c>
      <c r="AU50" t="s">
        <v>3</v>
      </c>
      <c r="AV50" t="s">
        <v>3</v>
      </c>
      <c r="AW50" t="s">
        <v>11</v>
      </c>
      <c r="AX50">
        <f>Tabla1[[#This Row],[precio del paquete]]-Tabla1[[#This Row],[Saldo_Deudor]]</f>
        <v>200</v>
      </c>
      <c r="AY50">
        <v>24300</v>
      </c>
      <c r="AZ50" t="s">
        <v>1</v>
      </c>
      <c r="BA50" t="s">
        <v>1</v>
      </c>
      <c r="BB50" t="s">
        <v>1</v>
      </c>
      <c r="BC50" t="s">
        <v>1390</v>
      </c>
      <c r="BD50" t="s">
        <v>1401</v>
      </c>
      <c r="BE50" t="s">
        <v>3</v>
      </c>
      <c r="BF50" t="s">
        <v>3</v>
      </c>
      <c r="BG50" t="s">
        <v>3</v>
      </c>
      <c r="BH50" t="s">
        <v>3</v>
      </c>
      <c r="BI50" t="s">
        <v>3</v>
      </c>
      <c r="BJ50" t="s">
        <v>3362</v>
      </c>
      <c r="BK50" t="s">
        <v>3</v>
      </c>
      <c r="BL50" t="s">
        <v>132</v>
      </c>
      <c r="BM50" t="s">
        <v>1</v>
      </c>
      <c r="BN50">
        <f>Tabla1[[#This Row],[precio del paquete]]</f>
        <v>24500</v>
      </c>
      <c r="BO50" t="s">
        <v>1</v>
      </c>
      <c r="BP50" t="s">
        <v>1</v>
      </c>
      <c r="BQ50" t="s">
        <v>1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3382</v>
      </c>
      <c r="CD50" t="str" cm="1">
        <f t="array" aca="1" ref="CD50" ca="1">eConcatenar(A50:CB50,"|")</f>
        <v>akHREAiVBgzqVn4q|CAR2022-0639|3|DIGNITY|TABASCO|CARDENAS|CARDENAS|2022-02-02|24500|0|200|50|0|0|0|0|0|0|0|0|0|0|0||0|0|0|MORALEZ|PEREZ|GAMALIEL|SOLTERO|X|X|CALLE NUMERO 4 MANZANA NUMERO 3|URBANA HABANERO |X|X|X|X|X|CALLE NUMERO 4 MANZANA NUMERO 3|X|LUNES|x|x|x|x|x|DOMICILIO |200|24300|X|X|X|2022-02-02|2022-02-09|x|x|x|x|x|QX002LYO9KVTQO|x|HOMBRE|X|24500|X|X|X|X|X|X|X|X|CARDENAS|X|X|X|X|FINAL</v>
      </c>
    </row>
    <row r="51" spans="1:82" x14ac:dyDescent="0.25">
      <c r="A51" t="s">
        <v>226</v>
      </c>
      <c r="B51" t="s">
        <v>227</v>
      </c>
      <c r="C51">
        <v>3</v>
      </c>
      <c r="D51" t="s">
        <v>1369</v>
      </c>
      <c r="E51" t="s">
        <v>1380</v>
      </c>
      <c r="F51" t="s">
        <v>0</v>
      </c>
      <c r="G51" t="s">
        <v>0</v>
      </c>
      <c r="H51" t="s">
        <v>1390</v>
      </c>
      <c r="I51">
        <v>14800</v>
      </c>
      <c r="J51">
        <v>0</v>
      </c>
      <c r="K51">
        <v>200</v>
      </c>
      <c r="L51">
        <v>50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 t="s">
        <v>1731</v>
      </c>
      <c r="AC51" t="s">
        <v>1761</v>
      </c>
      <c r="AD51" s="18" t="s">
        <v>1781</v>
      </c>
      <c r="AE51" t="s">
        <v>4</v>
      </c>
      <c r="AF51" t="s">
        <v>1</v>
      </c>
      <c r="AG51" t="s">
        <v>1</v>
      </c>
      <c r="AH51" t="s">
        <v>2490</v>
      </c>
      <c r="AI51" t="s">
        <v>2986</v>
      </c>
      <c r="AJ51" t="s">
        <v>1</v>
      </c>
      <c r="AK51" t="s">
        <v>1</v>
      </c>
      <c r="AL51" t="s">
        <v>1</v>
      </c>
      <c r="AM51" t="s">
        <v>1</v>
      </c>
      <c r="AN51" t="s">
        <v>1</v>
      </c>
      <c r="AO51" t="s">
        <v>2490</v>
      </c>
      <c r="AP51" t="s">
        <v>1</v>
      </c>
      <c r="AQ51" t="s">
        <v>2</v>
      </c>
      <c r="AR51" t="s">
        <v>3</v>
      </c>
      <c r="AS51" t="s">
        <v>3</v>
      </c>
      <c r="AT51" t="s">
        <v>3</v>
      </c>
      <c r="AU51" t="s">
        <v>3</v>
      </c>
      <c r="AV51" t="s">
        <v>3</v>
      </c>
      <c r="AW51" t="s">
        <v>11</v>
      </c>
      <c r="AX51">
        <f>Tabla1[[#This Row],[precio del paquete]]-Tabla1[[#This Row],[Saldo_Deudor]]</f>
        <v>200</v>
      </c>
      <c r="AY51">
        <v>14600</v>
      </c>
      <c r="AZ51" t="s">
        <v>1</v>
      </c>
      <c r="BA51" t="s">
        <v>1</v>
      </c>
      <c r="BB51" t="s">
        <v>1</v>
      </c>
      <c r="BC51" t="s">
        <v>1390</v>
      </c>
      <c r="BD51" t="s">
        <v>1401</v>
      </c>
      <c r="BE51" t="s">
        <v>3</v>
      </c>
      <c r="BF51" t="s">
        <v>3</v>
      </c>
      <c r="BG51" t="s">
        <v>3</v>
      </c>
      <c r="BH51" t="s">
        <v>3</v>
      </c>
      <c r="BI51" t="s">
        <v>3</v>
      </c>
      <c r="BJ51" t="s">
        <v>3361</v>
      </c>
      <c r="BK51" t="s">
        <v>3</v>
      </c>
      <c r="BL51" t="s">
        <v>132</v>
      </c>
      <c r="BM51" t="s">
        <v>1</v>
      </c>
      <c r="BN51">
        <f>Tabla1[[#This Row],[precio del paquete]]</f>
        <v>14800</v>
      </c>
      <c r="BO51" t="s">
        <v>1</v>
      </c>
      <c r="BP51" t="s">
        <v>1</v>
      </c>
      <c r="BQ51" t="s">
        <v>1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3382</v>
      </c>
      <c r="CD51" t="str" cm="1">
        <f t="array" aca="1" ref="CD51" ca="1">eConcatenar(A51:CB51,"|")</f>
        <v>aieiuZIg2zMpRooO|CAR2022-0633|3|MEMORIAL|TABASCO|CARDENAS|CARDENAS|2022-02-02|14800|0|200|50|1|0|0|0|0|0|0|0|0|0|0||0|0|0|GARCIA|CUSTODIO|MIREYA|SOLTERO|X|X|CALLE MARGARITAS SIN NUMERO|BAJIO PRIMERA SECCION|X|X|X|X|X|CALLE MARGARITAS SIN NUMERO|X|LUNES|x|x|x|x|x|DOMICILIO |200|14600|X|X|X|2022-02-02|2022-02-09|x|x|x|x|x|QXTXF5PY9KVTQO|x|HOMBRE|X|14800|X|X|X|X|X|X|X|X|CARDENAS|X|X|X|X|FINAL</v>
      </c>
    </row>
    <row r="52" spans="1:82" x14ac:dyDescent="0.25">
      <c r="A52" t="s">
        <v>228</v>
      </c>
      <c r="B52" t="s">
        <v>229</v>
      </c>
      <c r="C52">
        <v>3</v>
      </c>
      <c r="D52" t="s">
        <v>1369</v>
      </c>
      <c r="E52" t="s">
        <v>1380</v>
      </c>
      <c r="F52" t="s">
        <v>0</v>
      </c>
      <c r="G52" t="s">
        <v>0</v>
      </c>
      <c r="H52" t="s">
        <v>1390</v>
      </c>
      <c r="I52">
        <v>14800</v>
      </c>
      <c r="J52">
        <v>0</v>
      </c>
      <c r="K52">
        <v>200</v>
      </c>
      <c r="L52">
        <v>50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 t="s">
        <v>1782</v>
      </c>
      <c r="AC52" t="s">
        <v>1777</v>
      </c>
      <c r="AD52" s="18" t="s">
        <v>1764</v>
      </c>
      <c r="AE52" t="s">
        <v>4</v>
      </c>
      <c r="AF52" t="s">
        <v>1</v>
      </c>
      <c r="AG52" t="s">
        <v>1</v>
      </c>
      <c r="AH52" t="s">
        <v>2491</v>
      </c>
      <c r="AI52" t="s">
        <v>2995</v>
      </c>
      <c r="AJ52" t="s">
        <v>1</v>
      </c>
      <c r="AK52" t="s">
        <v>3</v>
      </c>
      <c r="AL52" t="s">
        <v>1</v>
      </c>
      <c r="AM52" t="s">
        <v>1</v>
      </c>
      <c r="AN52" t="s">
        <v>1</v>
      </c>
      <c r="AO52" t="s">
        <v>2491</v>
      </c>
      <c r="AP52" t="s">
        <v>1</v>
      </c>
      <c r="AQ52" t="s">
        <v>2</v>
      </c>
      <c r="AR52" t="s">
        <v>3</v>
      </c>
      <c r="AS52" t="s">
        <v>3</v>
      </c>
      <c r="AT52" t="s">
        <v>3</v>
      </c>
      <c r="AU52" t="s">
        <v>3</v>
      </c>
      <c r="AV52" t="s">
        <v>3</v>
      </c>
      <c r="AW52" t="s">
        <v>11</v>
      </c>
      <c r="AX52">
        <f>Tabla1[[#This Row],[precio del paquete]]-Tabla1[[#This Row],[Saldo_Deudor]]</f>
        <v>200</v>
      </c>
      <c r="AY52">
        <v>14600</v>
      </c>
      <c r="AZ52" t="s">
        <v>1</v>
      </c>
      <c r="BA52" t="s">
        <v>1</v>
      </c>
      <c r="BB52" t="s">
        <v>1</v>
      </c>
      <c r="BC52" t="s">
        <v>1390</v>
      </c>
      <c r="BD52" t="s">
        <v>1401</v>
      </c>
      <c r="BE52" t="s">
        <v>3</v>
      </c>
      <c r="BF52" t="s">
        <v>3</v>
      </c>
      <c r="BG52" t="s">
        <v>3</v>
      </c>
      <c r="BH52" t="s">
        <v>3</v>
      </c>
      <c r="BI52" t="s">
        <v>3</v>
      </c>
      <c r="BJ52" t="s">
        <v>3361</v>
      </c>
      <c r="BK52" t="s">
        <v>3</v>
      </c>
      <c r="BL52" t="s">
        <v>132</v>
      </c>
      <c r="BM52" t="s">
        <v>1</v>
      </c>
      <c r="BN52">
        <f>Tabla1[[#This Row],[precio del paquete]]</f>
        <v>14800</v>
      </c>
      <c r="BO52" t="s">
        <v>1</v>
      </c>
      <c r="BP52" t="s">
        <v>1</v>
      </c>
      <c r="BQ52" t="s">
        <v>1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3382</v>
      </c>
      <c r="CD52" t="str" cm="1">
        <f t="array" aca="1" ref="CD52" ca="1">eConcatenar(A52:CB52,"|")</f>
        <v>KiUpj8YoeikHiHU4|CAR2022-0632|3|MEMORIAL|TABASCO|CARDENAS|CARDENAS|2022-02-02|14800|0|200|50|0|0|0|0|0|0|0|0|0|0|0||0|0|0|ANDRADE|ALVARADO|PEDRO|SOLTERO|X|X|CALLE RICARDO FLORES MAGON|OBRERA|X|x|X|X|X|CALLE RICARDO FLORES MAGON|X|LUNES|x|x|x|x|x|DOMICILIO |200|14600|X|X|X|2022-02-02|2022-02-09|x|x|x|x|x|QXTXF5PY9KVTQO|x|HOMBRE|X|14800|X|X|X|X|X|X|X|X|CARDENAS|X|X|X|X|FINAL</v>
      </c>
    </row>
    <row r="53" spans="1:82" x14ac:dyDescent="0.25">
      <c r="A53" t="s">
        <v>230</v>
      </c>
      <c r="B53" t="s">
        <v>231</v>
      </c>
      <c r="C53">
        <v>3</v>
      </c>
      <c r="D53" t="s">
        <v>1369</v>
      </c>
      <c r="E53" t="s">
        <v>1380</v>
      </c>
      <c r="F53" t="s">
        <v>1382</v>
      </c>
      <c r="G53" t="s">
        <v>1382</v>
      </c>
      <c r="H53" t="s">
        <v>1390</v>
      </c>
      <c r="I53">
        <v>14800</v>
      </c>
      <c r="J53">
        <v>0</v>
      </c>
      <c r="K53">
        <v>100</v>
      </c>
      <c r="L53">
        <v>50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 t="s">
        <v>1783</v>
      </c>
      <c r="AC53" t="s">
        <v>1784</v>
      </c>
      <c r="AD53" s="18" t="s">
        <v>1785</v>
      </c>
      <c r="AE53" t="s">
        <v>4</v>
      </c>
      <c r="AF53" t="s">
        <v>1</v>
      </c>
      <c r="AG53" t="s">
        <v>1</v>
      </c>
      <c r="AH53" t="s">
        <v>2492</v>
      </c>
      <c r="AI53" t="s">
        <v>2996</v>
      </c>
      <c r="AJ53" t="s">
        <v>1</v>
      </c>
      <c r="AK53" t="s">
        <v>1</v>
      </c>
      <c r="AL53" t="s">
        <v>1</v>
      </c>
      <c r="AM53" t="s">
        <v>1</v>
      </c>
      <c r="AN53" t="s">
        <v>1</v>
      </c>
      <c r="AO53" t="s">
        <v>2492</v>
      </c>
      <c r="AP53" t="s">
        <v>1</v>
      </c>
      <c r="AQ53" t="s">
        <v>2</v>
      </c>
      <c r="AR53" t="s">
        <v>3</v>
      </c>
      <c r="AS53" t="s">
        <v>3</v>
      </c>
      <c r="AT53" t="s">
        <v>3</v>
      </c>
      <c r="AU53" t="s">
        <v>3</v>
      </c>
      <c r="AV53" t="s">
        <v>3</v>
      </c>
      <c r="AW53" t="s">
        <v>11</v>
      </c>
      <c r="AX53">
        <f>Tabla1[[#This Row],[precio del paquete]]-Tabla1[[#This Row],[Saldo_Deudor]]</f>
        <v>100</v>
      </c>
      <c r="AY53">
        <v>14700</v>
      </c>
      <c r="AZ53" t="s">
        <v>1</v>
      </c>
      <c r="BA53" t="s">
        <v>1</v>
      </c>
      <c r="BB53" t="s">
        <v>1</v>
      </c>
      <c r="BC53" t="s">
        <v>1390</v>
      </c>
      <c r="BD53" t="s">
        <v>1401</v>
      </c>
      <c r="BE53" t="s">
        <v>3</v>
      </c>
      <c r="BF53" t="s">
        <v>3</v>
      </c>
      <c r="BG53" t="s">
        <v>3</v>
      </c>
      <c r="BH53" t="s">
        <v>3</v>
      </c>
      <c r="BI53" t="s">
        <v>3</v>
      </c>
      <c r="BJ53" t="s">
        <v>3361</v>
      </c>
      <c r="BK53" t="s">
        <v>3</v>
      </c>
      <c r="BL53" t="s">
        <v>132</v>
      </c>
      <c r="BM53" t="s">
        <v>1</v>
      </c>
      <c r="BN53">
        <f>Tabla1[[#This Row],[precio del paquete]]</f>
        <v>14800</v>
      </c>
      <c r="BO53" t="s">
        <v>1</v>
      </c>
      <c r="BP53" t="s">
        <v>1</v>
      </c>
      <c r="BQ53" t="s">
        <v>1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3382</v>
      </c>
      <c r="CD53" t="str" cm="1">
        <f t="array" aca="1" ref="CD53" ca="1">eConcatenar(A53:CB53,"|")</f>
        <v>0I6qb38qDyFYBFB3|CAR2022-0631|3|MEMORIAL|TABASCO|HUIMANGUILLO|HUIMANGUILLO|2022-02-02|14800|0|100|50|0|0|0|0|0|0|0|0|0|0|0||0|0|0|MENDEZ|GAMAS|MARIA DE LOS SANTOS|SOLTERO|X|X|CALLE ENTRE 7 Y 8|C-31 GENERAL FRANCISCO VILLA|X|X|X|X|X|CALLE ENTRE 7 Y 8|X|LUNES|x|x|x|x|x|DOMICILIO |100|14700|X|X|X|2022-02-02|2022-02-09|x|x|x|x|x|QXTXF5PY9KVTQO|x|HOMBRE|X|14800|X|X|X|X|X|X|X|X|CARDENAS|X|X|X|X|FINAL</v>
      </c>
    </row>
    <row r="54" spans="1:82" x14ac:dyDescent="0.25">
      <c r="A54" t="s">
        <v>232</v>
      </c>
      <c r="B54" t="s">
        <v>233</v>
      </c>
      <c r="C54">
        <v>3</v>
      </c>
      <c r="D54" t="s">
        <v>1369</v>
      </c>
      <c r="E54" t="s">
        <v>1380</v>
      </c>
      <c r="F54" t="s">
        <v>0</v>
      </c>
      <c r="G54" t="s">
        <v>0</v>
      </c>
      <c r="H54" t="s">
        <v>1390</v>
      </c>
      <c r="I54">
        <v>14800</v>
      </c>
      <c r="J54">
        <v>0</v>
      </c>
      <c r="K54">
        <v>100</v>
      </c>
      <c r="L54">
        <v>50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 t="s">
        <v>8</v>
      </c>
      <c r="AC54" t="s">
        <v>1786</v>
      </c>
      <c r="AD54" s="18" t="s">
        <v>1717</v>
      </c>
      <c r="AE54" t="s">
        <v>4</v>
      </c>
      <c r="AF54" t="s">
        <v>1</v>
      </c>
      <c r="AG54" t="s">
        <v>1</v>
      </c>
      <c r="AH54" t="s">
        <v>2465</v>
      </c>
      <c r="AI54" t="s">
        <v>2997</v>
      </c>
      <c r="AJ54" t="s">
        <v>1</v>
      </c>
      <c r="AK54" t="s">
        <v>1</v>
      </c>
      <c r="AL54" t="s">
        <v>1</v>
      </c>
      <c r="AM54" t="s">
        <v>1</v>
      </c>
      <c r="AN54" t="s">
        <v>1</v>
      </c>
      <c r="AO54" t="s">
        <v>2465</v>
      </c>
      <c r="AP54" t="s">
        <v>1</v>
      </c>
      <c r="AQ54" t="s">
        <v>2</v>
      </c>
      <c r="AR54" t="s">
        <v>3</v>
      </c>
      <c r="AS54" t="s">
        <v>3</v>
      </c>
      <c r="AT54" t="s">
        <v>3</v>
      </c>
      <c r="AU54" t="s">
        <v>3</v>
      </c>
      <c r="AV54" t="s">
        <v>3</v>
      </c>
      <c r="AW54" t="s">
        <v>11</v>
      </c>
      <c r="AX54">
        <f>Tabla1[[#This Row],[precio del paquete]]-Tabla1[[#This Row],[Saldo_Deudor]]</f>
        <v>100</v>
      </c>
      <c r="AY54">
        <v>14700</v>
      </c>
      <c r="AZ54" t="s">
        <v>1</v>
      </c>
      <c r="BA54" t="s">
        <v>1</v>
      </c>
      <c r="BB54" t="s">
        <v>1</v>
      </c>
      <c r="BC54" t="s">
        <v>1390</v>
      </c>
      <c r="BD54" t="s">
        <v>1401</v>
      </c>
      <c r="BE54" t="s">
        <v>3</v>
      </c>
      <c r="BF54" t="s">
        <v>3</v>
      </c>
      <c r="BG54" t="s">
        <v>3</v>
      </c>
      <c r="BH54" t="s">
        <v>3</v>
      </c>
      <c r="BI54" t="s">
        <v>3</v>
      </c>
      <c r="BJ54" t="s">
        <v>3363</v>
      </c>
      <c r="BK54" t="s">
        <v>3</v>
      </c>
      <c r="BL54" t="s">
        <v>132</v>
      </c>
      <c r="BM54" t="s">
        <v>1</v>
      </c>
      <c r="BN54">
        <f>Tabla1[[#This Row],[precio del paquete]]</f>
        <v>14800</v>
      </c>
      <c r="BO54" t="s">
        <v>1</v>
      </c>
      <c r="BP54" t="s">
        <v>1</v>
      </c>
      <c r="BQ54" t="s">
        <v>1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3382</v>
      </c>
      <c r="CD54" t="str" cm="1">
        <f t="array" aca="1" ref="CD54" ca="1">eConcatenar(A54:CB54,"|")</f>
        <v>7wJNZGqgC5ieFmY2|CAR2022-0649|3|MEMORIAL|TABASCO|CARDENAS|CARDENAS|2022-02-02|14800|0|100|50|1|0|0|0|0|0|0|0|0|0|0||0|0|0|GOMEZ|MARTINEZ|LILI|SOLTERO|X|X|CARRETERA PRINCIPAL SIN NUMERO|AGRICOLA EL CAPRICHO|X|X|X|X|X|CARRETERA PRINCIPAL SIN NUMERO|X|LUNES|x|x|x|x|x|DOMICILIO |100|14700|X|X|X|2022-02-02|2022-02-09|x|x|x|x|x|QX002LUS9KVTQO|x|HOMBRE|X|14800|X|X|X|X|X|X|X|X|CARDENAS|X|X|X|X|FINAL</v>
      </c>
    </row>
    <row r="55" spans="1:82" x14ac:dyDescent="0.25">
      <c r="A55" t="s">
        <v>234</v>
      </c>
      <c r="B55" t="s">
        <v>235</v>
      </c>
      <c r="C55">
        <v>3</v>
      </c>
      <c r="D55" t="s">
        <v>1368</v>
      </c>
      <c r="E55" t="s">
        <v>1380</v>
      </c>
      <c r="F55" t="s">
        <v>0</v>
      </c>
      <c r="G55" t="s">
        <v>0</v>
      </c>
      <c r="H55" t="s">
        <v>1390</v>
      </c>
      <c r="I55">
        <v>24500</v>
      </c>
      <c r="J55">
        <v>0</v>
      </c>
      <c r="K55">
        <v>200</v>
      </c>
      <c r="L55">
        <v>50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 t="s">
        <v>8</v>
      </c>
      <c r="AC55" t="s">
        <v>1699</v>
      </c>
      <c r="AD55" s="18" t="s">
        <v>1787</v>
      </c>
      <c r="AE55" t="s">
        <v>4</v>
      </c>
      <c r="AF55" t="s">
        <v>1</v>
      </c>
      <c r="AG55" t="s">
        <v>1</v>
      </c>
      <c r="AH55" t="s">
        <v>2493</v>
      </c>
      <c r="AI55" t="s">
        <v>2997</v>
      </c>
      <c r="AJ55" t="s">
        <v>1</v>
      </c>
      <c r="AK55" t="s">
        <v>1</v>
      </c>
      <c r="AL55" t="s">
        <v>1</v>
      </c>
      <c r="AM55" t="s">
        <v>1</v>
      </c>
      <c r="AN55" t="s">
        <v>1</v>
      </c>
      <c r="AO55" t="s">
        <v>2493</v>
      </c>
      <c r="AP55" t="s">
        <v>1</v>
      </c>
      <c r="AQ55" t="s">
        <v>2</v>
      </c>
      <c r="AR55" t="s">
        <v>3</v>
      </c>
      <c r="AS55" t="s">
        <v>3</v>
      </c>
      <c r="AT55" t="s">
        <v>3</v>
      </c>
      <c r="AU55" t="s">
        <v>3</v>
      </c>
      <c r="AV55" t="s">
        <v>3</v>
      </c>
      <c r="AW55" t="s">
        <v>11</v>
      </c>
      <c r="AX55">
        <f>Tabla1[[#This Row],[precio del paquete]]-Tabla1[[#This Row],[Saldo_Deudor]]</f>
        <v>200</v>
      </c>
      <c r="AY55">
        <v>24300</v>
      </c>
      <c r="AZ55" t="s">
        <v>1</v>
      </c>
      <c r="BA55" t="s">
        <v>1</v>
      </c>
      <c r="BB55" t="s">
        <v>1</v>
      </c>
      <c r="BC55" t="s">
        <v>1390</v>
      </c>
      <c r="BD55" t="s">
        <v>1401</v>
      </c>
      <c r="BE55" t="s">
        <v>3</v>
      </c>
      <c r="BF55" t="s">
        <v>3</v>
      </c>
      <c r="BG55" t="s">
        <v>3</v>
      </c>
      <c r="BH55" t="s">
        <v>3</v>
      </c>
      <c r="BI55" t="s">
        <v>3</v>
      </c>
      <c r="BJ55" t="s">
        <v>3363</v>
      </c>
      <c r="BK55" t="s">
        <v>3</v>
      </c>
      <c r="BL55" t="s">
        <v>132</v>
      </c>
      <c r="BM55" t="s">
        <v>1</v>
      </c>
      <c r="BN55">
        <f>Tabla1[[#This Row],[precio del paquete]]</f>
        <v>24500</v>
      </c>
      <c r="BO55" t="s">
        <v>1</v>
      </c>
      <c r="BP55" t="s">
        <v>1</v>
      </c>
      <c r="BQ55" t="s">
        <v>1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3382</v>
      </c>
      <c r="CD55" t="str" cm="1">
        <f t="array" aca="1" ref="CD55" ca="1">eConcatenar(A55:CB55,"|")</f>
        <v>6SBtVJq34vQLvH4p|CAR2022-0651|3|DIGNITY|TABASCO|CARDENAS|CARDENAS|2022-02-02|24500|0|200|50|1|0|0|0|0|0|0|0|0|0|0||0|0|0|GOMEZ|CORDOVA|MELQUIADES|SOLTERO|X|X|CARRETERA PRINCIPAL CASA NUMERO 24|AGRICOLA EL CAPRICHO|X|X|X|X|X|CARRETERA PRINCIPAL CASA NUMERO 24|X|LUNES|x|x|x|x|x|DOMICILIO |200|24300|X|X|X|2022-02-02|2022-02-09|x|x|x|x|x|QX002LUS9KVTQO|x|HOMBRE|X|24500|X|X|X|X|X|X|X|X|CARDENAS|X|X|X|X|FINAL</v>
      </c>
    </row>
    <row r="56" spans="1:82" x14ac:dyDescent="0.25">
      <c r="A56" t="s">
        <v>236</v>
      </c>
      <c r="B56" t="s">
        <v>237</v>
      </c>
      <c r="C56">
        <v>3</v>
      </c>
      <c r="D56" t="s">
        <v>1368</v>
      </c>
      <c r="E56" t="s">
        <v>1380</v>
      </c>
      <c r="F56" t="s">
        <v>0</v>
      </c>
      <c r="G56" t="s">
        <v>0</v>
      </c>
      <c r="H56" t="s">
        <v>1390</v>
      </c>
      <c r="I56">
        <v>24500</v>
      </c>
      <c r="J56">
        <v>0</v>
      </c>
      <c r="K56">
        <v>500</v>
      </c>
      <c r="L56">
        <v>50</v>
      </c>
      <c r="M56">
        <v>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 t="s">
        <v>1788</v>
      </c>
      <c r="AC56" t="s">
        <v>1750</v>
      </c>
      <c r="AD56" s="18" t="s">
        <v>1789</v>
      </c>
      <c r="AE56" t="s">
        <v>4</v>
      </c>
      <c r="AF56" t="s">
        <v>1</v>
      </c>
      <c r="AG56" t="s">
        <v>1</v>
      </c>
      <c r="AH56" t="s">
        <v>2494</v>
      </c>
      <c r="AI56" t="s">
        <v>2997</v>
      </c>
      <c r="AJ56" t="s">
        <v>1</v>
      </c>
      <c r="AK56" t="s">
        <v>1</v>
      </c>
      <c r="AL56" t="s">
        <v>1</v>
      </c>
      <c r="AM56" t="s">
        <v>1</v>
      </c>
      <c r="AN56" t="s">
        <v>1</v>
      </c>
      <c r="AO56" t="s">
        <v>2494</v>
      </c>
      <c r="AP56" t="s">
        <v>1</v>
      </c>
      <c r="AQ56" t="s">
        <v>2</v>
      </c>
      <c r="AR56" t="s">
        <v>3</v>
      </c>
      <c r="AS56" t="s">
        <v>3</v>
      </c>
      <c r="AT56" t="s">
        <v>3</v>
      </c>
      <c r="AU56" t="s">
        <v>3</v>
      </c>
      <c r="AV56" t="s">
        <v>3</v>
      </c>
      <c r="AW56" t="s">
        <v>11</v>
      </c>
      <c r="AX56">
        <f>Tabla1[[#This Row],[precio del paquete]]-Tabla1[[#This Row],[Saldo_Deudor]]</f>
        <v>500</v>
      </c>
      <c r="AY56">
        <v>24000</v>
      </c>
      <c r="AZ56" t="s">
        <v>1</v>
      </c>
      <c r="BA56" t="s">
        <v>1</v>
      </c>
      <c r="BB56" t="s">
        <v>1</v>
      </c>
      <c r="BC56" t="s">
        <v>1390</v>
      </c>
      <c r="BD56" t="s">
        <v>1401</v>
      </c>
      <c r="BE56" t="s">
        <v>3</v>
      </c>
      <c r="BF56" t="s">
        <v>3</v>
      </c>
      <c r="BG56" t="s">
        <v>3</v>
      </c>
      <c r="BH56" t="s">
        <v>3</v>
      </c>
      <c r="BI56" t="s">
        <v>3</v>
      </c>
      <c r="BJ56" t="s">
        <v>3363</v>
      </c>
      <c r="BK56" t="s">
        <v>3</v>
      </c>
      <c r="BL56" t="s">
        <v>132</v>
      </c>
      <c r="BM56" t="s">
        <v>1</v>
      </c>
      <c r="BN56">
        <f>Tabla1[[#This Row],[precio del paquete]]</f>
        <v>24500</v>
      </c>
      <c r="BO56" t="s">
        <v>1</v>
      </c>
      <c r="BP56" t="s">
        <v>1</v>
      </c>
      <c r="BQ56" t="s">
        <v>1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3382</v>
      </c>
      <c r="CD56" t="str" cm="1">
        <f t="array" aca="1" ref="CD56" ca="1">eConcatenar(A56:CB56,"|")</f>
        <v>u4pdZJXOBQ2llQoi|CAR2022-0650|3|DIGNITY|TABASCO|CARDENAS|CARDENAS|2022-02-02|24500|0|500|50|2|0|0|0|0|0|0|0|0|0|0||0|0|0|HERNANDE|IZQUIERDO|JOSE MARCOS|SOLTERO|X|X|CARRETERA PRINCIPAL A LAS FLORES|AGRICOLA EL CAPRICHO|X|X|X|X|X|CARRETERA PRINCIPAL A LAS FLORES|X|LUNES|x|x|x|x|x|DOMICILIO |500|24000|X|X|X|2022-02-02|2022-02-09|x|x|x|x|x|QX002LUS9KVTQO|x|HOMBRE|X|24500|X|X|X|X|X|X|X|X|CARDENAS|X|X|X|X|FINAL</v>
      </c>
    </row>
    <row r="57" spans="1:82" x14ac:dyDescent="0.25">
      <c r="A57" t="s">
        <v>238</v>
      </c>
      <c r="B57" t="s">
        <v>239</v>
      </c>
      <c r="C57">
        <v>3</v>
      </c>
      <c r="D57" t="s">
        <v>1368</v>
      </c>
      <c r="E57" t="s">
        <v>1380</v>
      </c>
      <c r="F57" t="s">
        <v>0</v>
      </c>
      <c r="G57" t="s">
        <v>0</v>
      </c>
      <c r="H57" t="s">
        <v>1390</v>
      </c>
      <c r="I57">
        <v>24500</v>
      </c>
      <c r="J57">
        <v>0</v>
      </c>
      <c r="K57">
        <v>100</v>
      </c>
      <c r="L57">
        <v>50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 t="s">
        <v>1772</v>
      </c>
      <c r="AC57" t="s">
        <v>1790</v>
      </c>
      <c r="AD57" s="18" t="s">
        <v>1791</v>
      </c>
      <c r="AE57" t="s">
        <v>4</v>
      </c>
      <c r="AF57" t="s">
        <v>1</v>
      </c>
      <c r="AG57" t="s">
        <v>1</v>
      </c>
      <c r="AH57" t="s">
        <v>2495</v>
      </c>
      <c r="AI57" t="s">
        <v>2997</v>
      </c>
      <c r="AJ57" t="s">
        <v>1</v>
      </c>
      <c r="AK57" t="s">
        <v>1</v>
      </c>
      <c r="AL57" t="s">
        <v>1</v>
      </c>
      <c r="AM57" t="s">
        <v>1</v>
      </c>
      <c r="AN57" t="s">
        <v>1</v>
      </c>
      <c r="AO57" t="s">
        <v>2495</v>
      </c>
      <c r="AP57" t="s">
        <v>1</v>
      </c>
      <c r="AQ57" t="s">
        <v>2</v>
      </c>
      <c r="AR57" t="s">
        <v>3</v>
      </c>
      <c r="AS57" t="s">
        <v>3</v>
      </c>
      <c r="AT57" t="s">
        <v>3</v>
      </c>
      <c r="AU57" t="s">
        <v>3</v>
      </c>
      <c r="AV57" t="s">
        <v>3</v>
      </c>
      <c r="AW57" t="s">
        <v>11</v>
      </c>
      <c r="AX57">
        <f>Tabla1[[#This Row],[precio del paquete]]-Tabla1[[#This Row],[Saldo_Deudor]]</f>
        <v>100</v>
      </c>
      <c r="AY57">
        <v>24400</v>
      </c>
      <c r="AZ57" t="s">
        <v>1</v>
      </c>
      <c r="BA57" t="s">
        <v>1</v>
      </c>
      <c r="BB57" t="s">
        <v>1</v>
      </c>
      <c r="BC57" t="s">
        <v>1390</v>
      </c>
      <c r="BD57" t="s">
        <v>1401</v>
      </c>
      <c r="BE57" t="s">
        <v>3</v>
      </c>
      <c r="BF57" t="s">
        <v>3</v>
      </c>
      <c r="BG57" t="s">
        <v>3</v>
      </c>
      <c r="BH57" t="s">
        <v>3</v>
      </c>
      <c r="BI57" t="s">
        <v>3</v>
      </c>
      <c r="BJ57" t="s">
        <v>3363</v>
      </c>
      <c r="BK57" t="s">
        <v>3</v>
      </c>
      <c r="BL57" t="s">
        <v>132</v>
      </c>
      <c r="BM57" t="s">
        <v>1</v>
      </c>
      <c r="BN57">
        <f>Tabla1[[#This Row],[precio del paquete]]</f>
        <v>24500</v>
      </c>
      <c r="BO57" t="s">
        <v>1</v>
      </c>
      <c r="BP57" t="s">
        <v>1</v>
      </c>
      <c r="BQ57" t="s">
        <v>1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3382</v>
      </c>
      <c r="CD57" t="str" cm="1">
        <f t="array" aca="1" ref="CD57" ca="1">eConcatenar(A57:CB57,"|")</f>
        <v>qXpbHAKquqooVDoj|CAR2022-0647|3|DIGNITY|TABASCO|CARDENAS|CARDENAS|2022-02-02|24500|0|100|50|0|0|0|0|0|0|0|0|0|0|0||0|0|0|LANDERO|DOMINGUEZ|ORFA|SOLTERO|X|X|CARRETERA PRINCIPAL SIN NUMERO |AGRICOLA EL CAPRICHO|X|X|X|X|X|CARRETERA PRINCIPAL SIN NUMERO |X|LUNES|x|x|x|x|x|DOMICILIO |100|24400|X|X|X|2022-02-02|2022-02-09|x|x|x|x|x|QX002LUS9KVTQO|x|HOMBRE|X|24500|X|X|X|X|X|X|X|X|CARDENAS|X|X|X|X|FINAL</v>
      </c>
    </row>
    <row r="58" spans="1:82" x14ac:dyDescent="0.25">
      <c r="A58" t="s">
        <v>240</v>
      </c>
      <c r="B58" t="s">
        <v>241</v>
      </c>
      <c r="C58">
        <v>3</v>
      </c>
      <c r="D58" t="s">
        <v>1369</v>
      </c>
      <c r="E58" t="s">
        <v>1380</v>
      </c>
      <c r="F58" t="s">
        <v>0</v>
      </c>
      <c r="G58" t="s">
        <v>0</v>
      </c>
      <c r="H58" t="s">
        <v>1393</v>
      </c>
      <c r="I58">
        <v>14800</v>
      </c>
      <c r="J58">
        <v>0</v>
      </c>
      <c r="K58">
        <v>200</v>
      </c>
      <c r="L58">
        <v>50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 t="s">
        <v>1719</v>
      </c>
      <c r="AC58" t="s">
        <v>1719</v>
      </c>
      <c r="AD58" s="18" t="s">
        <v>1764</v>
      </c>
      <c r="AE58" t="s">
        <v>4</v>
      </c>
      <c r="AF58" t="s">
        <v>1</v>
      </c>
      <c r="AG58" t="s">
        <v>1</v>
      </c>
      <c r="AH58" t="s">
        <v>2496</v>
      </c>
      <c r="AI58" t="s">
        <v>2998</v>
      </c>
      <c r="AJ58" t="s">
        <v>1</v>
      </c>
      <c r="AK58" t="s">
        <v>1</v>
      </c>
      <c r="AL58" t="s">
        <v>1</v>
      </c>
      <c r="AM58" t="s">
        <v>1</v>
      </c>
      <c r="AN58" t="s">
        <v>1</v>
      </c>
      <c r="AO58" t="s">
        <v>2496</v>
      </c>
      <c r="AP58" t="s">
        <v>1</v>
      </c>
      <c r="AQ58" t="s">
        <v>2</v>
      </c>
      <c r="AR58" t="s">
        <v>3</v>
      </c>
      <c r="AS58" t="s">
        <v>3</v>
      </c>
      <c r="AT58" t="s">
        <v>3</v>
      </c>
      <c r="AU58" t="s">
        <v>3</v>
      </c>
      <c r="AV58" t="s">
        <v>3</v>
      </c>
      <c r="AW58" t="s">
        <v>11</v>
      </c>
      <c r="AX58">
        <f>Tabla1[[#This Row],[precio del paquete]]-Tabla1[[#This Row],[Saldo_Deudor]]</f>
        <v>200</v>
      </c>
      <c r="AY58">
        <v>14600</v>
      </c>
      <c r="AZ58" t="s">
        <v>1</v>
      </c>
      <c r="BA58" t="s">
        <v>1</v>
      </c>
      <c r="BB58" t="s">
        <v>1</v>
      </c>
      <c r="BC58" t="s">
        <v>1393</v>
      </c>
      <c r="BD58" t="s">
        <v>1391</v>
      </c>
      <c r="BE58" t="s">
        <v>3</v>
      </c>
      <c r="BF58" t="s">
        <v>3</v>
      </c>
      <c r="BG58" t="s">
        <v>3</v>
      </c>
      <c r="BH58" t="s">
        <v>3</v>
      </c>
      <c r="BI58" t="s">
        <v>3</v>
      </c>
      <c r="BJ58" t="s">
        <v>3358</v>
      </c>
      <c r="BK58" t="s">
        <v>3</v>
      </c>
      <c r="BL58" t="s">
        <v>132</v>
      </c>
      <c r="BM58" t="s">
        <v>1</v>
      </c>
      <c r="BN58">
        <f>Tabla1[[#This Row],[precio del paquete]]</f>
        <v>14800</v>
      </c>
      <c r="BO58" t="s">
        <v>1</v>
      </c>
      <c r="BP58" t="s">
        <v>1</v>
      </c>
      <c r="BQ58" t="s">
        <v>1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3382</v>
      </c>
      <c r="CD58" t="str" cm="1">
        <f t="array" aca="1" ref="CD58" ca="1">eConcatenar(A58:CB58,"|")</f>
        <v>tNm9kvIe5yjFGG2M|CAR2022-0481|3|MEMORIAL|TABASCO|CARDENAS|CARDENAS|2022-01-28|14800|0|200|50|0|0|0|0|0|0|0|0|0|0|0||0|0|0|PALMA|PALMA|PEDRO|SOLTERO|X|X|CALLE CATALINA MARTINEZ CASA NUMERO 47|ROGER FALCONI|X|X|X|X|X|CALLE CATALINA MARTINEZ CASA NUMERO 47|X|LUNES|x|x|x|x|x|DOMICILIO |200|14600|X|X|X|2022-01-28|2022-02-04|x|x|x|x|x|3O8PTA2AZPGA3HB|x|HOMBRE|X|14800|X|X|X|X|X|X|X|X|CARDENAS|X|X|X|X|FINAL</v>
      </c>
    </row>
    <row r="59" spans="1:82" x14ac:dyDescent="0.25">
      <c r="A59" t="s">
        <v>242</v>
      </c>
      <c r="B59" t="s">
        <v>243</v>
      </c>
      <c r="C59">
        <v>3</v>
      </c>
      <c r="D59" t="s">
        <v>1369</v>
      </c>
      <c r="E59" t="s">
        <v>1380</v>
      </c>
      <c r="F59" t="s">
        <v>1382</v>
      </c>
      <c r="G59" t="s">
        <v>1382</v>
      </c>
      <c r="H59" t="s">
        <v>1386</v>
      </c>
      <c r="I59">
        <v>14800</v>
      </c>
      <c r="J59">
        <v>0</v>
      </c>
      <c r="K59">
        <v>50</v>
      </c>
      <c r="L59">
        <v>50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 t="s">
        <v>1792</v>
      </c>
      <c r="AC59" t="s">
        <v>1793</v>
      </c>
      <c r="AD59" s="18" t="s">
        <v>1794</v>
      </c>
      <c r="AE59" t="s">
        <v>4</v>
      </c>
      <c r="AF59" t="s">
        <v>1</v>
      </c>
      <c r="AG59" t="s">
        <v>1</v>
      </c>
      <c r="AH59" t="s">
        <v>2497</v>
      </c>
      <c r="AI59" t="s">
        <v>2999</v>
      </c>
      <c r="AJ59" t="s">
        <v>1</v>
      </c>
      <c r="AK59" t="s">
        <v>1</v>
      </c>
      <c r="AL59" t="s">
        <v>1</v>
      </c>
      <c r="AM59" t="s">
        <v>1</v>
      </c>
      <c r="AN59" t="s">
        <v>1</v>
      </c>
      <c r="AO59" t="s">
        <v>2497</v>
      </c>
      <c r="AP59" t="s">
        <v>1</v>
      </c>
      <c r="AQ59" t="s">
        <v>2</v>
      </c>
      <c r="AR59" t="s">
        <v>3</v>
      </c>
      <c r="AS59" t="s">
        <v>3</v>
      </c>
      <c r="AT59" t="s">
        <v>3</v>
      </c>
      <c r="AU59" t="s">
        <v>3</v>
      </c>
      <c r="AV59" t="s">
        <v>3</v>
      </c>
      <c r="AW59" t="s">
        <v>11</v>
      </c>
      <c r="AX59">
        <f>Tabla1[[#This Row],[precio del paquete]]-Tabla1[[#This Row],[Saldo_Deudor]]</f>
        <v>50</v>
      </c>
      <c r="AY59">
        <v>14750</v>
      </c>
      <c r="AZ59" t="s">
        <v>1</v>
      </c>
      <c r="BA59" t="s">
        <v>1</v>
      </c>
      <c r="BB59" t="s">
        <v>1</v>
      </c>
      <c r="BC59" t="s">
        <v>1386</v>
      </c>
      <c r="BD59" t="s">
        <v>1388</v>
      </c>
      <c r="BE59" t="s">
        <v>3</v>
      </c>
      <c r="BF59" t="s">
        <v>3</v>
      </c>
      <c r="BG59" t="s">
        <v>3</v>
      </c>
      <c r="BH59" t="s">
        <v>3</v>
      </c>
      <c r="BI59" t="s">
        <v>3</v>
      </c>
      <c r="BJ59" t="s">
        <v>3361</v>
      </c>
      <c r="BK59" t="s">
        <v>3</v>
      </c>
      <c r="BL59" t="s">
        <v>132</v>
      </c>
      <c r="BM59" t="s">
        <v>1</v>
      </c>
      <c r="BN59">
        <f>Tabla1[[#This Row],[precio del paquete]]</f>
        <v>14800</v>
      </c>
      <c r="BO59" t="s">
        <v>1</v>
      </c>
      <c r="BP59" t="s">
        <v>1</v>
      </c>
      <c r="BQ59" t="s">
        <v>1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3382</v>
      </c>
      <c r="CD59" t="str" cm="1">
        <f t="array" aca="1" ref="CD59" ca="1">eConcatenar(A59:CB59,"|")</f>
        <v>h5kkE67Vi9SPBjM7|CAR2022-0487|3|MEMORIAL|TABASCO|HUIMANGUILLO|HUIMANGUILLO|2022-01-29|14800|0|50|50|0|0|0|0|0|0|0|0|0|0|0||0|0|0|MARIN|SOLIS|MARIA JESUS|SOLTERO|X|X|CALLE PRINCIPAL DE TERRACERA SIN NUMERO|LOS ANGELES|X|X|X|X|X|CALLE PRINCIPAL DE TERRACERA SIN NUMERO|X|LUNES|x|x|x|x|x|DOMICILIO |50|14750|X|X|X|2022-01-29|2022-02-05|x|x|x|x|x|QXTXF5PY9KVTQO|x|HOMBRE|X|14800|X|X|X|X|X|X|X|X|CARDENAS|X|X|X|X|FINAL</v>
      </c>
    </row>
    <row r="60" spans="1:82" x14ac:dyDescent="0.25">
      <c r="A60" t="s">
        <v>244</v>
      </c>
      <c r="B60" t="s">
        <v>245</v>
      </c>
      <c r="C60">
        <v>3</v>
      </c>
      <c r="D60" t="s">
        <v>1369</v>
      </c>
      <c r="E60" t="s">
        <v>1380</v>
      </c>
      <c r="F60" t="s">
        <v>0</v>
      </c>
      <c r="G60" t="s">
        <v>0</v>
      </c>
      <c r="H60" t="s">
        <v>1390</v>
      </c>
      <c r="I60">
        <v>14800</v>
      </c>
      <c r="J60">
        <v>0</v>
      </c>
      <c r="K60">
        <v>200</v>
      </c>
      <c r="L60">
        <v>50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 t="s">
        <v>1795</v>
      </c>
      <c r="AC60" t="s">
        <v>1774</v>
      </c>
      <c r="AD60" s="18" t="s">
        <v>1796</v>
      </c>
      <c r="AE60" t="s">
        <v>4</v>
      </c>
      <c r="AF60" t="s">
        <v>1</v>
      </c>
      <c r="AG60" t="s">
        <v>1</v>
      </c>
      <c r="AH60" t="s">
        <v>2498</v>
      </c>
      <c r="AI60" t="s">
        <v>2995</v>
      </c>
      <c r="AJ60" t="s">
        <v>1</v>
      </c>
      <c r="AK60" t="s">
        <v>1</v>
      </c>
      <c r="AL60" t="s">
        <v>1</v>
      </c>
      <c r="AM60" t="s">
        <v>1</v>
      </c>
      <c r="AN60" t="s">
        <v>1</v>
      </c>
      <c r="AO60" t="s">
        <v>2498</v>
      </c>
      <c r="AP60" t="s">
        <v>1</v>
      </c>
      <c r="AQ60" t="s">
        <v>2</v>
      </c>
      <c r="AR60" t="s">
        <v>3</v>
      </c>
      <c r="AS60" t="s">
        <v>3</v>
      </c>
      <c r="AT60" t="s">
        <v>3</v>
      </c>
      <c r="AU60" t="s">
        <v>3</v>
      </c>
      <c r="AV60" t="s">
        <v>3</v>
      </c>
      <c r="AW60" t="s">
        <v>11</v>
      </c>
      <c r="AX60">
        <f>Tabla1[[#This Row],[precio del paquete]]-Tabla1[[#This Row],[Saldo_Deudor]]</f>
        <v>200</v>
      </c>
      <c r="AY60">
        <v>14600</v>
      </c>
      <c r="AZ60" t="s">
        <v>1</v>
      </c>
      <c r="BA60" t="s">
        <v>1</v>
      </c>
      <c r="BB60" t="s">
        <v>1</v>
      </c>
      <c r="BC60" t="s">
        <v>1390</v>
      </c>
      <c r="BD60" t="s">
        <v>1401</v>
      </c>
      <c r="BE60" t="s">
        <v>3</v>
      </c>
      <c r="BF60" t="s">
        <v>3</v>
      </c>
      <c r="BG60" t="s">
        <v>3</v>
      </c>
      <c r="BH60" t="s">
        <v>3</v>
      </c>
      <c r="BI60" t="s">
        <v>3</v>
      </c>
      <c r="BJ60" t="s">
        <v>3361</v>
      </c>
      <c r="BK60" t="s">
        <v>3</v>
      </c>
      <c r="BL60" t="s">
        <v>132</v>
      </c>
      <c r="BM60" t="s">
        <v>1</v>
      </c>
      <c r="BN60">
        <f>Tabla1[[#This Row],[precio del paquete]]</f>
        <v>14800</v>
      </c>
      <c r="BO60" t="s">
        <v>1</v>
      </c>
      <c r="BP60" t="s">
        <v>1</v>
      </c>
      <c r="BQ60" t="s">
        <v>1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3382</v>
      </c>
      <c r="CD60" t="str" cm="1">
        <f t="array" aca="1" ref="CD60" ca="1">eConcatenar(A60:CB60,"|")</f>
        <v>PvEGrDZcPHc11Eid|CAR2022-0630|3|MEMORIAL|TABASCO|CARDENAS|CARDENAS|2022-02-02|14800|0|200|50|0|0|0|0|0|0|0|0|0|0|0||0|0|0|GARDUZA|GONZALEZ|MARIANA|SOLTERO|X|X|CALLE DANIEL GAMAS CASA NUMERO 11|OBRERA|X|X|X|X|X|CALLE DANIEL GAMAS CASA NUMERO 11|X|LUNES|x|x|x|x|x|DOMICILIO |200|14600|X|X|X|2022-02-02|2022-02-09|x|x|x|x|x|QXTXF5PY9KVTQO|x|HOMBRE|X|14800|X|X|X|X|X|X|X|X|CARDENAS|X|X|X|X|FINAL</v>
      </c>
    </row>
    <row r="61" spans="1:82" x14ac:dyDescent="0.25">
      <c r="A61" t="s">
        <v>246</v>
      </c>
      <c r="B61" t="s">
        <v>247</v>
      </c>
      <c r="C61">
        <v>3</v>
      </c>
      <c r="D61" t="s">
        <v>1369</v>
      </c>
      <c r="E61" t="s">
        <v>1380</v>
      </c>
      <c r="F61" t="s">
        <v>0</v>
      </c>
      <c r="G61" t="s">
        <v>0</v>
      </c>
      <c r="H61" t="s">
        <v>1394</v>
      </c>
      <c r="I61">
        <v>14800</v>
      </c>
      <c r="J61">
        <v>0</v>
      </c>
      <c r="K61">
        <v>100</v>
      </c>
      <c r="L61">
        <v>50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 t="s">
        <v>1797</v>
      </c>
      <c r="AC61" t="s">
        <v>1707</v>
      </c>
      <c r="AD61" s="18" t="s">
        <v>1798</v>
      </c>
      <c r="AE61" t="s">
        <v>4</v>
      </c>
      <c r="AF61" t="s">
        <v>1</v>
      </c>
      <c r="AG61" t="s">
        <v>1</v>
      </c>
      <c r="AH61" t="s">
        <v>2499</v>
      </c>
      <c r="AI61" t="s">
        <v>3000</v>
      </c>
      <c r="AJ61" t="s">
        <v>1</v>
      </c>
      <c r="AK61" t="s">
        <v>1</v>
      </c>
      <c r="AL61" t="s">
        <v>1</v>
      </c>
      <c r="AM61" t="s">
        <v>1</v>
      </c>
      <c r="AN61" t="s">
        <v>1</v>
      </c>
      <c r="AO61" t="s">
        <v>2499</v>
      </c>
      <c r="AP61" t="s">
        <v>1</v>
      </c>
      <c r="AQ61" t="s">
        <v>2</v>
      </c>
      <c r="AR61" t="s">
        <v>3</v>
      </c>
      <c r="AS61" t="s">
        <v>3</v>
      </c>
      <c r="AT61" t="s">
        <v>3</v>
      </c>
      <c r="AU61" t="s">
        <v>3</v>
      </c>
      <c r="AV61" t="s">
        <v>3</v>
      </c>
      <c r="AW61" t="s">
        <v>11</v>
      </c>
      <c r="AX61">
        <f>Tabla1[[#This Row],[precio del paquete]]-Tabla1[[#This Row],[Saldo_Deudor]]</f>
        <v>100</v>
      </c>
      <c r="AY61">
        <v>14700</v>
      </c>
      <c r="AZ61" t="s">
        <v>1</v>
      </c>
      <c r="BA61" t="s">
        <v>1</v>
      </c>
      <c r="BB61" t="s">
        <v>1</v>
      </c>
      <c r="BC61" t="s">
        <v>1394</v>
      </c>
      <c r="BD61" t="s">
        <v>1400</v>
      </c>
      <c r="BE61" t="s">
        <v>3</v>
      </c>
      <c r="BF61" t="s">
        <v>3</v>
      </c>
      <c r="BG61" t="s">
        <v>3</v>
      </c>
      <c r="BH61" t="s">
        <v>3</v>
      </c>
      <c r="BI61" t="s">
        <v>3</v>
      </c>
      <c r="BJ61" t="s">
        <v>3355</v>
      </c>
      <c r="BK61" t="s">
        <v>3</v>
      </c>
      <c r="BL61" t="s">
        <v>132</v>
      </c>
      <c r="BM61" t="s">
        <v>1</v>
      </c>
      <c r="BN61">
        <f>Tabla1[[#This Row],[precio del paquete]]</f>
        <v>14800</v>
      </c>
      <c r="BO61" t="s">
        <v>1</v>
      </c>
      <c r="BP61" t="s">
        <v>1</v>
      </c>
      <c r="BQ61" t="s">
        <v>1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3382</v>
      </c>
      <c r="CD61" t="str" cm="1">
        <f t="array" aca="1" ref="CD61" ca="1">eConcatenar(A61:CB61,"|")</f>
        <v>oJbwIYYbGzd0NDli|CAR2022-0674|3|MEMORIAL|TABASCO|CARDENAS|CARDENAS|2022-02-03|14800|0|100|50|0|0|0|0|0|0|0|0|0|0|0||0|0|0|LAYNES|OLAN|NATIVIDAD|SOLTERO|X|X|CERRADA DE FRAMBOYAN|7 DE OCTUBRE|X|X|X|X|X|CERRADA DE FRAMBOYAN|X|LUNES|x|x|x|x|x|DOMICILIO |100|14700|X|X|X|2022-02-03|2022-02-10|x|x|x|x|x|OQGRX80BMUHQJ2X|x|HOMBRE|X|14800|X|X|X|X|X|X|X|X|CARDENAS|X|X|X|X|FINAL</v>
      </c>
    </row>
    <row r="62" spans="1:82" x14ac:dyDescent="0.25">
      <c r="A62" t="s">
        <v>248</v>
      </c>
      <c r="B62" t="s">
        <v>249</v>
      </c>
      <c r="C62">
        <v>3</v>
      </c>
      <c r="D62" t="s">
        <v>1368</v>
      </c>
      <c r="E62" t="s">
        <v>1380</v>
      </c>
      <c r="F62" t="s">
        <v>0</v>
      </c>
      <c r="G62" t="s">
        <v>0</v>
      </c>
      <c r="H62" t="s">
        <v>1394</v>
      </c>
      <c r="I62">
        <v>24500</v>
      </c>
      <c r="J62">
        <v>0</v>
      </c>
      <c r="K62">
        <v>200</v>
      </c>
      <c r="L62">
        <v>50</v>
      </c>
      <c r="M62">
        <v>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 t="s">
        <v>1692</v>
      </c>
      <c r="AC62" t="s">
        <v>7</v>
      </c>
      <c r="AD62" s="18" t="s">
        <v>1799</v>
      </c>
      <c r="AE62" t="s">
        <v>4</v>
      </c>
      <c r="AF62" t="s">
        <v>1</v>
      </c>
      <c r="AG62" t="s">
        <v>1</v>
      </c>
      <c r="AH62" t="s">
        <v>2500</v>
      </c>
      <c r="AI62" t="s">
        <v>3001</v>
      </c>
      <c r="AJ62" t="s">
        <v>1</v>
      </c>
      <c r="AK62" t="s">
        <v>1</v>
      </c>
      <c r="AL62" t="s">
        <v>1</v>
      </c>
      <c r="AM62" t="s">
        <v>1</v>
      </c>
      <c r="AN62" t="s">
        <v>1</v>
      </c>
      <c r="AO62" t="s">
        <v>2500</v>
      </c>
      <c r="AP62" t="s">
        <v>1</v>
      </c>
      <c r="AQ62" t="s">
        <v>2</v>
      </c>
      <c r="AR62" t="s">
        <v>3</v>
      </c>
      <c r="AS62" t="s">
        <v>3</v>
      </c>
      <c r="AT62" t="s">
        <v>3</v>
      </c>
      <c r="AU62" t="s">
        <v>3</v>
      </c>
      <c r="AV62" t="s">
        <v>3</v>
      </c>
      <c r="AW62" t="s">
        <v>11</v>
      </c>
      <c r="AX62">
        <f>Tabla1[[#This Row],[precio del paquete]]-Tabla1[[#This Row],[Saldo_Deudor]]</f>
        <v>500</v>
      </c>
      <c r="AY62">
        <v>24000</v>
      </c>
      <c r="AZ62" t="s">
        <v>1</v>
      </c>
      <c r="BA62" t="s">
        <v>1</v>
      </c>
      <c r="BB62" t="s">
        <v>1</v>
      </c>
      <c r="BC62" t="s">
        <v>1394</v>
      </c>
      <c r="BD62" t="s">
        <v>1400</v>
      </c>
      <c r="BE62" t="s">
        <v>3</v>
      </c>
      <c r="BF62" t="s">
        <v>3</v>
      </c>
      <c r="BG62" t="s">
        <v>3</v>
      </c>
      <c r="BH62" t="s">
        <v>3</v>
      </c>
      <c r="BI62" t="s">
        <v>3</v>
      </c>
      <c r="BJ62" t="s">
        <v>3364</v>
      </c>
      <c r="BK62" t="s">
        <v>3</v>
      </c>
      <c r="BL62" t="s">
        <v>132</v>
      </c>
      <c r="BM62" t="s">
        <v>1</v>
      </c>
      <c r="BN62">
        <f>Tabla1[[#This Row],[precio del paquete]]</f>
        <v>24500</v>
      </c>
      <c r="BO62" t="s">
        <v>1</v>
      </c>
      <c r="BP62" t="s">
        <v>1</v>
      </c>
      <c r="BQ62" t="s">
        <v>1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3382</v>
      </c>
      <c r="CD62" t="str" cm="1">
        <f t="array" aca="1" ref="CD62" ca="1">eConcatenar(A62:CB62,"|")</f>
        <v>R82zPUETm6yLbhS8|CAR2022-0655|3|DIGNITY|TABASCO|CARDENAS|CARDENAS|2022-02-03|24500|0|200|50|2|0|0|0|0|0|0|0|0|0|0||0|0|0|SAUZ|LOPEZ|CLAUDIA|SOLTERO|X|X|CALLE CAÑA DE BENGALA NUMERO |FRACCIONAMIENTO CAÑALES   |X|X|X|X|X|CALLE CAÑA DE BENGALA NUMERO |X|LUNES|x|x|x|x|x|DOMICILIO |500|24000|X|X|X|2022-02-03|2022-02-10|x|x|x|x|x|QX002L6W9KVTQO|x|HOMBRE|X|24500|X|X|X|X|X|X|X|X|CARDENAS|X|X|X|X|FINAL</v>
      </c>
    </row>
    <row r="63" spans="1:82" x14ac:dyDescent="0.25">
      <c r="A63" t="s">
        <v>250</v>
      </c>
      <c r="B63" t="s">
        <v>251</v>
      </c>
      <c r="C63">
        <v>3</v>
      </c>
      <c r="D63" t="s">
        <v>1369</v>
      </c>
      <c r="E63" t="s">
        <v>1380</v>
      </c>
      <c r="F63" t="s">
        <v>0</v>
      </c>
      <c r="G63" t="s">
        <v>0</v>
      </c>
      <c r="H63" t="s">
        <v>1394</v>
      </c>
      <c r="I63">
        <v>14800</v>
      </c>
      <c r="J63">
        <v>0</v>
      </c>
      <c r="K63">
        <v>50</v>
      </c>
      <c r="L63">
        <v>50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 t="s">
        <v>1800</v>
      </c>
      <c r="AC63" t="s">
        <v>7</v>
      </c>
      <c r="AD63" s="18" t="s">
        <v>1801</v>
      </c>
      <c r="AE63" t="s">
        <v>4</v>
      </c>
      <c r="AF63" t="s">
        <v>1</v>
      </c>
      <c r="AG63" t="s">
        <v>1</v>
      </c>
      <c r="AH63" t="s">
        <v>2501</v>
      </c>
      <c r="AI63" t="s">
        <v>3002</v>
      </c>
      <c r="AJ63" t="s">
        <v>1</v>
      </c>
      <c r="AK63" t="s">
        <v>1</v>
      </c>
      <c r="AL63" t="s">
        <v>1</v>
      </c>
      <c r="AM63" t="s">
        <v>1</v>
      </c>
      <c r="AN63" t="s">
        <v>1</v>
      </c>
      <c r="AO63" t="s">
        <v>2501</v>
      </c>
      <c r="AP63" t="s">
        <v>1</v>
      </c>
      <c r="AQ63" t="s">
        <v>2</v>
      </c>
      <c r="AR63" t="s">
        <v>3</v>
      </c>
      <c r="AS63" t="s">
        <v>3</v>
      </c>
      <c r="AT63" t="s">
        <v>3</v>
      </c>
      <c r="AU63" t="s">
        <v>3</v>
      </c>
      <c r="AV63" t="s">
        <v>3</v>
      </c>
      <c r="AW63" t="s">
        <v>11</v>
      </c>
      <c r="AX63">
        <f>Tabla1[[#This Row],[precio del paquete]]-Tabla1[[#This Row],[Saldo_Deudor]]</f>
        <v>450</v>
      </c>
      <c r="AY63">
        <v>14350</v>
      </c>
      <c r="AZ63" t="s">
        <v>1</v>
      </c>
      <c r="BA63" t="s">
        <v>1</v>
      </c>
      <c r="BB63" t="s">
        <v>1</v>
      </c>
      <c r="BC63" t="s">
        <v>1394</v>
      </c>
      <c r="BD63" t="s">
        <v>1400</v>
      </c>
      <c r="BE63" t="s">
        <v>3</v>
      </c>
      <c r="BF63" t="s">
        <v>3</v>
      </c>
      <c r="BG63" t="s">
        <v>3</v>
      </c>
      <c r="BH63" t="s">
        <v>3</v>
      </c>
      <c r="BI63" t="s">
        <v>3</v>
      </c>
      <c r="BJ63" t="s">
        <v>3364</v>
      </c>
      <c r="BK63" t="s">
        <v>3</v>
      </c>
      <c r="BL63" t="s">
        <v>132</v>
      </c>
      <c r="BM63" t="s">
        <v>1</v>
      </c>
      <c r="BN63">
        <f>Tabla1[[#This Row],[precio del paquete]]</f>
        <v>14800</v>
      </c>
      <c r="BO63" t="s">
        <v>1</v>
      </c>
      <c r="BP63" t="s">
        <v>1</v>
      </c>
      <c r="BQ63" t="s">
        <v>1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3382</v>
      </c>
      <c r="CD63" t="str" cm="1">
        <f t="array" aca="1" ref="CD63" ca="1">eConcatenar(A63:CB63,"|")</f>
        <v>la03myu28sbVOdqJ|CAR2022-0664|3|MEMORIAL|TABASCO|CARDENAS|CARDENAS|2022-02-03|14800|0|50|50|1|0|0|0|0|0|0|0|0|0|0||0|0|0|ESPEJO|LOPEZ|RUFINA|SOLTERO|X|X|CALLE FRANCISCO VILLA SIN NUMERO|NUEVO PROGRESO|X|X|X|X|X|CALLE FRANCISCO VILLA SIN NUMERO|X|LUNES|x|x|x|x|x|DOMICILIO |450|14350|X|X|X|2022-02-03|2022-02-10|x|x|x|x|x|QX002L6W9KVTQO|x|HOMBRE|X|14800|X|X|X|X|X|X|X|X|CARDENAS|X|X|X|X|FINAL</v>
      </c>
    </row>
    <row r="64" spans="1:82" x14ac:dyDescent="0.25">
      <c r="A64" t="s">
        <v>252</v>
      </c>
      <c r="B64" t="s">
        <v>253</v>
      </c>
      <c r="C64">
        <v>3</v>
      </c>
      <c r="D64" t="s">
        <v>1369</v>
      </c>
      <c r="E64" t="s">
        <v>1380</v>
      </c>
      <c r="F64" t="s">
        <v>0</v>
      </c>
      <c r="G64" t="s">
        <v>0</v>
      </c>
      <c r="H64" t="s">
        <v>1394</v>
      </c>
      <c r="I64">
        <v>14800</v>
      </c>
      <c r="J64">
        <v>0</v>
      </c>
      <c r="K64">
        <v>100</v>
      </c>
      <c r="L64">
        <v>50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 t="s">
        <v>1711</v>
      </c>
      <c r="AC64" t="s">
        <v>1802</v>
      </c>
      <c r="AD64" s="18" t="s">
        <v>1803</v>
      </c>
      <c r="AE64" t="s">
        <v>4</v>
      </c>
      <c r="AF64" t="s">
        <v>1</v>
      </c>
      <c r="AG64" t="s">
        <v>1</v>
      </c>
      <c r="AH64" t="s">
        <v>2502</v>
      </c>
      <c r="AI64" t="s">
        <v>2995</v>
      </c>
      <c r="AJ64" t="s">
        <v>1</v>
      </c>
      <c r="AK64" t="s">
        <v>1</v>
      </c>
      <c r="AL64" t="s">
        <v>1</v>
      </c>
      <c r="AM64" t="s">
        <v>1</v>
      </c>
      <c r="AN64" t="s">
        <v>1</v>
      </c>
      <c r="AO64" t="s">
        <v>2502</v>
      </c>
      <c r="AP64" t="s">
        <v>1</v>
      </c>
      <c r="AQ64" t="s">
        <v>2</v>
      </c>
      <c r="AR64" t="s">
        <v>3</v>
      </c>
      <c r="AS64" t="s">
        <v>3</v>
      </c>
      <c r="AT64" t="s">
        <v>3</v>
      </c>
      <c r="AU64" t="s">
        <v>3</v>
      </c>
      <c r="AV64" t="s">
        <v>3</v>
      </c>
      <c r="AW64" t="s">
        <v>11</v>
      </c>
      <c r="AX64">
        <f>Tabla1[[#This Row],[precio del paquete]]-Tabla1[[#This Row],[Saldo_Deudor]]</f>
        <v>100</v>
      </c>
      <c r="AY64">
        <v>14700</v>
      </c>
      <c r="AZ64" t="s">
        <v>1</v>
      </c>
      <c r="BA64" t="s">
        <v>1</v>
      </c>
      <c r="BB64" t="s">
        <v>1</v>
      </c>
      <c r="BC64" t="s">
        <v>1394</v>
      </c>
      <c r="BD64" t="s">
        <v>1400</v>
      </c>
      <c r="BE64" t="s">
        <v>3</v>
      </c>
      <c r="BF64" t="s">
        <v>3</v>
      </c>
      <c r="BG64" t="s">
        <v>3</v>
      </c>
      <c r="BH64" t="s">
        <v>3</v>
      </c>
      <c r="BI64" t="s">
        <v>3</v>
      </c>
      <c r="BJ64" t="s">
        <v>3361</v>
      </c>
      <c r="BK64" t="s">
        <v>3</v>
      </c>
      <c r="BL64" t="s">
        <v>132</v>
      </c>
      <c r="BM64" t="s">
        <v>1</v>
      </c>
      <c r="BN64">
        <f>Tabla1[[#This Row],[precio del paquete]]</f>
        <v>14800</v>
      </c>
      <c r="BO64" t="s">
        <v>1</v>
      </c>
      <c r="BP64" t="s">
        <v>1</v>
      </c>
      <c r="BQ64" t="s">
        <v>1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3382</v>
      </c>
      <c r="CD64" t="str" cm="1">
        <f t="array" aca="1" ref="CD64" ca="1">eConcatenar(A64:CB64,"|")</f>
        <v>pyJuRh0OUT2n3OZa|CAR2022-0654|3|MEMORIAL|TABASCO|CARDENAS|CARDENAS|2022-02-03|14800|0|100|50|2|0|0|0|0|0|0|0|0|0|0||0|0|0|HERNANDEZ|ESPINOZA|DIANA FABIOLA|SOLTERO|X|X|CERRADA AZUCENA CASA NUMERO 10|OBRERA|X|X|X|X|X|CERRADA AZUCENA CASA NUMERO 10|X|LUNES|x|x|x|x|x|DOMICILIO |100|14700|X|X|X|2022-02-03|2022-02-10|x|x|x|x|x|QXTXF5PY9KVTQO|x|HOMBRE|X|14800|X|X|X|X|X|X|X|X|CARDENAS|X|X|X|X|FINAL</v>
      </c>
    </row>
    <row r="65" spans="1:82" x14ac:dyDescent="0.25">
      <c r="A65" t="s">
        <v>254</v>
      </c>
      <c r="B65" t="s">
        <v>255</v>
      </c>
      <c r="C65">
        <v>3</v>
      </c>
      <c r="D65" t="s">
        <v>1369</v>
      </c>
      <c r="E65" t="s">
        <v>1380</v>
      </c>
      <c r="F65" t="s">
        <v>0</v>
      </c>
      <c r="G65" t="s">
        <v>0</v>
      </c>
      <c r="H65" t="s">
        <v>1394</v>
      </c>
      <c r="I65">
        <v>14800</v>
      </c>
      <c r="J65">
        <v>0</v>
      </c>
      <c r="K65">
        <v>100</v>
      </c>
      <c r="L65">
        <v>50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 t="s">
        <v>1804</v>
      </c>
      <c r="AC65" t="s">
        <v>1731</v>
      </c>
      <c r="AD65" s="18" t="s">
        <v>1805</v>
      </c>
      <c r="AE65" t="s">
        <v>4</v>
      </c>
      <c r="AF65" t="s">
        <v>1</v>
      </c>
      <c r="AG65" t="s">
        <v>1</v>
      </c>
      <c r="AH65" t="s">
        <v>2503</v>
      </c>
      <c r="AI65" t="s">
        <v>3003</v>
      </c>
      <c r="AJ65" t="s">
        <v>1</v>
      </c>
      <c r="AK65" t="s">
        <v>1</v>
      </c>
      <c r="AL65" t="s">
        <v>1</v>
      </c>
      <c r="AM65" t="s">
        <v>1</v>
      </c>
      <c r="AN65" t="s">
        <v>1</v>
      </c>
      <c r="AO65" t="s">
        <v>2503</v>
      </c>
      <c r="AP65" t="s">
        <v>1</v>
      </c>
      <c r="AQ65" t="s">
        <v>2</v>
      </c>
      <c r="AR65" t="s">
        <v>3</v>
      </c>
      <c r="AS65" t="s">
        <v>3</v>
      </c>
      <c r="AT65" t="s">
        <v>3</v>
      </c>
      <c r="AU65" t="s">
        <v>3</v>
      </c>
      <c r="AV65" t="s">
        <v>3</v>
      </c>
      <c r="AW65" t="s">
        <v>11</v>
      </c>
      <c r="AX65">
        <f>Tabla1[[#This Row],[precio del paquete]]-Tabla1[[#This Row],[Saldo_Deudor]]</f>
        <v>100</v>
      </c>
      <c r="AY65">
        <v>14700</v>
      </c>
      <c r="AZ65" t="s">
        <v>1</v>
      </c>
      <c r="BA65" t="s">
        <v>1</v>
      </c>
      <c r="BB65" t="s">
        <v>1</v>
      </c>
      <c r="BC65" t="s">
        <v>1394</v>
      </c>
      <c r="BD65" t="s">
        <v>1400</v>
      </c>
      <c r="BE65" t="s">
        <v>3</v>
      </c>
      <c r="BF65" t="s">
        <v>3</v>
      </c>
      <c r="BG65" t="s">
        <v>3</v>
      </c>
      <c r="BH65" t="s">
        <v>3</v>
      </c>
      <c r="BI65" t="s">
        <v>3</v>
      </c>
      <c r="BJ65" t="s">
        <v>3355</v>
      </c>
      <c r="BK65" t="s">
        <v>3</v>
      </c>
      <c r="BL65" t="s">
        <v>132</v>
      </c>
      <c r="BM65" t="s">
        <v>1</v>
      </c>
      <c r="BN65">
        <f>Tabla1[[#This Row],[precio del paquete]]</f>
        <v>14800</v>
      </c>
      <c r="BO65" t="s">
        <v>1</v>
      </c>
      <c r="BP65" t="s">
        <v>1</v>
      </c>
      <c r="BQ65" t="s">
        <v>1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3382</v>
      </c>
      <c r="CD65" t="str" cm="1">
        <f t="array" aca="1" ref="CD65" ca="1">eConcatenar(A65:CB65,"|")</f>
        <v>0YZmMJO0JrqY97OY|CAR2022-0679|3|MEMORIAL|TABASCO|CARDENAS|CARDENAS|2022-02-03|14800|0|100|50|0|0|0|0|0|0|0|0|0|0|0||0|0|0|MORFIN|GARCIA|LUCERO|SOLTERO|X|X|ANDADOR JOBO SIN NUMERO|SANTA MARIA PERIFERICO|X|X|X|X|X|ANDADOR JOBO SIN NUMERO|X|LUNES|x|x|x|x|x|DOMICILIO |100|14700|X|X|X|2022-02-03|2022-02-10|x|x|x|x|x|OQGRX80BMUHQJ2X|x|HOMBRE|X|14800|X|X|X|X|X|X|X|X|CARDENAS|X|X|X|X|FINAL</v>
      </c>
    </row>
    <row r="66" spans="1:82" x14ac:dyDescent="0.25">
      <c r="A66" t="s">
        <v>256</v>
      </c>
      <c r="B66" t="s">
        <v>257</v>
      </c>
      <c r="C66">
        <v>3</v>
      </c>
      <c r="D66" t="s">
        <v>1369</v>
      </c>
      <c r="E66" t="s">
        <v>1380</v>
      </c>
      <c r="F66" t="s">
        <v>1382</v>
      </c>
      <c r="G66" t="s">
        <v>1382</v>
      </c>
      <c r="H66" t="s">
        <v>1394</v>
      </c>
      <c r="I66">
        <v>14800</v>
      </c>
      <c r="J66">
        <v>0</v>
      </c>
      <c r="K66">
        <v>50</v>
      </c>
      <c r="L66">
        <v>50</v>
      </c>
      <c r="M66">
        <v>1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 t="s">
        <v>1806</v>
      </c>
      <c r="AC66" t="s">
        <v>1807</v>
      </c>
      <c r="AD66" s="18" t="s">
        <v>1808</v>
      </c>
      <c r="AE66" t="s">
        <v>4</v>
      </c>
      <c r="AF66" t="s">
        <v>1</v>
      </c>
      <c r="AG66" t="s">
        <v>1</v>
      </c>
      <c r="AH66" t="s">
        <v>2504</v>
      </c>
      <c r="AI66" t="s">
        <v>3004</v>
      </c>
      <c r="AJ66" t="s">
        <v>1</v>
      </c>
      <c r="AK66" t="s">
        <v>1</v>
      </c>
      <c r="AL66" t="s">
        <v>1</v>
      </c>
      <c r="AM66" t="s">
        <v>1</v>
      </c>
      <c r="AN66" t="s">
        <v>1</v>
      </c>
      <c r="AO66" t="s">
        <v>2504</v>
      </c>
      <c r="AP66" t="s">
        <v>1</v>
      </c>
      <c r="AQ66" t="s">
        <v>2</v>
      </c>
      <c r="AR66" t="s">
        <v>3</v>
      </c>
      <c r="AS66" t="s">
        <v>3</v>
      </c>
      <c r="AT66" t="s">
        <v>3</v>
      </c>
      <c r="AU66" t="s">
        <v>3</v>
      </c>
      <c r="AV66" t="s">
        <v>3</v>
      </c>
      <c r="AW66" t="s">
        <v>11</v>
      </c>
      <c r="AX66">
        <f>Tabla1[[#This Row],[precio del paquete]]-Tabla1[[#This Row],[Saldo_Deudor]]</f>
        <v>50</v>
      </c>
      <c r="AY66">
        <v>14750</v>
      </c>
      <c r="AZ66" t="s">
        <v>1</v>
      </c>
      <c r="BA66" t="s">
        <v>1</v>
      </c>
      <c r="BB66" t="s">
        <v>1</v>
      </c>
      <c r="BC66" t="s">
        <v>1394</v>
      </c>
      <c r="BD66" t="s">
        <v>1400</v>
      </c>
      <c r="BE66" t="s">
        <v>3</v>
      </c>
      <c r="BF66" t="s">
        <v>3</v>
      </c>
      <c r="BG66" t="s">
        <v>3</v>
      </c>
      <c r="BH66" t="s">
        <v>3</v>
      </c>
      <c r="BI66" t="s">
        <v>3</v>
      </c>
      <c r="BJ66" t="s">
        <v>3355</v>
      </c>
      <c r="BK66" t="s">
        <v>3</v>
      </c>
      <c r="BL66" t="s">
        <v>132</v>
      </c>
      <c r="BM66" t="s">
        <v>1</v>
      </c>
      <c r="BN66">
        <f>Tabla1[[#This Row],[precio del paquete]]</f>
        <v>14800</v>
      </c>
      <c r="BO66" t="s">
        <v>1</v>
      </c>
      <c r="BP66" t="s">
        <v>1</v>
      </c>
      <c r="BQ66" t="s">
        <v>1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3382</v>
      </c>
      <c r="CD66" t="str" cm="1">
        <f t="array" aca="1" ref="CD66" ca="1">eConcatenar(A66:CB66,"|")</f>
        <v>tpjwEMzVgZm3kUIa|CAR2022-0677|3|MEMORIAL|TABASCO|HUIMANGUILLO|HUIMANGUILLO|2022-02-03|14800|0|50|50|1|0|0|0|0|0|0|0|0|0|0||0|0|0|AVIAS|CORNELIO|RUBICELA|SOLTERO|X|X|CALLE ALCATRACES MANZANA 2 LOTE 21|MIGUEL CUITKAHUAC|X|X|X|X|X|CALLE ALCATRACES MANZANA 2 LOTE 21|X|LUNES|x|x|x|x|x|DOMICILIO |50|14750|X|X|X|2022-02-03|2022-02-10|x|x|x|x|x|OQGRX80BMUHQJ2X|x|HOMBRE|X|14800|X|X|X|X|X|X|X|X|CARDENAS|X|X|X|X|FINAL</v>
      </c>
    </row>
    <row r="67" spans="1:82" x14ac:dyDescent="0.25">
      <c r="A67" t="s">
        <v>258</v>
      </c>
      <c r="B67" t="s">
        <v>259</v>
      </c>
      <c r="C67">
        <v>3</v>
      </c>
      <c r="D67" t="s">
        <v>1370</v>
      </c>
      <c r="E67" t="s">
        <v>1380</v>
      </c>
      <c r="F67" t="s">
        <v>1382</v>
      </c>
      <c r="G67" t="s">
        <v>1382</v>
      </c>
      <c r="H67" t="s">
        <v>1390</v>
      </c>
      <c r="I67">
        <v>35000</v>
      </c>
      <c r="J67">
        <v>0</v>
      </c>
      <c r="K67">
        <v>150</v>
      </c>
      <c r="L67">
        <v>50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 t="s">
        <v>1809</v>
      </c>
      <c r="AC67" t="s">
        <v>1810</v>
      </c>
      <c r="AD67" s="18" t="s">
        <v>1811</v>
      </c>
      <c r="AE67" t="s">
        <v>4</v>
      </c>
      <c r="AF67" t="s">
        <v>1</v>
      </c>
      <c r="AG67" t="s">
        <v>1</v>
      </c>
      <c r="AH67" t="s">
        <v>2465</v>
      </c>
      <c r="AI67" t="s">
        <v>3005</v>
      </c>
      <c r="AJ67" t="s">
        <v>1</v>
      </c>
      <c r="AK67" t="s">
        <v>1</v>
      </c>
      <c r="AL67" t="s">
        <v>1</v>
      </c>
      <c r="AM67" t="s">
        <v>1</v>
      </c>
      <c r="AN67" t="s">
        <v>1</v>
      </c>
      <c r="AO67" t="s">
        <v>2465</v>
      </c>
      <c r="AP67" t="s">
        <v>1</v>
      </c>
      <c r="AQ67" t="s">
        <v>2</v>
      </c>
      <c r="AR67" t="s">
        <v>3</v>
      </c>
      <c r="AS67" t="s">
        <v>3</v>
      </c>
      <c r="AT67" t="s">
        <v>3</v>
      </c>
      <c r="AU67" t="s">
        <v>3</v>
      </c>
      <c r="AV67" t="s">
        <v>3</v>
      </c>
      <c r="AW67" t="s">
        <v>11</v>
      </c>
      <c r="AX67">
        <f>Tabla1[[#This Row],[precio del paquete]]-Tabla1[[#This Row],[Saldo_Deudor]]</f>
        <v>150</v>
      </c>
      <c r="AY67">
        <v>34850</v>
      </c>
      <c r="AZ67" t="s">
        <v>1</v>
      </c>
      <c r="BA67" t="s">
        <v>1</v>
      </c>
      <c r="BB67" t="s">
        <v>1</v>
      </c>
      <c r="BC67" t="s">
        <v>1390</v>
      </c>
      <c r="BD67" t="s">
        <v>1401</v>
      </c>
      <c r="BE67" t="s">
        <v>3</v>
      </c>
      <c r="BF67" t="s">
        <v>3</v>
      </c>
      <c r="BG67" t="s">
        <v>3</v>
      </c>
      <c r="BH67" t="s">
        <v>3</v>
      </c>
      <c r="BI67" t="s">
        <v>3</v>
      </c>
      <c r="BJ67" t="s">
        <v>3355</v>
      </c>
      <c r="BK67" t="s">
        <v>3</v>
      </c>
      <c r="BL67" t="s">
        <v>132</v>
      </c>
      <c r="BM67" t="s">
        <v>1</v>
      </c>
      <c r="BN67">
        <f>Tabla1[[#This Row],[precio del paquete]]</f>
        <v>35000</v>
      </c>
      <c r="BO67" t="s">
        <v>1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3382</v>
      </c>
      <c r="CD67" t="str" cm="1">
        <f t="array" aca="1" ref="CD67" ca="1">eConcatenar(A67:CB67,"|")</f>
        <v>4fJziNCk6anIgdpk|CAR2022-0676|3|DELUX|TABASCO|HUIMANGUILLO|HUIMANGUILLO|2022-02-02|35000|0|150|50|0|0|0|0|0|0|0|0|0|0|0||0|0|0|GUZMAN|CRUZ|JACQUELINE|SOLTERO|X|X|CARRETERA PRINCIPAL SIN NUMERO|RIO SECO Y MONTAÑA SEGUNDA SECCION|X|X|X|X|X|CARRETERA PRINCIPAL SIN NUMERO|X|LUNES|x|x|x|x|x|DOMICILIO |150|34850|X|X|X|2022-02-02|2022-02-09|x|x|x|x|x|OQGRX80BMUHQJ2X|x|HOMBRE|X|35000|X|X|X|X|X|X|X|X|CARDENAS|X|X|X|X|FINAL</v>
      </c>
    </row>
    <row r="68" spans="1:82" x14ac:dyDescent="0.25">
      <c r="A68" t="s">
        <v>260</v>
      </c>
      <c r="B68" t="s">
        <v>261</v>
      </c>
      <c r="C68">
        <v>3</v>
      </c>
      <c r="D68" t="s">
        <v>1369</v>
      </c>
      <c r="E68" t="s">
        <v>1380</v>
      </c>
      <c r="F68" t="s">
        <v>1382</v>
      </c>
      <c r="G68" t="s">
        <v>1382</v>
      </c>
      <c r="H68" t="s">
        <v>1394</v>
      </c>
      <c r="I68">
        <v>14800</v>
      </c>
      <c r="J68">
        <v>0</v>
      </c>
      <c r="K68">
        <v>100</v>
      </c>
      <c r="L68">
        <v>50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 t="s">
        <v>1812</v>
      </c>
      <c r="AC68" t="s">
        <v>1711</v>
      </c>
      <c r="AD68" s="18" t="s">
        <v>1813</v>
      </c>
      <c r="AE68" t="s">
        <v>4</v>
      </c>
      <c r="AF68" t="s">
        <v>1</v>
      </c>
      <c r="AG68" t="s">
        <v>1</v>
      </c>
      <c r="AH68" t="s">
        <v>2505</v>
      </c>
      <c r="AI68" t="s">
        <v>3006</v>
      </c>
      <c r="AJ68" t="s">
        <v>1</v>
      </c>
      <c r="AK68" t="s">
        <v>1</v>
      </c>
      <c r="AL68" t="s">
        <v>1</v>
      </c>
      <c r="AM68" t="s">
        <v>1</v>
      </c>
      <c r="AN68" t="s">
        <v>1</v>
      </c>
      <c r="AO68" t="s">
        <v>2505</v>
      </c>
      <c r="AP68" t="s">
        <v>1</v>
      </c>
      <c r="AQ68" t="s">
        <v>2</v>
      </c>
      <c r="AR68" t="s">
        <v>3</v>
      </c>
      <c r="AS68" t="s">
        <v>3</v>
      </c>
      <c r="AT68" t="s">
        <v>3</v>
      </c>
      <c r="AU68" t="s">
        <v>3</v>
      </c>
      <c r="AV68" t="s">
        <v>3</v>
      </c>
      <c r="AW68" t="s">
        <v>11</v>
      </c>
      <c r="AX68">
        <f>Tabla1[[#This Row],[precio del paquete]]-Tabla1[[#This Row],[Saldo_Deudor]]</f>
        <v>100</v>
      </c>
      <c r="AY68">
        <v>14700</v>
      </c>
      <c r="AZ68" t="s">
        <v>1</v>
      </c>
      <c r="BA68" t="s">
        <v>1</v>
      </c>
      <c r="BB68" t="s">
        <v>1</v>
      </c>
      <c r="BC68" t="s">
        <v>1394</v>
      </c>
      <c r="BD68" t="s">
        <v>1400</v>
      </c>
      <c r="BE68" t="s">
        <v>3</v>
      </c>
      <c r="BF68" t="s">
        <v>3</v>
      </c>
      <c r="BG68" t="s">
        <v>3</v>
      </c>
      <c r="BH68" t="s">
        <v>3</v>
      </c>
      <c r="BI68" t="s">
        <v>3</v>
      </c>
      <c r="BJ68" t="s">
        <v>3362</v>
      </c>
      <c r="BK68" t="s">
        <v>3</v>
      </c>
      <c r="BL68" t="s">
        <v>132</v>
      </c>
      <c r="BM68" t="s">
        <v>1</v>
      </c>
      <c r="BN68">
        <f>Tabla1[[#This Row],[precio del paquete]]</f>
        <v>14800</v>
      </c>
      <c r="BO68" t="s">
        <v>1</v>
      </c>
      <c r="BP68" t="s">
        <v>1</v>
      </c>
      <c r="BQ68" t="s">
        <v>1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3382</v>
      </c>
      <c r="CD68" t="str" cm="1">
        <f t="array" aca="1" ref="CD68" ca="1">eConcatenar(A68:CB68,"|")</f>
        <v>XkJOjdXHf5FDuafQ|CAR2022-0672|3|MEMORIAL|TABASCO|HUIMANGUILLO|HUIMANGUILLO|2022-02-03|14800|0|100|50|0|0|0|0|0|0|0|0|0|0|0||0|0|0|SANCHEZ|HERNANDEZ|MARIA MAGDALENA|SOLTERO|X|X|CALLE LAS PALMAS|GENARO VAZQUEZ SEGUNDA SECCION|X|X|X|X|X|CALLE LAS PALMAS|X|LUNES|x|x|x|x|x|DOMICILIO |100|14700|X|X|X|2022-02-03|2022-02-10|x|x|x|x|x|QX002LYO9KVTQO|x|HOMBRE|X|14800|X|X|X|X|X|X|X|X|CARDENAS|X|X|X|X|FINAL</v>
      </c>
    </row>
    <row r="69" spans="1:82" x14ac:dyDescent="0.25">
      <c r="A69" t="s">
        <v>262</v>
      </c>
      <c r="B69" t="s">
        <v>263</v>
      </c>
      <c r="C69">
        <v>3</v>
      </c>
      <c r="D69" t="s">
        <v>1369</v>
      </c>
      <c r="E69" t="s">
        <v>1380</v>
      </c>
      <c r="F69" t="s">
        <v>0</v>
      </c>
      <c r="G69" t="s">
        <v>0</v>
      </c>
      <c r="H69" t="s">
        <v>1394</v>
      </c>
      <c r="I69">
        <v>14800</v>
      </c>
      <c r="J69">
        <v>0</v>
      </c>
      <c r="K69">
        <v>100</v>
      </c>
      <c r="L69">
        <v>50</v>
      </c>
      <c r="M69">
        <v>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 t="s">
        <v>1814</v>
      </c>
      <c r="AC69" t="s">
        <v>1790</v>
      </c>
      <c r="AD69" s="18" t="s">
        <v>1760</v>
      </c>
      <c r="AE69" t="s">
        <v>4</v>
      </c>
      <c r="AF69" t="s">
        <v>1</v>
      </c>
      <c r="AG69" t="s">
        <v>1</v>
      </c>
      <c r="AH69" t="s">
        <v>2506</v>
      </c>
      <c r="AI69" t="s">
        <v>3007</v>
      </c>
      <c r="AJ69" t="s">
        <v>1</v>
      </c>
      <c r="AK69" t="s">
        <v>1</v>
      </c>
      <c r="AL69" t="s">
        <v>1</v>
      </c>
      <c r="AM69" t="s">
        <v>1</v>
      </c>
      <c r="AN69" t="s">
        <v>1</v>
      </c>
      <c r="AO69" t="s">
        <v>2506</v>
      </c>
      <c r="AP69" t="s">
        <v>1</v>
      </c>
      <c r="AQ69" t="s">
        <v>2</v>
      </c>
      <c r="AR69" t="s">
        <v>3</v>
      </c>
      <c r="AS69" t="s">
        <v>3</v>
      </c>
      <c r="AT69" t="s">
        <v>3</v>
      </c>
      <c r="AU69" t="s">
        <v>3</v>
      </c>
      <c r="AV69" t="s">
        <v>3</v>
      </c>
      <c r="AW69" t="s">
        <v>11</v>
      </c>
      <c r="AX69">
        <f>Tabla1[[#This Row],[precio del paquete]]-Tabla1[[#This Row],[Saldo_Deudor]]</f>
        <v>100</v>
      </c>
      <c r="AY69">
        <v>14700</v>
      </c>
      <c r="AZ69" t="s">
        <v>1</v>
      </c>
      <c r="BA69" t="s">
        <v>1</v>
      </c>
      <c r="BB69" t="s">
        <v>1</v>
      </c>
      <c r="BC69" t="s">
        <v>1394</v>
      </c>
      <c r="BD69" t="s">
        <v>1400</v>
      </c>
      <c r="BE69" t="s">
        <v>3</v>
      </c>
      <c r="BF69" t="s">
        <v>3</v>
      </c>
      <c r="BG69" t="s">
        <v>3</v>
      </c>
      <c r="BH69" t="s">
        <v>3</v>
      </c>
      <c r="BI69" t="s">
        <v>3</v>
      </c>
      <c r="BJ69" t="s">
        <v>3364</v>
      </c>
      <c r="BK69" t="s">
        <v>3</v>
      </c>
      <c r="BL69" t="s">
        <v>132</v>
      </c>
      <c r="BM69" t="s">
        <v>1</v>
      </c>
      <c r="BN69">
        <f>Tabla1[[#This Row],[precio del paquete]]</f>
        <v>14800</v>
      </c>
      <c r="BO69" t="s">
        <v>1</v>
      </c>
      <c r="BP69" t="s">
        <v>1</v>
      </c>
      <c r="BQ69" t="s">
        <v>1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3382</v>
      </c>
      <c r="CD69" t="str" cm="1">
        <f t="array" aca="1" ref="CD69" ca="1">eConcatenar(A69:CB69,"|")</f>
        <v>ArMDs7vBRCH0m06H|CAR2022-0663|3|MEMORIAL|TABASCO|CARDENAS|CARDENAS|2022-02-03|14800|0|100|50|2|0|0|0|0|0|0|0|0|0|0||0|0|0|FLORES|DOMINGUEZ|CANDELARIO|SOLTERO|X|X|AVENIDA CAÑAVERAL MANZANA 3 LOTE 40|CAÑALES 1|X|X|X|X|X|AVENIDA CAÑAVERAL MANZANA 3 LOTE 40|X|LUNES|x|x|x|x|x|DOMICILIO |100|14700|X|X|X|2022-02-03|2022-02-10|x|x|x|x|x|QX002L6W9KVTQO|x|HOMBRE|X|14800|X|X|X|X|X|X|X|X|CARDENAS|X|X|X|X|FINAL</v>
      </c>
    </row>
    <row r="70" spans="1:82" x14ac:dyDescent="0.25">
      <c r="A70" t="s">
        <v>264</v>
      </c>
      <c r="B70" t="s">
        <v>265</v>
      </c>
      <c r="C70">
        <v>3</v>
      </c>
      <c r="D70" t="s">
        <v>1369</v>
      </c>
      <c r="E70" t="s">
        <v>1380</v>
      </c>
      <c r="F70" t="s">
        <v>0</v>
      </c>
      <c r="G70" t="s">
        <v>0</v>
      </c>
      <c r="H70" t="s">
        <v>1394</v>
      </c>
      <c r="I70">
        <v>14800</v>
      </c>
      <c r="J70">
        <v>0</v>
      </c>
      <c r="K70">
        <v>100</v>
      </c>
      <c r="L70">
        <v>50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 t="s">
        <v>1815</v>
      </c>
      <c r="AC70" t="s">
        <v>1816</v>
      </c>
      <c r="AD70" s="18" t="s">
        <v>1817</v>
      </c>
      <c r="AE70" t="s">
        <v>4</v>
      </c>
      <c r="AF70" t="s">
        <v>1</v>
      </c>
      <c r="AG70" t="s">
        <v>1</v>
      </c>
      <c r="AH70" t="s">
        <v>2507</v>
      </c>
      <c r="AI70" t="s">
        <v>3008</v>
      </c>
      <c r="AJ70" t="s">
        <v>1</v>
      </c>
      <c r="AK70" t="s">
        <v>1</v>
      </c>
      <c r="AL70" t="s">
        <v>1</v>
      </c>
      <c r="AM70" t="s">
        <v>1</v>
      </c>
      <c r="AN70" t="s">
        <v>1</v>
      </c>
      <c r="AO70" t="s">
        <v>2507</v>
      </c>
      <c r="AP70" t="s">
        <v>1</v>
      </c>
      <c r="AQ70" t="s">
        <v>2</v>
      </c>
      <c r="AR70" t="s">
        <v>3</v>
      </c>
      <c r="AS70" t="s">
        <v>3</v>
      </c>
      <c r="AT70" t="s">
        <v>3</v>
      </c>
      <c r="AU70" t="s">
        <v>3</v>
      </c>
      <c r="AV70" t="s">
        <v>3</v>
      </c>
      <c r="AW70" t="s">
        <v>11</v>
      </c>
      <c r="AX70">
        <f>Tabla1[[#This Row],[precio del paquete]]-Tabla1[[#This Row],[Saldo_Deudor]]</f>
        <v>100</v>
      </c>
      <c r="AY70">
        <v>14700</v>
      </c>
      <c r="AZ70" t="s">
        <v>1</v>
      </c>
      <c r="BA70" t="s">
        <v>1</v>
      </c>
      <c r="BB70" t="s">
        <v>1</v>
      </c>
      <c r="BC70" t="s">
        <v>1394</v>
      </c>
      <c r="BD70" t="s">
        <v>1400</v>
      </c>
      <c r="BE70" t="s">
        <v>3</v>
      </c>
      <c r="BF70" t="s">
        <v>3</v>
      </c>
      <c r="BG70" t="s">
        <v>3</v>
      </c>
      <c r="BH70" t="s">
        <v>3</v>
      </c>
      <c r="BI70" t="s">
        <v>3</v>
      </c>
      <c r="BJ70" t="s">
        <v>3357</v>
      </c>
      <c r="BK70" t="s">
        <v>3</v>
      </c>
      <c r="BL70" t="s">
        <v>132</v>
      </c>
      <c r="BM70" t="s">
        <v>1</v>
      </c>
      <c r="BN70">
        <f>Tabla1[[#This Row],[precio del paquete]]</f>
        <v>14800</v>
      </c>
      <c r="BO70" t="s">
        <v>1</v>
      </c>
      <c r="BP70" t="s">
        <v>1</v>
      </c>
      <c r="BQ70" t="s">
        <v>1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3382</v>
      </c>
      <c r="CD70" t="str" cm="1">
        <f t="array" aca="1" ref="CD70" ca="1">eConcatenar(A70:CB70,"|")</f>
        <v>HvDeqWvoPv5ZkLjb|CAR2022-0660|3|MEMORIAL|TABASCO|CARDENAS|CARDENAS|2022-02-03|14800|0|100|50|0|0|0|0|0|0|0|0|0|0|0||0|0|0|LEON|DE DIOS|DARELIZ|SOLTERO|X|X|ENTRADA DEL PUENTE EL UVERO|SANTANA PRIMERA SECCION|X|X|X|X|X|ENTRADA DEL PUENTE EL UVERO|X|LUNES|x|x|x|x|x|DOMICILIO |100|14700|X|X|X|2022-02-03|2022-02-10|x|x|x|x|x|QWZBUES49KVTQO|x|HOMBRE|X|14800|X|X|X|X|X|X|X|X|CARDENAS|X|X|X|X|FINAL</v>
      </c>
    </row>
    <row r="71" spans="1:82" x14ac:dyDescent="0.25">
      <c r="A71" t="s">
        <v>266</v>
      </c>
      <c r="B71" t="s">
        <v>267</v>
      </c>
      <c r="C71">
        <v>3</v>
      </c>
      <c r="D71" t="s">
        <v>1369</v>
      </c>
      <c r="E71" t="s">
        <v>1380</v>
      </c>
      <c r="F71" t="s">
        <v>0</v>
      </c>
      <c r="G71" t="s">
        <v>0</v>
      </c>
      <c r="H71" t="s">
        <v>1394</v>
      </c>
      <c r="I71">
        <v>14800</v>
      </c>
      <c r="J71">
        <v>0</v>
      </c>
      <c r="K71">
        <v>50</v>
      </c>
      <c r="L71">
        <v>50</v>
      </c>
      <c r="M71">
        <v>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 t="s">
        <v>1818</v>
      </c>
      <c r="AC71" t="s">
        <v>1713</v>
      </c>
      <c r="AD71" s="18" t="s">
        <v>1819</v>
      </c>
      <c r="AE71" t="s">
        <v>4</v>
      </c>
      <c r="AF71" t="s">
        <v>1</v>
      </c>
      <c r="AG71" t="s">
        <v>1</v>
      </c>
      <c r="AH71" t="s">
        <v>2465</v>
      </c>
      <c r="AI71" t="s">
        <v>3008</v>
      </c>
      <c r="AJ71" t="s">
        <v>1</v>
      </c>
      <c r="AK71" t="s">
        <v>1</v>
      </c>
      <c r="AL71" t="s">
        <v>1</v>
      </c>
      <c r="AM71" t="s">
        <v>1</v>
      </c>
      <c r="AN71" t="s">
        <v>1</v>
      </c>
      <c r="AO71" t="s">
        <v>2465</v>
      </c>
      <c r="AP71" t="s">
        <v>1</v>
      </c>
      <c r="AQ71" t="s">
        <v>2</v>
      </c>
      <c r="AR71" t="s">
        <v>3</v>
      </c>
      <c r="AS71" t="s">
        <v>3</v>
      </c>
      <c r="AT71" t="s">
        <v>3</v>
      </c>
      <c r="AU71" t="s">
        <v>3</v>
      </c>
      <c r="AV71" t="s">
        <v>3</v>
      </c>
      <c r="AW71" t="s">
        <v>11</v>
      </c>
      <c r="AX71">
        <f>Tabla1[[#This Row],[precio del paquete]]-Tabla1[[#This Row],[Saldo_Deudor]]</f>
        <v>50</v>
      </c>
      <c r="AY71">
        <v>14750</v>
      </c>
      <c r="AZ71" t="s">
        <v>1</v>
      </c>
      <c r="BA71" t="s">
        <v>1</v>
      </c>
      <c r="BB71" t="s">
        <v>1</v>
      </c>
      <c r="BC71" t="s">
        <v>1394</v>
      </c>
      <c r="BD71" t="s">
        <v>1400</v>
      </c>
      <c r="BE71" t="s">
        <v>3</v>
      </c>
      <c r="BF71" t="s">
        <v>3</v>
      </c>
      <c r="BG71" t="s">
        <v>3</v>
      </c>
      <c r="BH71" t="s">
        <v>3</v>
      </c>
      <c r="BI71" t="s">
        <v>3</v>
      </c>
      <c r="BJ71" t="s">
        <v>3357</v>
      </c>
      <c r="BK71" t="s">
        <v>3</v>
      </c>
      <c r="BL71" t="s">
        <v>132</v>
      </c>
      <c r="BM71" t="s">
        <v>1</v>
      </c>
      <c r="BN71">
        <f>Tabla1[[#This Row],[precio del paquete]]</f>
        <v>14800</v>
      </c>
      <c r="BO71" t="s">
        <v>1</v>
      </c>
      <c r="BP71" t="s">
        <v>1</v>
      </c>
      <c r="BQ71" t="s">
        <v>1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3382</v>
      </c>
      <c r="CD71" t="str" cm="1">
        <f t="array" aca="1" ref="CD71" ca="1">eConcatenar(A71:CB71,"|")</f>
        <v>OR36OaaMWbzYlRij|CAR2022-0662|3|MEMORIAL|TABASCO|CARDENAS|CARDENAS|2022-02-03|14800|0|50|50|2|0|0|0|0|0|0|0|0|0|0||0|0|0|CASTILLO|DE LA CRUZ|ADELFA|SOLTERO|X|X|CARRETERA PRINCIPAL SIN NUMERO|SANTANA PRIMERA SECCION|X|X|X|X|X|CARRETERA PRINCIPAL SIN NUMERO|X|LUNES|x|x|x|x|x|DOMICILIO |50|14750|X|X|X|2022-02-03|2022-02-10|x|x|x|x|x|QWZBUES49KVTQO|x|HOMBRE|X|14800|X|X|X|X|X|X|X|X|CARDENAS|X|X|X|X|FINAL</v>
      </c>
    </row>
    <row r="72" spans="1:82" x14ac:dyDescent="0.25">
      <c r="A72" t="s">
        <v>268</v>
      </c>
      <c r="B72" t="s">
        <v>269</v>
      </c>
      <c r="C72">
        <v>3</v>
      </c>
      <c r="D72" t="s">
        <v>1369</v>
      </c>
      <c r="E72" t="s">
        <v>1380</v>
      </c>
      <c r="F72" t="s">
        <v>0</v>
      </c>
      <c r="G72" t="s">
        <v>0</v>
      </c>
      <c r="H72" t="s">
        <v>1394</v>
      </c>
      <c r="I72">
        <v>14800</v>
      </c>
      <c r="J72">
        <v>0</v>
      </c>
      <c r="K72">
        <v>200</v>
      </c>
      <c r="L72">
        <v>50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 t="s">
        <v>1820</v>
      </c>
      <c r="AC72" t="s">
        <v>1816</v>
      </c>
      <c r="AD72" s="18" t="s">
        <v>1821</v>
      </c>
      <c r="AE72" t="s">
        <v>4</v>
      </c>
      <c r="AF72" t="s">
        <v>1</v>
      </c>
      <c r="AG72" t="s">
        <v>1</v>
      </c>
      <c r="AH72" t="s">
        <v>2465</v>
      </c>
      <c r="AI72" t="s">
        <v>3008</v>
      </c>
      <c r="AJ72" t="s">
        <v>1</v>
      </c>
      <c r="AK72" t="s">
        <v>1</v>
      </c>
      <c r="AL72" t="s">
        <v>1</v>
      </c>
      <c r="AM72" t="s">
        <v>1</v>
      </c>
      <c r="AN72" t="s">
        <v>1</v>
      </c>
      <c r="AO72" t="s">
        <v>2465</v>
      </c>
      <c r="AP72" t="s">
        <v>1</v>
      </c>
      <c r="AQ72" t="s">
        <v>2</v>
      </c>
      <c r="AR72" t="s">
        <v>3</v>
      </c>
      <c r="AS72" t="s">
        <v>3</v>
      </c>
      <c r="AT72" t="s">
        <v>3</v>
      </c>
      <c r="AU72" t="s">
        <v>3</v>
      </c>
      <c r="AV72" t="s">
        <v>3</v>
      </c>
      <c r="AW72" t="s">
        <v>11</v>
      </c>
      <c r="AX72">
        <f>Tabla1[[#This Row],[precio del paquete]]-Tabla1[[#This Row],[Saldo_Deudor]]</f>
        <v>200</v>
      </c>
      <c r="AY72">
        <v>14600</v>
      </c>
      <c r="AZ72" t="s">
        <v>1</v>
      </c>
      <c r="BA72" t="s">
        <v>1</v>
      </c>
      <c r="BB72" t="s">
        <v>1</v>
      </c>
      <c r="BC72" t="s">
        <v>1394</v>
      </c>
      <c r="BD72" t="s">
        <v>1400</v>
      </c>
      <c r="BE72" t="s">
        <v>3</v>
      </c>
      <c r="BF72" t="s">
        <v>3</v>
      </c>
      <c r="BG72" t="s">
        <v>3</v>
      </c>
      <c r="BH72" t="s">
        <v>3</v>
      </c>
      <c r="BI72" t="s">
        <v>3</v>
      </c>
      <c r="BJ72" t="s">
        <v>3357</v>
      </c>
      <c r="BK72" t="s">
        <v>3</v>
      </c>
      <c r="BL72" t="s">
        <v>132</v>
      </c>
      <c r="BM72" t="s">
        <v>1</v>
      </c>
      <c r="BN72">
        <f>Tabla1[[#This Row],[precio del paquete]]</f>
        <v>14800</v>
      </c>
      <c r="BO72" t="s">
        <v>1</v>
      </c>
      <c r="BP72" t="s">
        <v>1</v>
      </c>
      <c r="BQ72" t="s">
        <v>1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3382</v>
      </c>
      <c r="CD72" t="str" cm="1">
        <f t="array" aca="1" ref="CD72" ca="1">eConcatenar(A72:CB72,"|")</f>
        <v>qbWDbZqZWDqePL2q|CAR2022-0656|3|MEMORIAL|TABASCO|CARDENAS|CARDENAS|2022-02-03|14800|0|200|50|1|0|0|0|0|0|0|0|0|0|0||0|0|0|MONTEJO|DE DIOS|CRISTEL|SOLTERO|X|X|CARRETERA PRINCIPAL SIN NUMERO|SANTANA PRIMERA SECCION|X|X|X|X|X|CARRETERA PRINCIPAL SIN NUMERO|X|LUNES|x|x|x|x|x|DOMICILIO |200|14600|X|X|X|2022-02-03|2022-02-10|x|x|x|x|x|QWZBUES49KVTQO|x|HOMBRE|X|14800|X|X|X|X|X|X|X|X|CARDENAS|X|X|X|X|FINAL</v>
      </c>
    </row>
    <row r="73" spans="1:82" x14ac:dyDescent="0.25">
      <c r="A73" t="s">
        <v>270</v>
      </c>
      <c r="B73" t="s">
        <v>271</v>
      </c>
      <c r="C73">
        <v>3</v>
      </c>
      <c r="D73" t="s">
        <v>1369</v>
      </c>
      <c r="E73" t="s">
        <v>1380</v>
      </c>
      <c r="F73" t="s">
        <v>0</v>
      </c>
      <c r="G73" t="s">
        <v>0</v>
      </c>
      <c r="H73" t="s">
        <v>1394</v>
      </c>
      <c r="I73">
        <v>14800</v>
      </c>
      <c r="J73">
        <v>0</v>
      </c>
      <c r="K73">
        <v>100</v>
      </c>
      <c r="L73">
        <v>50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 t="s">
        <v>1748</v>
      </c>
      <c r="AC73" t="s">
        <v>1758</v>
      </c>
      <c r="AD73" s="18" t="s">
        <v>1822</v>
      </c>
      <c r="AE73" t="s">
        <v>4</v>
      </c>
      <c r="AF73" t="s">
        <v>1</v>
      </c>
      <c r="AG73" t="s">
        <v>1</v>
      </c>
      <c r="AH73" t="s">
        <v>2465</v>
      </c>
      <c r="AI73" t="s">
        <v>3008</v>
      </c>
      <c r="AJ73" t="s">
        <v>1</v>
      </c>
      <c r="AK73" t="s">
        <v>1</v>
      </c>
      <c r="AL73" t="s">
        <v>1</v>
      </c>
      <c r="AM73" t="s">
        <v>1</v>
      </c>
      <c r="AN73" t="s">
        <v>1</v>
      </c>
      <c r="AO73" t="s">
        <v>2465</v>
      </c>
      <c r="AP73" t="s">
        <v>1</v>
      </c>
      <c r="AQ73" t="s">
        <v>2</v>
      </c>
      <c r="AR73" t="s">
        <v>3</v>
      </c>
      <c r="AS73" t="s">
        <v>3</v>
      </c>
      <c r="AT73" t="s">
        <v>3</v>
      </c>
      <c r="AU73" t="s">
        <v>3</v>
      </c>
      <c r="AV73" t="s">
        <v>3</v>
      </c>
      <c r="AW73" t="s">
        <v>11</v>
      </c>
      <c r="AX73">
        <f>Tabla1[[#This Row],[precio del paquete]]-Tabla1[[#This Row],[Saldo_Deudor]]</f>
        <v>100</v>
      </c>
      <c r="AY73">
        <v>14700</v>
      </c>
      <c r="AZ73" t="s">
        <v>1</v>
      </c>
      <c r="BA73" t="s">
        <v>1</v>
      </c>
      <c r="BB73" t="s">
        <v>1</v>
      </c>
      <c r="BC73" t="s">
        <v>1394</v>
      </c>
      <c r="BD73" t="s">
        <v>1400</v>
      </c>
      <c r="BE73" t="s">
        <v>3</v>
      </c>
      <c r="BF73" t="s">
        <v>3</v>
      </c>
      <c r="BG73" t="s">
        <v>3</v>
      </c>
      <c r="BH73" t="s">
        <v>3</v>
      </c>
      <c r="BI73" t="s">
        <v>3</v>
      </c>
      <c r="BJ73" t="s">
        <v>3365</v>
      </c>
      <c r="BK73" t="s">
        <v>3</v>
      </c>
      <c r="BL73" t="s">
        <v>132</v>
      </c>
      <c r="BM73" t="s">
        <v>1</v>
      </c>
      <c r="BN73">
        <f>Tabla1[[#This Row],[precio del paquete]]</f>
        <v>14800</v>
      </c>
      <c r="BO73" t="s">
        <v>1</v>
      </c>
      <c r="BP73" t="s">
        <v>1</v>
      </c>
      <c r="BQ73" t="s">
        <v>1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3382</v>
      </c>
      <c r="CD73" t="str" cm="1">
        <f t="array" aca="1" ref="CD73" ca="1">eConcatenar(A73:CB73,"|")</f>
        <v>Aub3Jsq2iZjP2Adg|CAR2022-0657|3|MEMORIAL|TABASCO|CARDENAS|CARDENAS|2022-02-03|14800|0|100|50|0|0|0|0|0|0|0|0|0|0|0||0|0|0|JIMENEZ|ARIAS|JOSE DEL CARMEN|SOLTERO|X|X|CARRETERA PRINCIPAL SIN NUMERO|SANTANA PRIMERA SECCION|X|X|X|X|X|CARRETERA PRINCIPAL SIN NUMERO|X|LUNES|x|x|x|x|x|DOMICILIO |100|14700|X|X|X|2022-02-03|2022-02-10|x|x|x|x|x|VGPXMZBAHZ6IEPI|x|HOMBRE|X|14800|X|X|X|X|X|X|X|X|CARDENAS|X|X|X|X|FINAL</v>
      </c>
    </row>
    <row r="74" spans="1:82" x14ac:dyDescent="0.25">
      <c r="A74" t="s">
        <v>272</v>
      </c>
      <c r="B74" t="s">
        <v>273</v>
      </c>
      <c r="C74">
        <v>3</v>
      </c>
      <c r="D74" t="s">
        <v>1369</v>
      </c>
      <c r="E74" t="s">
        <v>1380</v>
      </c>
      <c r="F74" t="s">
        <v>0</v>
      </c>
      <c r="G74" t="s">
        <v>0</v>
      </c>
      <c r="H74" t="s">
        <v>1394</v>
      </c>
      <c r="I74">
        <v>14800</v>
      </c>
      <c r="J74">
        <v>0</v>
      </c>
      <c r="K74">
        <v>50</v>
      </c>
      <c r="L74">
        <v>50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 t="s">
        <v>1816</v>
      </c>
      <c r="AC74" t="s">
        <v>1707</v>
      </c>
      <c r="AD74" s="18" t="s">
        <v>1823</v>
      </c>
      <c r="AE74" t="s">
        <v>4</v>
      </c>
      <c r="AF74" t="s">
        <v>1</v>
      </c>
      <c r="AG74" t="s">
        <v>1</v>
      </c>
      <c r="AH74" t="s">
        <v>2465</v>
      </c>
      <c r="AI74" t="s">
        <v>3008</v>
      </c>
      <c r="AJ74" t="s">
        <v>1</v>
      </c>
      <c r="AK74" t="s">
        <v>1</v>
      </c>
      <c r="AL74" t="s">
        <v>1</v>
      </c>
      <c r="AM74" t="s">
        <v>1</v>
      </c>
      <c r="AN74" t="s">
        <v>1</v>
      </c>
      <c r="AO74" t="s">
        <v>2465</v>
      </c>
      <c r="AP74" t="s">
        <v>1</v>
      </c>
      <c r="AQ74" t="s">
        <v>2</v>
      </c>
      <c r="AR74" t="s">
        <v>3</v>
      </c>
      <c r="AS74" t="s">
        <v>3</v>
      </c>
      <c r="AT74" t="s">
        <v>3</v>
      </c>
      <c r="AU74" t="s">
        <v>3</v>
      </c>
      <c r="AV74" t="s">
        <v>3</v>
      </c>
      <c r="AW74" t="s">
        <v>11</v>
      </c>
      <c r="AX74">
        <f>Tabla1[[#This Row],[precio del paquete]]-Tabla1[[#This Row],[Saldo_Deudor]]</f>
        <v>50</v>
      </c>
      <c r="AY74">
        <v>14750</v>
      </c>
      <c r="AZ74" t="s">
        <v>1</v>
      </c>
      <c r="BA74" t="s">
        <v>1</v>
      </c>
      <c r="BB74" t="s">
        <v>1</v>
      </c>
      <c r="BC74" t="s">
        <v>1394</v>
      </c>
      <c r="BD74" t="s">
        <v>1400</v>
      </c>
      <c r="BE74" t="s">
        <v>3</v>
      </c>
      <c r="BF74" t="s">
        <v>3</v>
      </c>
      <c r="BG74" t="s">
        <v>3</v>
      </c>
      <c r="BH74" t="s">
        <v>3</v>
      </c>
      <c r="BI74" t="s">
        <v>3</v>
      </c>
      <c r="BJ74" t="s">
        <v>3365</v>
      </c>
      <c r="BK74" t="s">
        <v>3</v>
      </c>
      <c r="BL74" t="s">
        <v>132</v>
      </c>
      <c r="BM74" t="s">
        <v>1</v>
      </c>
      <c r="BN74">
        <f>Tabla1[[#This Row],[precio del paquete]]</f>
        <v>14800</v>
      </c>
      <c r="BO74" t="s">
        <v>1</v>
      </c>
      <c r="BP74" t="s">
        <v>1</v>
      </c>
      <c r="BQ74" t="s">
        <v>1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3382</v>
      </c>
      <c r="CD74" t="str" cm="1">
        <f t="array" aca="1" ref="CD74" ca="1">eConcatenar(A74:CB74,"|")</f>
        <v>6j8IgbiBYED4aq27|CAR2022-0659|3|MEMORIAL|TABASCO|CARDENAS|CARDENAS|2022-02-03|14800|0|50|50|0|0|0|0|0|0|0|0|0|0|0||0|0|0|DE DIOS|OLAN|JANET|SOLTERO|X|X|CARRETERA PRINCIPAL SIN NUMERO|SANTANA PRIMERA SECCION|X|X|X|X|X|CARRETERA PRINCIPAL SIN NUMERO|X|LUNES|x|x|x|x|x|DOMICILIO |50|14750|X|X|X|2022-02-03|2022-02-10|x|x|x|x|x|VGPXMZBAHZ6IEPI|x|HOMBRE|X|14800|X|X|X|X|X|X|X|X|CARDENAS|X|X|X|X|FINAL</v>
      </c>
    </row>
    <row r="75" spans="1:82" x14ac:dyDescent="0.25">
      <c r="A75" t="s">
        <v>274</v>
      </c>
      <c r="B75" t="s">
        <v>275</v>
      </c>
      <c r="C75">
        <v>3</v>
      </c>
      <c r="D75" t="s">
        <v>1368</v>
      </c>
      <c r="E75" t="s">
        <v>1380</v>
      </c>
      <c r="F75" t="s">
        <v>0</v>
      </c>
      <c r="G75" t="s">
        <v>0</v>
      </c>
      <c r="H75" t="s">
        <v>1394</v>
      </c>
      <c r="I75">
        <v>24500</v>
      </c>
      <c r="J75">
        <v>0</v>
      </c>
      <c r="K75">
        <v>100</v>
      </c>
      <c r="L75">
        <v>50</v>
      </c>
      <c r="M75">
        <v>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 t="s">
        <v>1707</v>
      </c>
      <c r="AC75" t="s">
        <v>1816</v>
      </c>
      <c r="AD75" s="18" t="s">
        <v>1824</v>
      </c>
      <c r="AE75" t="s">
        <v>4</v>
      </c>
      <c r="AF75" t="s">
        <v>1</v>
      </c>
      <c r="AG75" t="s">
        <v>1</v>
      </c>
      <c r="AH75" t="s">
        <v>2508</v>
      </c>
      <c r="AI75" t="s">
        <v>3008</v>
      </c>
      <c r="AJ75" t="s">
        <v>1</v>
      </c>
      <c r="AK75" t="s">
        <v>1</v>
      </c>
      <c r="AL75" t="s">
        <v>1</v>
      </c>
      <c r="AM75" t="s">
        <v>1</v>
      </c>
      <c r="AN75" t="s">
        <v>1</v>
      </c>
      <c r="AO75" t="s">
        <v>2508</v>
      </c>
      <c r="AP75" t="s">
        <v>1</v>
      </c>
      <c r="AQ75" t="s">
        <v>2</v>
      </c>
      <c r="AR75" t="s">
        <v>3</v>
      </c>
      <c r="AS75" t="s">
        <v>3</v>
      </c>
      <c r="AT75" t="s">
        <v>3</v>
      </c>
      <c r="AU75" t="s">
        <v>3</v>
      </c>
      <c r="AV75" t="s">
        <v>3</v>
      </c>
      <c r="AW75" t="s">
        <v>11</v>
      </c>
      <c r="AX75">
        <f>Tabla1[[#This Row],[precio del paquete]]-Tabla1[[#This Row],[Saldo_Deudor]]</f>
        <v>100</v>
      </c>
      <c r="AY75">
        <v>24400</v>
      </c>
      <c r="AZ75" t="s">
        <v>1</v>
      </c>
      <c r="BA75" t="s">
        <v>1</v>
      </c>
      <c r="BB75" t="s">
        <v>1</v>
      </c>
      <c r="BC75" t="s">
        <v>1394</v>
      </c>
      <c r="BD75" t="s">
        <v>1400</v>
      </c>
      <c r="BE75" t="s">
        <v>3</v>
      </c>
      <c r="BF75" t="s">
        <v>3</v>
      </c>
      <c r="BG75" t="s">
        <v>3</v>
      </c>
      <c r="BH75" t="s">
        <v>3</v>
      </c>
      <c r="BI75" t="s">
        <v>3</v>
      </c>
      <c r="BJ75" t="s">
        <v>3365</v>
      </c>
      <c r="BK75" t="s">
        <v>3</v>
      </c>
      <c r="BL75" t="s">
        <v>132</v>
      </c>
      <c r="BM75" t="s">
        <v>1</v>
      </c>
      <c r="BN75">
        <f>Tabla1[[#This Row],[precio del paquete]]</f>
        <v>24500</v>
      </c>
      <c r="BO75" t="s">
        <v>1</v>
      </c>
      <c r="BP75" t="s">
        <v>1</v>
      </c>
      <c r="BQ75" t="s">
        <v>1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3382</v>
      </c>
      <c r="CD75" t="str" cm="1">
        <f t="array" aca="1" ref="CD75" ca="1">eConcatenar(A75:CB75,"|")</f>
        <v>5CuahtKUPEfIKnF5|CAR2022-0658|3|DIGNITY|TABASCO|CARDENAS|CARDENAS|2022-02-03|24500|0|100|50|2|0|0|0|0|0|0|0|0|0|0||0|0|0|OLAN|DE DIOS|HERMELINDA|SOLTERO|X|X|CARRETERA PRNCIPAL SIN NUMERO|SANTANA PRIMERA SECCION|X|X|X|X|X|CARRETERA PRNCIPAL SIN NUMERO|X|LUNES|x|x|x|x|x|DOMICILIO |100|24400|X|X|X|2022-02-03|2022-02-10|x|x|x|x|x|VGPXMZBAHZ6IEPI|x|HOMBRE|X|24500|X|X|X|X|X|X|X|X|CARDENAS|X|X|X|X|FINAL</v>
      </c>
    </row>
    <row r="76" spans="1:82" x14ac:dyDescent="0.25">
      <c r="A76" t="s">
        <v>276</v>
      </c>
      <c r="B76" t="s">
        <v>277</v>
      </c>
      <c r="C76">
        <v>3</v>
      </c>
      <c r="D76" t="s">
        <v>1368</v>
      </c>
      <c r="E76" t="s">
        <v>1380</v>
      </c>
      <c r="F76" t="s">
        <v>1381</v>
      </c>
      <c r="G76" t="s">
        <v>1381</v>
      </c>
      <c r="H76" t="s">
        <v>1394</v>
      </c>
      <c r="I76">
        <v>24500</v>
      </c>
      <c r="J76">
        <v>0</v>
      </c>
      <c r="K76">
        <v>500</v>
      </c>
      <c r="L76">
        <v>50</v>
      </c>
      <c r="M76">
        <v>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 t="s">
        <v>1731</v>
      </c>
      <c r="AC76" t="s">
        <v>1825</v>
      </c>
      <c r="AD76" s="18" t="s">
        <v>1826</v>
      </c>
      <c r="AE76" t="s">
        <v>4</v>
      </c>
      <c r="AF76" t="s">
        <v>1</v>
      </c>
      <c r="AG76" t="s">
        <v>1</v>
      </c>
      <c r="AH76" t="s">
        <v>2509</v>
      </c>
      <c r="AI76" t="s">
        <v>3009</v>
      </c>
      <c r="AJ76" t="s">
        <v>1</v>
      </c>
      <c r="AK76" t="s">
        <v>1</v>
      </c>
      <c r="AL76" t="s">
        <v>1</v>
      </c>
      <c r="AM76" t="s">
        <v>1</v>
      </c>
      <c r="AN76" t="s">
        <v>1</v>
      </c>
      <c r="AO76" t="s">
        <v>2509</v>
      </c>
      <c r="AP76" t="s">
        <v>1</v>
      </c>
      <c r="AQ76" t="s">
        <v>2</v>
      </c>
      <c r="AR76" t="s">
        <v>3</v>
      </c>
      <c r="AS76" t="s">
        <v>3</v>
      </c>
      <c r="AT76" t="s">
        <v>3</v>
      </c>
      <c r="AU76" t="s">
        <v>3</v>
      </c>
      <c r="AV76" t="s">
        <v>3</v>
      </c>
      <c r="AW76" t="s">
        <v>11</v>
      </c>
      <c r="AX76">
        <f>Tabla1[[#This Row],[precio del paquete]]-Tabla1[[#This Row],[Saldo_Deudor]]</f>
        <v>500</v>
      </c>
      <c r="AY76">
        <v>24000</v>
      </c>
      <c r="AZ76" t="s">
        <v>1</v>
      </c>
      <c r="BA76" t="s">
        <v>1</v>
      </c>
      <c r="BB76" t="s">
        <v>1</v>
      </c>
      <c r="BC76" t="s">
        <v>1394</v>
      </c>
      <c r="BD76" t="s">
        <v>1400</v>
      </c>
      <c r="BE76" t="s">
        <v>3</v>
      </c>
      <c r="BF76" t="s">
        <v>3</v>
      </c>
      <c r="BG76" t="s">
        <v>3</v>
      </c>
      <c r="BH76" t="s">
        <v>3</v>
      </c>
      <c r="BI76" t="s">
        <v>3</v>
      </c>
      <c r="BJ76" t="s">
        <v>3366</v>
      </c>
      <c r="BK76" t="s">
        <v>3</v>
      </c>
      <c r="BL76" t="s">
        <v>132</v>
      </c>
      <c r="BM76" t="s">
        <v>1</v>
      </c>
      <c r="BN76">
        <f>Tabla1[[#This Row],[precio del paquete]]</f>
        <v>24500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3382</v>
      </c>
      <c r="CD76" t="str" cm="1">
        <f t="array" aca="1" ref="CD76" ca="1">eConcatenar(A76:CB76,"|")</f>
        <v>0NpPpkiMiShpC9Tn|CAR2022-0670|3|DIGNITY|TABASCO|CUNDUACAN|CUNDUACAN|2022-02-03|24500|0|500|50|2|0|0|0|0|0|0|0|0|0|0||0|0|0|GARCIA|SILVA|GERMAN|SOLTERO|X|X|CARRETERA A MONTE GRANDE|LIBERTAD QUINTA SECCION|X|X|X|X|X|CARRETERA A MONTE GRANDE|X|LUNES|x|x|x|x|x|DOMICILIO |500|24000|X|X|X|2022-02-03|2022-02-10|x|x|x|x|x|YCRYFAU92K60AMA|x|HOMBRE|X|24500|X|X|X|X|X|X|X|X|CARDENAS|X|X|X|X|FINAL</v>
      </c>
    </row>
    <row r="77" spans="1:82" x14ac:dyDescent="0.25">
      <c r="A77" t="s">
        <v>278</v>
      </c>
      <c r="B77" t="s">
        <v>279</v>
      </c>
      <c r="C77">
        <v>3</v>
      </c>
      <c r="D77" t="s">
        <v>1369</v>
      </c>
      <c r="E77" t="s">
        <v>1380</v>
      </c>
      <c r="F77" t="s">
        <v>1381</v>
      </c>
      <c r="G77" t="s">
        <v>1381</v>
      </c>
      <c r="H77" t="s">
        <v>1394</v>
      </c>
      <c r="I77">
        <v>14800</v>
      </c>
      <c r="J77">
        <v>0</v>
      </c>
      <c r="K77">
        <v>100</v>
      </c>
      <c r="L77">
        <v>50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 t="s">
        <v>1711</v>
      </c>
      <c r="AC77" t="s">
        <v>1769</v>
      </c>
      <c r="AD77" s="18" t="s">
        <v>1827</v>
      </c>
      <c r="AE77" t="s">
        <v>4</v>
      </c>
      <c r="AF77" t="s">
        <v>1</v>
      </c>
      <c r="AG77" t="s">
        <v>1</v>
      </c>
      <c r="AH77" t="s">
        <v>2465</v>
      </c>
      <c r="AI77" t="s">
        <v>3009</v>
      </c>
      <c r="AJ77" t="s">
        <v>1</v>
      </c>
      <c r="AK77" t="s">
        <v>1</v>
      </c>
      <c r="AL77" t="s">
        <v>1</v>
      </c>
      <c r="AM77" t="s">
        <v>1</v>
      </c>
      <c r="AN77" t="s">
        <v>1</v>
      </c>
      <c r="AO77" t="s">
        <v>2465</v>
      </c>
      <c r="AP77" t="s">
        <v>1</v>
      </c>
      <c r="AQ77" t="s">
        <v>2</v>
      </c>
      <c r="AR77" t="s">
        <v>3</v>
      </c>
      <c r="AS77" t="s">
        <v>3</v>
      </c>
      <c r="AT77" t="s">
        <v>3</v>
      </c>
      <c r="AU77" t="s">
        <v>3</v>
      </c>
      <c r="AV77" t="s">
        <v>3</v>
      </c>
      <c r="AW77" t="s">
        <v>11</v>
      </c>
      <c r="AX77">
        <f>Tabla1[[#This Row],[precio del paquete]]-Tabla1[[#This Row],[Saldo_Deudor]]</f>
        <v>100</v>
      </c>
      <c r="AY77">
        <v>14700</v>
      </c>
      <c r="AZ77" t="s">
        <v>1</v>
      </c>
      <c r="BA77" t="s">
        <v>1</v>
      </c>
      <c r="BB77" t="s">
        <v>1</v>
      </c>
      <c r="BC77" t="s">
        <v>1394</v>
      </c>
      <c r="BD77" t="s">
        <v>1400</v>
      </c>
      <c r="BE77" t="s">
        <v>3</v>
      </c>
      <c r="BF77" t="s">
        <v>3</v>
      </c>
      <c r="BG77" t="s">
        <v>3</v>
      </c>
      <c r="BH77" t="s">
        <v>3</v>
      </c>
      <c r="BI77" t="s">
        <v>3</v>
      </c>
      <c r="BJ77" t="s">
        <v>3366</v>
      </c>
      <c r="BK77" t="s">
        <v>3</v>
      </c>
      <c r="BL77" t="s">
        <v>132</v>
      </c>
      <c r="BM77" t="s">
        <v>1</v>
      </c>
      <c r="BN77">
        <f>Tabla1[[#This Row],[precio del paquete]]</f>
        <v>14800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3382</v>
      </c>
      <c r="CD77" t="str" cm="1">
        <f t="array" aca="1" ref="CD77" ca="1">eConcatenar(A77:CB77,"|")</f>
        <v>7hEYyZYE2yOLuAQB|CAR-2022-0671|3|MEMORIAL|TABASCO|CUNDUACAN|CUNDUACAN|2022-02-03|14800|0|100|50|1|0|0|0|0|0|0|0|0|0|0||0|0|0|HERNANDEZ|TORRES|ALEXANDER|SOLTERO|X|X|CARRETERA PRINCIPAL SIN NUMERO|LIBERTAD QUINTA SECCION|X|X|X|X|X|CARRETERA PRINCIPAL SIN NUMERO|X|LUNES|x|x|x|x|x|DOMICILIO |100|14700|X|X|X|2022-02-03|2022-02-10|x|x|x|x|x|YCRYFAU92K60AMA|x|HOMBRE|X|14800|X|X|X|X|X|X|X|X|CARDENAS|X|X|X|X|FINAL</v>
      </c>
    </row>
    <row r="78" spans="1:82" x14ac:dyDescent="0.25">
      <c r="A78" t="s">
        <v>280</v>
      </c>
      <c r="B78" t="s">
        <v>281</v>
      </c>
      <c r="C78">
        <v>3</v>
      </c>
      <c r="D78" t="s">
        <v>1368</v>
      </c>
      <c r="E78" t="s">
        <v>1380</v>
      </c>
      <c r="F78" t="s">
        <v>1384</v>
      </c>
      <c r="G78" t="s">
        <v>1384</v>
      </c>
      <c r="H78" t="s">
        <v>1394</v>
      </c>
      <c r="I78">
        <v>24300</v>
      </c>
      <c r="J78">
        <v>0</v>
      </c>
      <c r="K78">
        <v>500</v>
      </c>
      <c r="L78">
        <v>50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 t="s">
        <v>1828</v>
      </c>
      <c r="AC78" t="s">
        <v>1708</v>
      </c>
      <c r="AD78" s="18" t="s">
        <v>1829</v>
      </c>
      <c r="AE78" t="s">
        <v>4</v>
      </c>
      <c r="AF78" t="s">
        <v>1</v>
      </c>
      <c r="AG78" t="s">
        <v>1</v>
      </c>
      <c r="AH78" t="s">
        <v>2510</v>
      </c>
      <c r="AI78" t="s">
        <v>3010</v>
      </c>
      <c r="AJ78" t="s">
        <v>1</v>
      </c>
      <c r="AK78" t="s">
        <v>1</v>
      </c>
      <c r="AL78" t="s">
        <v>1</v>
      </c>
      <c r="AM78" t="s">
        <v>1</v>
      </c>
      <c r="AN78" t="s">
        <v>1</v>
      </c>
      <c r="AO78" t="s">
        <v>2510</v>
      </c>
      <c r="AP78" t="s">
        <v>1</v>
      </c>
      <c r="AQ78" t="s">
        <v>2</v>
      </c>
      <c r="AR78" t="s">
        <v>3</v>
      </c>
      <c r="AS78" t="s">
        <v>3</v>
      </c>
      <c r="AT78" t="s">
        <v>3</v>
      </c>
      <c r="AU78" t="s">
        <v>3</v>
      </c>
      <c r="AV78" t="s">
        <v>3</v>
      </c>
      <c r="AW78" t="s">
        <v>11</v>
      </c>
      <c r="AX78">
        <f>Tabla1[[#This Row],[precio del paquete]]-Tabla1[[#This Row],[Saldo_Deudor]]</f>
        <v>0</v>
      </c>
      <c r="AY78">
        <v>24300</v>
      </c>
      <c r="AZ78" t="s">
        <v>1</v>
      </c>
      <c r="BA78" t="s">
        <v>1</v>
      </c>
      <c r="BB78" t="s">
        <v>1</v>
      </c>
      <c r="BC78" t="s">
        <v>1394</v>
      </c>
      <c r="BD78" t="s">
        <v>1400</v>
      </c>
      <c r="BE78" t="s">
        <v>3</v>
      </c>
      <c r="BF78" t="s">
        <v>3</v>
      </c>
      <c r="BG78" t="s">
        <v>3</v>
      </c>
      <c r="BH78" t="s">
        <v>3</v>
      </c>
      <c r="BI78" t="s">
        <v>3</v>
      </c>
      <c r="BJ78" t="s">
        <v>3366</v>
      </c>
      <c r="BK78" t="s">
        <v>3</v>
      </c>
      <c r="BL78" t="s">
        <v>132</v>
      </c>
      <c r="BM78" t="s">
        <v>1</v>
      </c>
      <c r="BN78">
        <f>Tabla1[[#This Row],[precio del paquete]]</f>
        <v>24300</v>
      </c>
      <c r="BO78" t="s">
        <v>1</v>
      </c>
      <c r="BP78" t="s">
        <v>1</v>
      </c>
      <c r="BQ78" t="s">
        <v>1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3382</v>
      </c>
      <c r="CD78" t="str" cm="1">
        <f t="array" aca="1" ref="CD78" ca="1">eConcatenar(A78:CB78,"|")</f>
        <v>3tZPgxgWEkRId2xM|CAR2022-0669|3|DIGNITY|TABASCO|COMALCALCO|COMALCALCO|2022-02-03|24300|0|500|50|1|0|0|0|0|0|0|0|0|0|0||0|0|0|GALVEZ||DORA ESCOBAR|SOLTERO|X|X|CALLLE MALINCHE 202 ALTOS|SAN MIGUEL|X|X|X|X|X|CALLLE MALINCHE 202 ALTOS|X|LUNES|x|x|x|x|x|DOMICILIO |0|24300|X|X|X|2022-02-03|2022-02-10|x|x|x|x|x|YCRYFAU92K60AMA|x|HOMBRE|X|24300|X|X|X|X|X|X|X|X|CARDENAS|X|X|X|X|FINAL</v>
      </c>
    </row>
    <row r="79" spans="1:82" x14ac:dyDescent="0.25">
      <c r="A79" t="s">
        <v>282</v>
      </c>
      <c r="B79" t="s">
        <v>283</v>
      </c>
      <c r="C79">
        <v>3</v>
      </c>
      <c r="D79" t="s">
        <v>1369</v>
      </c>
      <c r="E79" t="s">
        <v>1380</v>
      </c>
      <c r="F79" t="s">
        <v>0</v>
      </c>
      <c r="G79" t="s">
        <v>0</v>
      </c>
      <c r="H79" t="s">
        <v>1389</v>
      </c>
      <c r="I79">
        <v>14800</v>
      </c>
      <c r="J79">
        <v>0</v>
      </c>
      <c r="K79">
        <v>800</v>
      </c>
      <c r="L79">
        <v>50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 t="s">
        <v>1830</v>
      </c>
      <c r="AC79" t="s">
        <v>1831</v>
      </c>
      <c r="AD79" s="18" t="s">
        <v>1832</v>
      </c>
      <c r="AE79" t="s">
        <v>4</v>
      </c>
      <c r="AF79" t="s">
        <v>1</v>
      </c>
      <c r="AG79" t="s">
        <v>1</v>
      </c>
      <c r="AH79" t="s">
        <v>2511</v>
      </c>
      <c r="AI79" t="s">
        <v>2983</v>
      </c>
      <c r="AJ79" t="s">
        <v>1</v>
      </c>
      <c r="AK79" t="s">
        <v>1</v>
      </c>
      <c r="AL79" t="s">
        <v>1</v>
      </c>
      <c r="AM79" t="s">
        <v>1</v>
      </c>
      <c r="AN79" t="s">
        <v>1</v>
      </c>
      <c r="AO79" t="s">
        <v>2511</v>
      </c>
      <c r="AP79" t="s">
        <v>1</v>
      </c>
      <c r="AQ79" t="s">
        <v>2</v>
      </c>
      <c r="AR79" t="s">
        <v>3</v>
      </c>
      <c r="AS79" t="s">
        <v>3</v>
      </c>
      <c r="AT79" t="s">
        <v>3</v>
      </c>
      <c r="AU79" t="s">
        <v>3</v>
      </c>
      <c r="AV79" t="s">
        <v>3</v>
      </c>
      <c r="AW79" t="s">
        <v>11</v>
      </c>
      <c r="AX79">
        <f>Tabla1[[#This Row],[precio del paquete]]-Tabla1[[#This Row],[Saldo_Deudor]]</f>
        <v>800</v>
      </c>
      <c r="AY79">
        <v>14000</v>
      </c>
      <c r="AZ79" t="s">
        <v>1</v>
      </c>
      <c r="BA79" t="s">
        <v>1</v>
      </c>
      <c r="BB79" t="s">
        <v>1</v>
      </c>
      <c r="BC79" t="s">
        <v>1389</v>
      </c>
      <c r="BD79" t="s">
        <v>1402</v>
      </c>
      <c r="BE79" t="s">
        <v>3</v>
      </c>
      <c r="BF79" t="s">
        <v>3</v>
      </c>
      <c r="BG79" t="s">
        <v>3</v>
      </c>
      <c r="BH79" t="s">
        <v>3</v>
      </c>
      <c r="BI79" t="s">
        <v>3</v>
      </c>
      <c r="BJ79" t="s">
        <v>3351</v>
      </c>
      <c r="BK79" t="s">
        <v>3</v>
      </c>
      <c r="BL79" t="s">
        <v>132</v>
      </c>
      <c r="BM79" t="s">
        <v>1</v>
      </c>
      <c r="BN79">
        <f>Tabla1[[#This Row],[precio del paquete]]</f>
        <v>14800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3382</v>
      </c>
      <c r="CD79" t="str" cm="1">
        <f t="array" aca="1" ref="CD79" ca="1">eConcatenar(A79:CB79,"|")</f>
        <v>ulO608sdPrpzCzp2|CAR2022-0636|3|MEMORIAL|TABASCO|CARDENAS|CARDENAS|2022-02-01|14800|0|800|50|1|0|0|0|0|0|0|0|0|0|0||0|0|0|COLORADO|ADORNO|DEBORA|SOLTERO|X|X|ENTRADA DEL COBATAB SIN NOMBRE|MIGUEL HIDALGO SEGUNDA SECCION|X|X|X|X|X|ENTRADA DEL COBATAB SIN NOMBRE|X|LUNES|x|x|x|x|x|DOMICILIO |800|14000|X|X|X|2022-02-01|2022-02-08|x|x|x|x|x|QWZHGJ0U9KVTQO|x|HOMBRE|X|14800|X|X|X|X|X|X|X|X|CARDENAS|X|X|X|X|FINAL</v>
      </c>
    </row>
    <row r="80" spans="1:82" x14ac:dyDescent="0.25">
      <c r="A80" t="s">
        <v>284</v>
      </c>
      <c r="B80" t="s">
        <v>285</v>
      </c>
      <c r="C80">
        <v>3</v>
      </c>
      <c r="D80" t="s">
        <v>1369</v>
      </c>
      <c r="E80" t="s">
        <v>1380</v>
      </c>
      <c r="F80" t="s">
        <v>0</v>
      </c>
      <c r="G80" t="s">
        <v>0</v>
      </c>
      <c r="H80" t="s">
        <v>1390</v>
      </c>
      <c r="I80">
        <v>14800</v>
      </c>
      <c r="J80">
        <v>0</v>
      </c>
      <c r="K80">
        <v>50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 t="s">
        <v>1777</v>
      </c>
      <c r="AC80" t="s">
        <v>1744</v>
      </c>
      <c r="AD80" s="18" t="s">
        <v>1718</v>
      </c>
      <c r="AE80" t="s">
        <v>4</v>
      </c>
      <c r="AF80" t="s">
        <v>1</v>
      </c>
      <c r="AG80" t="s">
        <v>1</v>
      </c>
      <c r="AH80" t="s">
        <v>2512</v>
      </c>
      <c r="AI80" t="s">
        <v>2973</v>
      </c>
      <c r="AJ80" t="s">
        <v>1</v>
      </c>
      <c r="AK80" t="s">
        <v>1</v>
      </c>
      <c r="AL80" t="s">
        <v>1</v>
      </c>
      <c r="AM80" t="s">
        <v>1</v>
      </c>
      <c r="AN80" t="s">
        <v>1</v>
      </c>
      <c r="AO80" t="s">
        <v>2512</v>
      </c>
      <c r="AP80" t="s">
        <v>1</v>
      </c>
      <c r="AQ80" t="s">
        <v>2</v>
      </c>
      <c r="AR80" t="s">
        <v>3</v>
      </c>
      <c r="AS80" t="s">
        <v>3</v>
      </c>
      <c r="AT80" t="s">
        <v>3</v>
      </c>
      <c r="AU80" t="s">
        <v>3</v>
      </c>
      <c r="AV80" t="s">
        <v>3</v>
      </c>
      <c r="AW80" t="s">
        <v>11</v>
      </c>
      <c r="AX80">
        <f>Tabla1[[#This Row],[precio del paquete]]-Tabla1[[#This Row],[Saldo_Deudor]]</f>
        <v>50</v>
      </c>
      <c r="AY80">
        <v>14750</v>
      </c>
      <c r="AZ80" t="s">
        <v>1</v>
      </c>
      <c r="BA80" t="s">
        <v>1</v>
      </c>
      <c r="BB80" t="s">
        <v>1</v>
      </c>
      <c r="BC80" t="s">
        <v>1390</v>
      </c>
      <c r="BD80" t="s">
        <v>1401</v>
      </c>
      <c r="BE80" t="s">
        <v>3</v>
      </c>
      <c r="BF80" t="s">
        <v>3</v>
      </c>
      <c r="BG80" t="s">
        <v>3</v>
      </c>
      <c r="BH80" t="s">
        <v>3</v>
      </c>
      <c r="BI80" t="s">
        <v>3</v>
      </c>
      <c r="BJ80" t="s">
        <v>3362</v>
      </c>
      <c r="BK80" t="s">
        <v>3</v>
      </c>
      <c r="BL80" t="s">
        <v>132</v>
      </c>
      <c r="BM80" t="s">
        <v>1</v>
      </c>
      <c r="BN80">
        <f>Tabla1[[#This Row],[precio del paquete]]</f>
        <v>14800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3382</v>
      </c>
      <c r="CD80" t="str" cm="1">
        <f t="array" aca="1" ref="CD80" ca="1">eConcatenar(A80:CB80,"|")</f>
        <v>RglebciggQ3TflmR|CAR2022-0643|3|MEMORIAL|TABASCO|CARDENAS|CARDENAS|2022-02-02|14800|0|50|50|0|0|0|0|0|0|0|0|0|0|0||0|0|0|ALVARADO|PEREZ|ROCIO|SOLTERO|X|X|CERRADA LOPEZ VELARDE|NUEVA ESPERANZA|X|X|X|X|X|CERRADA LOPEZ VELARDE|X|LUNES|x|x|x|x|x|DOMICILIO |50|14750|X|X|X|2022-02-02|2022-02-09|x|x|x|x|x|QX002LYO9KVTQO|x|HOMBRE|X|14800|X|X|X|X|X|X|X|X|CARDENAS|X|X|X|X|FINAL</v>
      </c>
    </row>
    <row r="81" spans="1:82" x14ac:dyDescent="0.25">
      <c r="A81" t="s">
        <v>286</v>
      </c>
      <c r="B81" t="s">
        <v>287</v>
      </c>
      <c r="C81">
        <v>3</v>
      </c>
      <c r="D81" t="s">
        <v>1369</v>
      </c>
      <c r="E81" t="s">
        <v>1380</v>
      </c>
      <c r="F81" t="s">
        <v>0</v>
      </c>
      <c r="G81" t="s">
        <v>0</v>
      </c>
      <c r="H81" t="s">
        <v>1390</v>
      </c>
      <c r="I81">
        <v>14800</v>
      </c>
      <c r="J81">
        <v>0</v>
      </c>
      <c r="K81">
        <v>100</v>
      </c>
      <c r="L81">
        <v>50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 t="s">
        <v>1777</v>
      </c>
      <c r="AC81" t="s">
        <v>7</v>
      </c>
      <c r="AD81" s="18" t="s">
        <v>1833</v>
      </c>
      <c r="AE81" t="s">
        <v>4</v>
      </c>
      <c r="AF81" t="s">
        <v>1</v>
      </c>
      <c r="AG81" t="s">
        <v>1</v>
      </c>
      <c r="AH81" t="s">
        <v>2513</v>
      </c>
      <c r="AI81" t="s">
        <v>2977</v>
      </c>
      <c r="AJ81" t="s">
        <v>1</v>
      </c>
      <c r="AK81" t="s">
        <v>1</v>
      </c>
      <c r="AL81" t="s">
        <v>1</v>
      </c>
      <c r="AM81" t="s">
        <v>1</v>
      </c>
      <c r="AN81" t="s">
        <v>1</v>
      </c>
      <c r="AO81" t="s">
        <v>2513</v>
      </c>
      <c r="AP81" t="s">
        <v>1</v>
      </c>
      <c r="AQ81" t="s">
        <v>2</v>
      </c>
      <c r="AR81" t="s">
        <v>3</v>
      </c>
      <c r="AS81" t="s">
        <v>3</v>
      </c>
      <c r="AT81" t="s">
        <v>3</v>
      </c>
      <c r="AU81" t="s">
        <v>3</v>
      </c>
      <c r="AV81" t="s">
        <v>3</v>
      </c>
      <c r="AW81" t="s">
        <v>11</v>
      </c>
      <c r="AX81">
        <f>Tabla1[[#This Row],[precio del paquete]]-Tabla1[[#This Row],[Saldo_Deudor]]</f>
        <v>100</v>
      </c>
      <c r="AY81">
        <v>14700</v>
      </c>
      <c r="AZ81" t="s">
        <v>1</v>
      </c>
      <c r="BA81" t="s">
        <v>1</v>
      </c>
      <c r="BB81" t="s">
        <v>1</v>
      </c>
      <c r="BC81" t="s">
        <v>1390</v>
      </c>
      <c r="BD81" t="s">
        <v>1401</v>
      </c>
      <c r="BE81" t="s">
        <v>3</v>
      </c>
      <c r="BF81" t="s">
        <v>3</v>
      </c>
      <c r="BG81" t="s">
        <v>3</v>
      </c>
      <c r="BH81" t="s">
        <v>3</v>
      </c>
      <c r="BI81" t="s">
        <v>3</v>
      </c>
      <c r="BJ81" t="s">
        <v>3355</v>
      </c>
      <c r="BK81" t="s">
        <v>3</v>
      </c>
      <c r="BL81" t="s">
        <v>132</v>
      </c>
      <c r="BM81" t="s">
        <v>1</v>
      </c>
      <c r="BN81">
        <f>Tabla1[[#This Row],[precio del paquete]]</f>
        <v>14800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3382</v>
      </c>
      <c r="CD81" t="str" cm="1">
        <f t="array" aca="1" ref="CD81" ca="1">eConcatenar(A81:CB81,"|")</f>
        <v>GDQNRpe1z3W5sWAv|CAR2022-0638|3|MEMORIAL|TABASCO|CARDENAS|CARDENAS|2022-02-02|14800|0|100|50|1|0|0|0|0|0|0|0|0|0|0||0|0|0|ALVARADO|LOPEZ|MARIA CRISTIAN|SOLTERO|X|X|CALLE NUMERO 5 CASA NUMERO 117|HABANERO PRIMERA SECCION|X|X|X|X|X|CALLE NUMERO 5 CASA NUMERO 117|X|LUNES|x|x|x|x|x|DOMICILIO |100|14700|X|X|X|2022-02-02|2022-02-09|x|x|x|x|x|OQGRX80BMUHQJ2X|x|HOMBRE|X|14800|X|X|X|X|X|X|X|X|CARDENAS|X|X|X|X|FINAL</v>
      </c>
    </row>
    <row r="82" spans="1:82" x14ac:dyDescent="0.25">
      <c r="A82" t="s">
        <v>288</v>
      </c>
      <c r="B82" t="s">
        <v>289</v>
      </c>
      <c r="C82">
        <v>3</v>
      </c>
      <c r="D82" t="s">
        <v>1369</v>
      </c>
      <c r="E82" t="s">
        <v>1380</v>
      </c>
      <c r="F82" t="s">
        <v>0</v>
      </c>
      <c r="G82" t="s">
        <v>0</v>
      </c>
      <c r="H82" t="s">
        <v>1390</v>
      </c>
      <c r="I82">
        <v>14800</v>
      </c>
      <c r="J82">
        <v>0</v>
      </c>
      <c r="K82">
        <v>500</v>
      </c>
      <c r="L82">
        <v>50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 t="s">
        <v>1725</v>
      </c>
      <c r="AC82" t="s">
        <v>1739</v>
      </c>
      <c r="AD82" s="18" t="s">
        <v>1721</v>
      </c>
      <c r="AE82" t="s">
        <v>4</v>
      </c>
      <c r="AF82" t="s">
        <v>1</v>
      </c>
      <c r="AG82" t="s">
        <v>1</v>
      </c>
      <c r="AH82" t="s">
        <v>2514</v>
      </c>
      <c r="AI82" t="s">
        <v>2977</v>
      </c>
      <c r="AJ82" t="s">
        <v>1</v>
      </c>
      <c r="AK82" t="s">
        <v>1</v>
      </c>
      <c r="AL82" t="s">
        <v>1</v>
      </c>
      <c r="AM82" t="s">
        <v>1</v>
      </c>
      <c r="AN82" t="s">
        <v>1</v>
      </c>
      <c r="AO82" t="s">
        <v>2514</v>
      </c>
      <c r="AP82" t="s">
        <v>1</v>
      </c>
      <c r="AQ82" t="s">
        <v>2</v>
      </c>
      <c r="AR82" t="s">
        <v>3</v>
      </c>
      <c r="AS82" t="s">
        <v>3</v>
      </c>
      <c r="AT82" t="s">
        <v>3</v>
      </c>
      <c r="AU82" t="s">
        <v>3</v>
      </c>
      <c r="AV82" t="s">
        <v>3</v>
      </c>
      <c r="AW82" t="s">
        <v>11</v>
      </c>
      <c r="AX82">
        <f>Tabla1[[#This Row],[precio del paquete]]-Tabla1[[#This Row],[Saldo_Deudor]]</f>
        <v>2400</v>
      </c>
      <c r="AY82">
        <v>12400</v>
      </c>
      <c r="AZ82" t="s">
        <v>1</v>
      </c>
      <c r="BA82" t="s">
        <v>1</v>
      </c>
      <c r="BB82" t="s">
        <v>1</v>
      </c>
      <c r="BC82" t="s">
        <v>1390</v>
      </c>
      <c r="BD82" t="s">
        <v>1401</v>
      </c>
      <c r="BE82" t="s">
        <v>3</v>
      </c>
      <c r="BF82" t="s">
        <v>3</v>
      </c>
      <c r="BG82" t="s">
        <v>3</v>
      </c>
      <c r="BH82" t="s">
        <v>3</v>
      </c>
      <c r="BI82" t="s">
        <v>3</v>
      </c>
      <c r="BJ82" t="s">
        <v>3355</v>
      </c>
      <c r="BK82" t="s">
        <v>3</v>
      </c>
      <c r="BL82" t="s">
        <v>132</v>
      </c>
      <c r="BM82" t="s">
        <v>1</v>
      </c>
      <c r="BN82">
        <f>Tabla1[[#This Row],[precio del paquete]]</f>
        <v>14800</v>
      </c>
      <c r="BO82" t="s">
        <v>1</v>
      </c>
      <c r="BP82" t="s">
        <v>1</v>
      </c>
      <c r="BQ82" t="s">
        <v>1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3382</v>
      </c>
      <c r="CD82" t="str" cm="1">
        <f t="array" aca="1" ref="CD82" ca="1">eConcatenar(A82:CB82,"|")</f>
        <v>vxGQl0HSYtt66jRm|CAR2022-0641|3|MEMORIAL|TABASCO|CARDENAS|CARDENAS|2022-02-02|14800|0|500|50|0|0|0|0|0|0|0|0|0|0|0||0|0|0|SANTOS|DE LOS SANTOS|DOMINGO|SOLTERO|X|X|CALLE NUMERO 7 SIN NUMERO |HABANERO PRIMERA SECCION|X|X|X|X|X|CALLE NUMERO 7 SIN NUMERO |X|LUNES|x|x|x|x|x|DOMICILIO |2400|12400|X|X|X|2022-02-02|2022-02-09|x|x|x|x|x|OQGRX80BMUHQJ2X|x|HOMBRE|X|14800|X|X|X|X|X|X|X|X|CARDENAS|X|X|X|X|FINAL</v>
      </c>
    </row>
    <row r="83" spans="1:82" x14ac:dyDescent="0.25">
      <c r="A83" t="s">
        <v>290</v>
      </c>
      <c r="B83" t="s">
        <v>291</v>
      </c>
      <c r="C83">
        <v>3</v>
      </c>
      <c r="D83" t="s">
        <v>1369</v>
      </c>
      <c r="E83" t="s">
        <v>1380</v>
      </c>
      <c r="F83" t="s">
        <v>0</v>
      </c>
      <c r="G83" t="s">
        <v>0</v>
      </c>
      <c r="H83" t="s">
        <v>1389</v>
      </c>
      <c r="I83">
        <v>14800</v>
      </c>
      <c r="J83">
        <v>0</v>
      </c>
      <c r="K83">
        <v>100</v>
      </c>
      <c r="L83">
        <v>50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 t="s">
        <v>1820</v>
      </c>
      <c r="AC83" t="s">
        <v>1743</v>
      </c>
      <c r="AD83" s="18" t="s">
        <v>1834</v>
      </c>
      <c r="AE83" t="s">
        <v>4</v>
      </c>
      <c r="AF83" t="s">
        <v>1</v>
      </c>
      <c r="AG83" t="s">
        <v>1</v>
      </c>
      <c r="AH83" t="s">
        <v>2515</v>
      </c>
      <c r="AI83" t="s">
        <v>2977</v>
      </c>
      <c r="AJ83" t="s">
        <v>1</v>
      </c>
      <c r="AK83" t="s">
        <v>1</v>
      </c>
      <c r="AL83" t="s">
        <v>1</v>
      </c>
      <c r="AM83" t="s">
        <v>1</v>
      </c>
      <c r="AN83" t="s">
        <v>1</v>
      </c>
      <c r="AO83" t="s">
        <v>2515</v>
      </c>
      <c r="AP83" t="s">
        <v>1</v>
      </c>
      <c r="AQ83" t="s">
        <v>2</v>
      </c>
      <c r="AR83" t="s">
        <v>3</v>
      </c>
      <c r="AS83" t="s">
        <v>3</v>
      </c>
      <c r="AT83" t="s">
        <v>3</v>
      </c>
      <c r="AU83" t="s">
        <v>3</v>
      </c>
      <c r="AV83" t="s">
        <v>3</v>
      </c>
      <c r="AW83" t="s">
        <v>11</v>
      </c>
      <c r="AX83">
        <f>Tabla1[[#This Row],[precio del paquete]]-Tabla1[[#This Row],[Saldo_Deudor]]</f>
        <v>100</v>
      </c>
      <c r="AY83">
        <v>14700</v>
      </c>
      <c r="AZ83" t="s">
        <v>1</v>
      </c>
      <c r="BA83" t="s">
        <v>1</v>
      </c>
      <c r="BB83" t="s">
        <v>1</v>
      </c>
      <c r="BC83" t="s">
        <v>1389</v>
      </c>
      <c r="BD83" t="s">
        <v>1402</v>
      </c>
      <c r="BE83" t="s">
        <v>3</v>
      </c>
      <c r="BF83" t="s">
        <v>3</v>
      </c>
      <c r="BG83" t="s">
        <v>3</v>
      </c>
      <c r="BH83" t="s">
        <v>3</v>
      </c>
      <c r="BI83" t="s">
        <v>3</v>
      </c>
      <c r="BJ83" t="s">
        <v>3355</v>
      </c>
      <c r="BK83" t="s">
        <v>3</v>
      </c>
      <c r="BL83" t="s">
        <v>132</v>
      </c>
      <c r="BM83" t="s">
        <v>1</v>
      </c>
      <c r="BN83">
        <f>Tabla1[[#This Row],[precio del paquete]]</f>
        <v>14800</v>
      </c>
      <c r="BO83" t="s">
        <v>1</v>
      </c>
      <c r="BP83" t="s">
        <v>1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3382</v>
      </c>
      <c r="CD83" t="str" cm="1">
        <f t="array" aca="1" ref="CD83" ca="1">eConcatenar(A83:CB83,"|")</f>
        <v>Z5ojQezzxg1ljQ2a|CAR2022-0623|3|MEMORIAL|TABASCO|CARDENAS|CARDENAS|2022-02-01|14800|0|100|50|0|0|0|0|0|0|0|0|0|0|0||0|0|0|MONTEJO|DIAZ|MARTHA ELENA|SOLTERO|X|X|CALLE NUMERO 6 |HABANERO PRIMERA SECCION|X|X|X|X|X|CALLE NUMERO 6 |X|LUNES|x|x|x|x|x|DOMICILIO |100|14700|X|X|X|2022-02-01|2022-02-08|x|x|x|x|x|OQGRX80BMUHQJ2X|x|HOMBRE|X|14800|X|X|X|X|X|X|X|X|CARDENAS|X|X|X|X|FINAL</v>
      </c>
    </row>
    <row r="84" spans="1:82" x14ac:dyDescent="0.25">
      <c r="A84" t="s">
        <v>292</v>
      </c>
      <c r="B84" t="s">
        <v>293</v>
      </c>
      <c r="C84">
        <v>3</v>
      </c>
      <c r="D84" t="s">
        <v>1369</v>
      </c>
      <c r="E84" t="s">
        <v>1380</v>
      </c>
      <c r="F84" t="s">
        <v>0</v>
      </c>
      <c r="G84" t="s">
        <v>0</v>
      </c>
      <c r="H84" t="s">
        <v>1394</v>
      </c>
      <c r="I84">
        <v>14800</v>
      </c>
      <c r="J84">
        <v>0</v>
      </c>
      <c r="K84">
        <v>300</v>
      </c>
      <c r="L84">
        <v>50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 t="s">
        <v>1695</v>
      </c>
      <c r="AC84" t="s">
        <v>1708</v>
      </c>
      <c r="AD84" s="18" t="s">
        <v>1835</v>
      </c>
      <c r="AE84" t="s">
        <v>4</v>
      </c>
      <c r="AF84" t="s">
        <v>1</v>
      </c>
      <c r="AG84" t="s">
        <v>1</v>
      </c>
      <c r="AH84" t="s">
        <v>2516</v>
      </c>
      <c r="AI84" t="s">
        <v>2986</v>
      </c>
      <c r="AJ84" t="s">
        <v>1</v>
      </c>
      <c r="AK84" t="s">
        <v>1</v>
      </c>
      <c r="AL84" t="s">
        <v>1</v>
      </c>
      <c r="AM84" t="s">
        <v>1</v>
      </c>
      <c r="AN84" t="s">
        <v>1</v>
      </c>
      <c r="AO84" t="s">
        <v>2516</v>
      </c>
      <c r="AP84" t="s">
        <v>1</v>
      </c>
      <c r="AQ84" t="s">
        <v>2</v>
      </c>
      <c r="AR84" t="s">
        <v>3</v>
      </c>
      <c r="AS84" t="s">
        <v>3</v>
      </c>
      <c r="AT84" t="s">
        <v>3</v>
      </c>
      <c r="AU84" t="s">
        <v>3</v>
      </c>
      <c r="AV84" t="s">
        <v>3</v>
      </c>
      <c r="AW84" t="s">
        <v>11</v>
      </c>
      <c r="AX84">
        <f>Tabla1[[#This Row],[precio del paquete]]-Tabla1[[#This Row],[Saldo_Deudor]]</f>
        <v>300</v>
      </c>
      <c r="AY84">
        <v>14500</v>
      </c>
      <c r="AZ84" t="s">
        <v>1</v>
      </c>
      <c r="BA84" t="s">
        <v>1</v>
      </c>
      <c r="BB84" t="s">
        <v>1</v>
      </c>
      <c r="BC84" t="s">
        <v>1394</v>
      </c>
      <c r="BD84" t="s">
        <v>1400</v>
      </c>
      <c r="BE84" t="s">
        <v>3</v>
      </c>
      <c r="BF84" t="s">
        <v>3</v>
      </c>
      <c r="BG84" t="s">
        <v>3</v>
      </c>
      <c r="BH84" t="s">
        <v>3</v>
      </c>
      <c r="BI84" t="s">
        <v>3</v>
      </c>
      <c r="BJ84" t="s">
        <v>3354</v>
      </c>
      <c r="BK84" t="s">
        <v>3</v>
      </c>
      <c r="BL84" t="s">
        <v>132</v>
      </c>
      <c r="BM84" t="s">
        <v>1</v>
      </c>
      <c r="BN84">
        <f>Tabla1[[#This Row],[precio del paquete]]</f>
        <v>14800</v>
      </c>
      <c r="BO84" t="s">
        <v>1</v>
      </c>
      <c r="BP84" t="s">
        <v>1</v>
      </c>
      <c r="BQ84" t="s">
        <v>1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3382</v>
      </c>
      <c r="CD84" t="str" cm="1">
        <f t="array" aca="1" ref="CD84" ca="1">eConcatenar(A84:CB84,"|")</f>
        <v>XYBKqpx4S5eFtcHI|CAR2022-0668|3|MEMORIAL|TABASCO|CARDENAS|CARDENAS|2022-02-03|14800|0|300|50|1|0|0|0|0|0|0|0|0|0|0||0|0|0|MORALES||JUVENCIO MARIN|SOLTERO|X|X|PERIFERICO CARLOS A MOLINA SIN NUMERO|BAJIO PRIMERA SECCION|X|X|X|X|X|PERIFERICO CARLOS A MOLINA SIN NUMERO|X|LUNES|x|x|x|x|x|DOMICILIO |300|14500|X|X|X|2022-02-03|2022-02-10|x|x|x|x|x|MYEDVABVTAZ4TPF|x|HOMBRE|X|14800|X|X|X|X|X|X|X|X|CARDENAS|X|X|X|X|FINAL</v>
      </c>
    </row>
    <row r="85" spans="1:82" x14ac:dyDescent="0.25">
      <c r="A85" t="s">
        <v>294</v>
      </c>
      <c r="B85" t="s">
        <v>295</v>
      </c>
      <c r="C85">
        <v>3</v>
      </c>
      <c r="D85" t="s">
        <v>1369</v>
      </c>
      <c r="E85" t="s">
        <v>1380</v>
      </c>
      <c r="F85" t="s">
        <v>0</v>
      </c>
      <c r="G85" t="s">
        <v>0</v>
      </c>
      <c r="H85" t="s">
        <v>1391</v>
      </c>
      <c r="I85">
        <v>14800</v>
      </c>
      <c r="J85">
        <v>0</v>
      </c>
      <c r="K85">
        <v>200</v>
      </c>
      <c r="L85">
        <v>50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 t="s">
        <v>1818</v>
      </c>
      <c r="AC85" t="s">
        <v>1736</v>
      </c>
      <c r="AD85" s="18" t="s">
        <v>1836</v>
      </c>
      <c r="AE85" t="s">
        <v>4</v>
      </c>
      <c r="AF85" t="s">
        <v>1</v>
      </c>
      <c r="AG85" t="s">
        <v>1</v>
      </c>
      <c r="AH85" t="s">
        <v>2517</v>
      </c>
      <c r="AI85" t="s">
        <v>3011</v>
      </c>
      <c r="AJ85" t="s">
        <v>1</v>
      </c>
      <c r="AK85" t="s">
        <v>1</v>
      </c>
      <c r="AL85" t="s">
        <v>1</v>
      </c>
      <c r="AM85" t="s">
        <v>1</v>
      </c>
      <c r="AN85" t="s">
        <v>1</v>
      </c>
      <c r="AO85" t="s">
        <v>2517</v>
      </c>
      <c r="AP85" t="s">
        <v>1</v>
      </c>
      <c r="AQ85" t="s">
        <v>2</v>
      </c>
      <c r="AR85" t="s">
        <v>3</v>
      </c>
      <c r="AS85" t="s">
        <v>3</v>
      </c>
      <c r="AT85" t="s">
        <v>3</v>
      </c>
      <c r="AU85" t="s">
        <v>3</v>
      </c>
      <c r="AV85" t="s">
        <v>3</v>
      </c>
      <c r="AW85" t="s">
        <v>11</v>
      </c>
      <c r="AX85">
        <f>Tabla1[[#This Row],[precio del paquete]]-Tabla1[[#This Row],[Saldo_Deudor]]</f>
        <v>200</v>
      </c>
      <c r="AY85">
        <v>14600</v>
      </c>
      <c r="AZ85" t="s">
        <v>1</v>
      </c>
      <c r="BA85" t="s">
        <v>1</v>
      </c>
      <c r="BB85" t="s">
        <v>1</v>
      </c>
      <c r="BC85" t="s">
        <v>1391</v>
      </c>
      <c r="BD85" t="s">
        <v>1399</v>
      </c>
      <c r="BE85" t="s">
        <v>3</v>
      </c>
      <c r="BF85" t="s">
        <v>3</v>
      </c>
      <c r="BG85" t="s">
        <v>3</v>
      </c>
      <c r="BH85" t="s">
        <v>3</v>
      </c>
      <c r="BI85" t="s">
        <v>3</v>
      </c>
      <c r="BJ85" t="s">
        <v>3367</v>
      </c>
      <c r="BK85" t="s">
        <v>3</v>
      </c>
      <c r="BL85" t="s">
        <v>132</v>
      </c>
      <c r="BM85" t="s">
        <v>1</v>
      </c>
      <c r="BN85">
        <f>Tabla1[[#This Row],[precio del paquete]]</f>
        <v>14800</v>
      </c>
      <c r="BO85" t="s">
        <v>1</v>
      </c>
      <c r="BP85" t="s">
        <v>1</v>
      </c>
      <c r="BQ85" t="s">
        <v>1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3382</v>
      </c>
      <c r="CD85" t="str" cm="1">
        <f t="array" aca="1" ref="CD85" ca="1">eConcatenar(A85:CB85,"|")</f>
        <v>usQhp5NEL8WlqoK1|CAR2022-0691|3|MEMORIAL|TABASCO|CARDENAS|CARDENAS|2022-02-04|14800|0|200|50|0|0|0|0|0|0|0|0|0|0|0||0|0|0|CASTILLO|AGUILAR|ALCIBIADES|SOLTERO|X|X|CALLE CORREA NUMERO 3|CSAT|X|X|X|X|X|CALLE CORREA NUMERO 3|X|LUNES|x|x|x|x|x|DOMICILIO |200|14600|X|X|X|2022-02-04|2022-02-11|x|x|x|x|x|QWZBUBTG9KVTQO|x|HOMBRE|X|14800|X|X|X|X|X|X|X|X|CARDENAS|X|X|X|X|FINAL</v>
      </c>
    </row>
    <row r="86" spans="1:82" x14ac:dyDescent="0.25">
      <c r="A86" t="s">
        <v>296</v>
      </c>
      <c r="B86" t="s">
        <v>297</v>
      </c>
      <c r="C86">
        <v>3</v>
      </c>
      <c r="D86" t="s">
        <v>1369</v>
      </c>
      <c r="E86" t="s">
        <v>1380</v>
      </c>
      <c r="F86" t="s">
        <v>0</v>
      </c>
      <c r="G86" t="s">
        <v>0</v>
      </c>
      <c r="H86" t="s">
        <v>1388</v>
      </c>
      <c r="I86">
        <v>14800</v>
      </c>
      <c r="J86">
        <v>0</v>
      </c>
      <c r="K86">
        <v>50</v>
      </c>
      <c r="L86">
        <v>50</v>
      </c>
      <c r="M86">
        <v>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 t="s">
        <v>1786</v>
      </c>
      <c r="AC86" t="s">
        <v>1750</v>
      </c>
      <c r="AD86" s="18" t="s">
        <v>1837</v>
      </c>
      <c r="AE86" t="s">
        <v>4</v>
      </c>
      <c r="AF86" t="s">
        <v>1</v>
      </c>
      <c r="AG86" t="s">
        <v>1</v>
      </c>
      <c r="AH86" t="s">
        <v>2518</v>
      </c>
      <c r="AI86" t="s">
        <v>3012</v>
      </c>
      <c r="AJ86" t="s">
        <v>1</v>
      </c>
      <c r="AK86" t="s">
        <v>1</v>
      </c>
      <c r="AL86" t="s">
        <v>1</v>
      </c>
      <c r="AM86" t="s">
        <v>1</v>
      </c>
      <c r="AN86" t="s">
        <v>1</v>
      </c>
      <c r="AO86" t="s">
        <v>2518</v>
      </c>
      <c r="AP86" t="s">
        <v>1</v>
      </c>
      <c r="AQ86" t="s">
        <v>2</v>
      </c>
      <c r="AR86" t="s">
        <v>3</v>
      </c>
      <c r="AS86" t="s">
        <v>3</v>
      </c>
      <c r="AT86" t="s">
        <v>3</v>
      </c>
      <c r="AU86" t="s">
        <v>3</v>
      </c>
      <c r="AV86" t="s">
        <v>3</v>
      </c>
      <c r="AW86" t="s">
        <v>11</v>
      </c>
      <c r="AX86">
        <f>Tabla1[[#This Row],[precio del paquete]]-Tabla1[[#This Row],[Saldo_Deudor]]</f>
        <v>50</v>
      </c>
      <c r="AY86">
        <v>14750</v>
      </c>
      <c r="AZ86" t="s">
        <v>1</v>
      </c>
      <c r="BA86" t="s">
        <v>1</v>
      </c>
      <c r="BB86" t="s">
        <v>1</v>
      </c>
      <c r="BC86" t="s">
        <v>1388</v>
      </c>
      <c r="BD86" t="s">
        <v>1398</v>
      </c>
      <c r="BE86" t="s">
        <v>3</v>
      </c>
      <c r="BF86" t="s">
        <v>3</v>
      </c>
      <c r="BG86" t="s">
        <v>3</v>
      </c>
      <c r="BH86" t="s">
        <v>3</v>
      </c>
      <c r="BI86" t="s">
        <v>3</v>
      </c>
      <c r="BJ86" t="s">
        <v>3355</v>
      </c>
      <c r="BK86" t="s">
        <v>3</v>
      </c>
      <c r="BL86" t="s">
        <v>132</v>
      </c>
      <c r="BM86" t="s">
        <v>1</v>
      </c>
      <c r="BN86">
        <f>Tabla1[[#This Row],[precio del paquete]]</f>
        <v>14800</v>
      </c>
      <c r="BO86" t="s">
        <v>1</v>
      </c>
      <c r="BP86" t="s">
        <v>1</v>
      </c>
      <c r="BQ86" t="s">
        <v>1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3382</v>
      </c>
      <c r="CD86" t="str" cm="1">
        <f t="array" aca="1" ref="CD86" ca="1">eConcatenar(A86:CB86,"|")</f>
        <v>PvzgpU8dfxpE0CuV|CAR2022-0806|3|MEMORIAL|TABASCO|CARDENAS|CARDENAS|2022-02-05|14800|0|50|50|2|0|0|0|0|0|0|0|0|0|0||0|0|0|MARTINEZ|IZQUIERDO|HECTOR|SOLTERO|X|X|ANDADOR NUMERO 4 CASA NUMERO 1|CAMPAMENTO SARH|X|X|X|X|X|ANDADOR NUMERO 4 CASA NUMERO 1|X|LUNES|x|x|x|x|x|DOMICILIO |50|14750|X|X|X|2022-02-05|2022-02-12|x|x|x|x|x|OQGRX80BMUHQJ2X|x|HOMBRE|X|14800|X|X|X|X|X|X|X|X|CARDENAS|X|X|X|X|FINAL</v>
      </c>
    </row>
    <row r="87" spans="1:82" x14ac:dyDescent="0.25">
      <c r="A87" t="s">
        <v>298</v>
      </c>
      <c r="B87" t="s">
        <v>299</v>
      </c>
      <c r="C87">
        <v>3</v>
      </c>
      <c r="D87" t="s">
        <v>1369</v>
      </c>
      <c r="E87" t="s">
        <v>1380</v>
      </c>
      <c r="F87" t="s">
        <v>0</v>
      </c>
      <c r="G87" t="s">
        <v>0</v>
      </c>
      <c r="H87" t="s">
        <v>1394</v>
      </c>
      <c r="I87">
        <v>14800</v>
      </c>
      <c r="J87">
        <v>0</v>
      </c>
      <c r="K87">
        <v>50</v>
      </c>
      <c r="L87">
        <v>50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 t="s">
        <v>1838</v>
      </c>
      <c r="AC87" t="s">
        <v>1748</v>
      </c>
      <c r="AD87" s="18" t="s">
        <v>1839</v>
      </c>
      <c r="AE87" t="s">
        <v>4</v>
      </c>
      <c r="AF87" t="s">
        <v>1</v>
      </c>
      <c r="AG87" t="s">
        <v>1</v>
      </c>
      <c r="AH87" t="s">
        <v>2519</v>
      </c>
      <c r="AI87" t="s">
        <v>3002</v>
      </c>
      <c r="AJ87" t="s">
        <v>1</v>
      </c>
      <c r="AK87" t="s">
        <v>1</v>
      </c>
      <c r="AL87" t="s">
        <v>1</v>
      </c>
      <c r="AM87" t="s">
        <v>1</v>
      </c>
      <c r="AN87" t="s">
        <v>1</v>
      </c>
      <c r="AO87" t="s">
        <v>2519</v>
      </c>
      <c r="AP87" t="s">
        <v>1</v>
      </c>
      <c r="AQ87" t="s">
        <v>2</v>
      </c>
      <c r="AR87" t="s">
        <v>3</v>
      </c>
      <c r="AS87" t="s">
        <v>3</v>
      </c>
      <c r="AT87" t="s">
        <v>3</v>
      </c>
      <c r="AU87" t="s">
        <v>3</v>
      </c>
      <c r="AV87" t="s">
        <v>3</v>
      </c>
      <c r="AW87" t="s">
        <v>11</v>
      </c>
      <c r="AX87">
        <f>Tabla1[[#This Row],[precio del paquete]]-Tabla1[[#This Row],[Saldo_Deudor]]</f>
        <v>50</v>
      </c>
      <c r="AY87">
        <v>14750</v>
      </c>
      <c r="AZ87" t="s">
        <v>1</v>
      </c>
      <c r="BA87" t="s">
        <v>1</v>
      </c>
      <c r="BB87" t="s">
        <v>1</v>
      </c>
      <c r="BC87" t="s">
        <v>1394</v>
      </c>
      <c r="BD87" t="s">
        <v>1400</v>
      </c>
      <c r="BE87" t="s">
        <v>3</v>
      </c>
      <c r="BF87" t="s">
        <v>3</v>
      </c>
      <c r="BG87" t="s">
        <v>3</v>
      </c>
      <c r="BH87" t="s">
        <v>3</v>
      </c>
      <c r="BI87" t="s">
        <v>3</v>
      </c>
      <c r="BJ87" t="s">
        <v>3364</v>
      </c>
      <c r="BK87" t="s">
        <v>3</v>
      </c>
      <c r="BL87" t="s">
        <v>132</v>
      </c>
      <c r="BM87" t="s">
        <v>1</v>
      </c>
      <c r="BN87">
        <f>Tabla1[[#This Row],[precio del paquete]]</f>
        <v>14800</v>
      </c>
      <c r="BO87" t="s">
        <v>1</v>
      </c>
      <c r="BP87" t="s">
        <v>1</v>
      </c>
      <c r="BQ87" t="s">
        <v>1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3382</v>
      </c>
      <c r="CD87" t="str" cm="1">
        <f t="array" aca="1" ref="CD87" ca="1">eConcatenar(A87:CB87,"|")</f>
        <v>pdbWzwItEXKR18Cg|CAR2022-0678|3|MEMORIAL|TABASCO|CARDENAS|CARDENAS|2022-02-03|14800|0|50|50|1|0|0|0|0|0|0|0|0|0|0||0|0|0|ALMEIDA|JIMENEZ|LUIS ALBERTO|SOLTERO|X|X|CALLE JOSE MARIA MORELOS Y PAVON SIN NUMERO|NUEVO PROGRESO|X|X|X|X|X|CALLE JOSE MARIA MORELOS Y PAVON SIN NUMERO|X|LUNES|x|x|x|x|x|DOMICILIO |50|14750|X|X|X|2022-02-03|2022-02-10|x|x|x|x|x|QX002L6W9KVTQO|x|HOMBRE|X|14800|X|X|X|X|X|X|X|X|CARDENAS|X|X|X|X|FINAL</v>
      </c>
    </row>
    <row r="88" spans="1:82" x14ac:dyDescent="0.25">
      <c r="A88" t="s">
        <v>300</v>
      </c>
      <c r="B88" t="s">
        <v>301</v>
      </c>
      <c r="C88">
        <v>3</v>
      </c>
      <c r="D88" t="s">
        <v>1369</v>
      </c>
      <c r="E88" t="s">
        <v>1380</v>
      </c>
      <c r="F88" t="s">
        <v>0</v>
      </c>
      <c r="G88" t="s">
        <v>0</v>
      </c>
      <c r="H88" t="s">
        <v>1395</v>
      </c>
      <c r="I88">
        <v>14800</v>
      </c>
      <c r="J88">
        <v>0</v>
      </c>
      <c r="K88">
        <v>500</v>
      </c>
      <c r="L88">
        <v>50</v>
      </c>
      <c r="M88">
        <v>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 t="s">
        <v>1743</v>
      </c>
      <c r="AC88" t="s">
        <v>1708</v>
      </c>
      <c r="AD88" s="18" t="s">
        <v>1840</v>
      </c>
      <c r="AE88" t="s">
        <v>4</v>
      </c>
      <c r="AF88" t="s">
        <v>1</v>
      </c>
      <c r="AG88" t="s">
        <v>1</v>
      </c>
      <c r="AH88" t="s">
        <v>2520</v>
      </c>
      <c r="AI88" t="s">
        <v>3011</v>
      </c>
      <c r="AJ88" t="s">
        <v>1</v>
      </c>
      <c r="AK88" t="s">
        <v>1</v>
      </c>
      <c r="AL88" t="s">
        <v>1</v>
      </c>
      <c r="AM88" t="s">
        <v>1</v>
      </c>
      <c r="AN88" t="s">
        <v>1</v>
      </c>
      <c r="AO88" t="s">
        <v>2520</v>
      </c>
      <c r="AP88" t="s">
        <v>1</v>
      </c>
      <c r="AQ88" t="s">
        <v>2</v>
      </c>
      <c r="AR88" t="s">
        <v>3</v>
      </c>
      <c r="AS88" t="s">
        <v>3</v>
      </c>
      <c r="AT88" t="s">
        <v>3</v>
      </c>
      <c r="AU88" t="s">
        <v>3</v>
      </c>
      <c r="AV88" t="s">
        <v>3</v>
      </c>
      <c r="AW88" t="s">
        <v>11</v>
      </c>
      <c r="AX88">
        <f>Tabla1[[#This Row],[precio del paquete]]-Tabla1[[#This Row],[Saldo_Deudor]]</f>
        <v>500</v>
      </c>
      <c r="AY88">
        <v>14300</v>
      </c>
      <c r="AZ88" t="s">
        <v>1</v>
      </c>
      <c r="BA88" t="s">
        <v>1</v>
      </c>
      <c r="BB88" t="s">
        <v>1</v>
      </c>
      <c r="BC88" t="s">
        <v>1395</v>
      </c>
      <c r="BD88" t="s">
        <v>1393</v>
      </c>
      <c r="BE88" t="s">
        <v>3</v>
      </c>
      <c r="BF88" t="s">
        <v>3</v>
      </c>
      <c r="BG88" t="s">
        <v>3</v>
      </c>
      <c r="BH88" t="s">
        <v>3</v>
      </c>
      <c r="BI88" t="s">
        <v>3</v>
      </c>
      <c r="BJ88" t="s">
        <v>3355</v>
      </c>
      <c r="BK88" t="s">
        <v>3</v>
      </c>
      <c r="BL88" t="s">
        <v>132</v>
      </c>
      <c r="BM88" t="s">
        <v>1</v>
      </c>
      <c r="BN88">
        <f>Tabla1[[#This Row],[precio del paquete]]</f>
        <v>14800</v>
      </c>
      <c r="BO88" t="s">
        <v>1</v>
      </c>
      <c r="BP88" t="s">
        <v>1</v>
      </c>
      <c r="BQ88" t="s">
        <v>1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3382</v>
      </c>
      <c r="CD88" t="str" cm="1">
        <f t="array" aca="1" ref="CD88" ca="1">eConcatenar(A88:CB88,"|")</f>
        <v>YLwLt3p7SKpiGv70|CAR2022-0418|3|MEMORIAL|TABASCO|CARDENAS|CARDENAS|2022-01-21|14800|0|500|50|2|0|0|0|0|0|0|0|0|0|0||0|0|0|DIAZ||ROBERTO RODRIGUEZ|SOLTERO|X|X|CALLE ARMADILLO CASA NUMERO 342|CSAT|X|X|X|X|X|CALLE ARMADILLO CASA NUMERO 342|X|LUNES|x|x|x|x|x|DOMICILIO |500|14300|X|X|X|2022-01-21|2022-01-28|x|x|x|x|x|OQGRX80BMUHQJ2X|x|HOMBRE|X|14800|X|X|X|X|X|X|X|X|CARDENAS|X|X|X|X|FINAL</v>
      </c>
    </row>
    <row r="89" spans="1:82" x14ac:dyDescent="0.25">
      <c r="A89" t="s">
        <v>302</v>
      </c>
      <c r="B89" t="s">
        <v>303</v>
      </c>
      <c r="C89">
        <v>3</v>
      </c>
      <c r="D89" t="s">
        <v>1369</v>
      </c>
      <c r="E89" t="s">
        <v>1380</v>
      </c>
      <c r="F89" t="s">
        <v>0</v>
      </c>
      <c r="G89" t="s">
        <v>0</v>
      </c>
      <c r="H89" t="s">
        <v>1388</v>
      </c>
      <c r="I89">
        <v>14800</v>
      </c>
      <c r="J89">
        <v>0</v>
      </c>
      <c r="K89">
        <v>150</v>
      </c>
      <c r="L89">
        <v>50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 t="s">
        <v>1748</v>
      </c>
      <c r="AC89" t="s">
        <v>1774</v>
      </c>
      <c r="AD89" s="18" t="s">
        <v>1841</v>
      </c>
      <c r="AE89" t="s">
        <v>4</v>
      </c>
      <c r="AF89" t="s">
        <v>1</v>
      </c>
      <c r="AG89" t="s">
        <v>1</v>
      </c>
      <c r="AH89" t="s">
        <v>2521</v>
      </c>
      <c r="AI89" t="s">
        <v>3013</v>
      </c>
      <c r="AJ89" t="s">
        <v>1</v>
      </c>
      <c r="AK89" t="s">
        <v>1</v>
      </c>
      <c r="AL89" t="s">
        <v>1</v>
      </c>
      <c r="AM89" t="s">
        <v>1</v>
      </c>
      <c r="AN89" t="s">
        <v>1</v>
      </c>
      <c r="AO89" t="s">
        <v>2521</v>
      </c>
      <c r="AP89" t="s">
        <v>1</v>
      </c>
      <c r="AQ89" t="s">
        <v>2</v>
      </c>
      <c r="AR89" t="s">
        <v>3</v>
      </c>
      <c r="AS89" t="s">
        <v>3</v>
      </c>
      <c r="AT89" t="s">
        <v>3</v>
      </c>
      <c r="AU89" t="s">
        <v>3</v>
      </c>
      <c r="AV89" t="s">
        <v>3</v>
      </c>
      <c r="AW89" t="s">
        <v>11</v>
      </c>
      <c r="AX89">
        <f>Tabla1[[#This Row],[precio del paquete]]-Tabla1[[#This Row],[Saldo_Deudor]]</f>
        <v>150</v>
      </c>
      <c r="AY89">
        <v>14650</v>
      </c>
      <c r="AZ89" t="s">
        <v>1</v>
      </c>
      <c r="BA89" t="s">
        <v>1</v>
      </c>
      <c r="BB89" t="s">
        <v>1</v>
      </c>
      <c r="BC89" t="s">
        <v>1388</v>
      </c>
      <c r="BD89" t="s">
        <v>1398</v>
      </c>
      <c r="BE89" t="s">
        <v>3</v>
      </c>
      <c r="BF89" t="s">
        <v>3</v>
      </c>
      <c r="BG89" t="s">
        <v>3</v>
      </c>
      <c r="BH89" t="s">
        <v>3</v>
      </c>
      <c r="BI89" t="s">
        <v>3</v>
      </c>
      <c r="BJ89" t="s">
        <v>3362</v>
      </c>
      <c r="BK89" t="s">
        <v>3</v>
      </c>
      <c r="BL89" t="s">
        <v>132</v>
      </c>
      <c r="BM89" t="s">
        <v>1</v>
      </c>
      <c r="BN89">
        <f>Tabla1[[#This Row],[precio del paquete]]</f>
        <v>14800</v>
      </c>
      <c r="BO89" t="s">
        <v>1</v>
      </c>
      <c r="BP89" t="s">
        <v>1</v>
      </c>
      <c r="BQ89" t="s">
        <v>1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3382</v>
      </c>
      <c r="CD89" t="str" cm="1">
        <f t="array" aca="1" ref="CD89" ca="1">eConcatenar(A89:CB89,"|")</f>
        <v>xSkc8qYk8hgqqmLC|CAR2022-0815|3|MEMORIAL|TABASCO|CARDENAS|CARDENAS|2022-02-05|14800|0|150|50|0|0|0|0|0|0|0|0|0|0|0||0|0|0|JIMENEZ|GONZALEZ|DOLORES|SOLTERO|X|X|CARRETERA CARDENAS COMALCALCO KILOMETRO 1 INTERIOR 1|MELCHOR OCAMPO|X|X|X|X|X|CARRETERA CARDENAS COMALCALCO KILOMETRO 1 INTERIOR 1|X|LUNES|x|x|x|x|x|DOMICILIO |150|14650|X|X|X|2022-02-05|2022-02-12|x|x|x|x|x|QX002LYO9KVTQO|x|HOMBRE|X|14800|X|X|X|X|X|X|X|X|CARDENAS|X|X|X|X|FINAL</v>
      </c>
    </row>
    <row r="90" spans="1:82" x14ac:dyDescent="0.25">
      <c r="A90" t="s">
        <v>304</v>
      </c>
      <c r="B90" t="s">
        <v>305</v>
      </c>
      <c r="C90">
        <v>3</v>
      </c>
      <c r="D90" t="s">
        <v>1369</v>
      </c>
      <c r="E90" t="s">
        <v>1380</v>
      </c>
      <c r="F90" t="s">
        <v>0</v>
      </c>
      <c r="G90" t="s">
        <v>0</v>
      </c>
      <c r="H90" t="s">
        <v>1388</v>
      </c>
      <c r="I90">
        <v>14800</v>
      </c>
      <c r="J90">
        <v>0</v>
      </c>
      <c r="K90">
        <v>100</v>
      </c>
      <c r="L90">
        <v>50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 t="s">
        <v>1695</v>
      </c>
      <c r="AC90" t="s">
        <v>1842</v>
      </c>
      <c r="AD90" s="18" t="s">
        <v>1843</v>
      </c>
      <c r="AE90" t="s">
        <v>4</v>
      </c>
      <c r="AF90" t="s">
        <v>1</v>
      </c>
      <c r="AG90" t="s">
        <v>1</v>
      </c>
      <c r="AH90" t="s">
        <v>2522</v>
      </c>
      <c r="AI90" t="s">
        <v>2981</v>
      </c>
      <c r="AJ90" t="s">
        <v>1</v>
      </c>
      <c r="AK90" t="s">
        <v>1</v>
      </c>
      <c r="AL90" t="s">
        <v>1</v>
      </c>
      <c r="AM90" t="s">
        <v>1</v>
      </c>
      <c r="AN90" t="s">
        <v>1</v>
      </c>
      <c r="AO90" t="s">
        <v>2522</v>
      </c>
      <c r="AP90" t="s">
        <v>1</v>
      </c>
      <c r="AQ90" t="s">
        <v>2</v>
      </c>
      <c r="AR90" t="s">
        <v>3</v>
      </c>
      <c r="AS90" t="s">
        <v>3</v>
      </c>
      <c r="AT90" t="s">
        <v>3</v>
      </c>
      <c r="AU90" t="s">
        <v>3</v>
      </c>
      <c r="AV90" t="s">
        <v>3</v>
      </c>
      <c r="AW90" t="s">
        <v>11</v>
      </c>
      <c r="AX90">
        <f>Tabla1[[#This Row],[precio del paquete]]-Tabla1[[#This Row],[Saldo_Deudor]]</f>
        <v>100</v>
      </c>
      <c r="AY90">
        <v>14700</v>
      </c>
      <c r="AZ90" t="s">
        <v>1</v>
      </c>
      <c r="BA90" t="s">
        <v>1</v>
      </c>
      <c r="BB90" t="s">
        <v>1</v>
      </c>
      <c r="BC90" t="s">
        <v>1388</v>
      </c>
      <c r="BD90" t="s">
        <v>1398</v>
      </c>
      <c r="BE90" t="s">
        <v>3</v>
      </c>
      <c r="BF90" t="s">
        <v>3</v>
      </c>
      <c r="BG90" t="s">
        <v>3</v>
      </c>
      <c r="BH90" t="s">
        <v>3</v>
      </c>
      <c r="BI90" t="s">
        <v>3</v>
      </c>
      <c r="BJ90" t="s">
        <v>3364</v>
      </c>
      <c r="BK90" t="s">
        <v>3</v>
      </c>
      <c r="BL90" t="s">
        <v>132</v>
      </c>
      <c r="BM90" t="s">
        <v>1</v>
      </c>
      <c r="BN90">
        <f>Tabla1[[#This Row],[precio del paquete]]</f>
        <v>14800</v>
      </c>
      <c r="BO90" t="s">
        <v>1</v>
      </c>
      <c r="BP90" t="s">
        <v>1</v>
      </c>
      <c r="BQ90" t="s">
        <v>1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3382</v>
      </c>
      <c r="CD90" t="str" cm="1">
        <f t="array" aca="1" ref="CD90" ca="1">eConcatenar(A90:CB90,"|")</f>
        <v>KMQgvSUXLEdu8hqi|CAR2022-0814|3|MEMORIAL|TABASCO|CARDENAS|CARDENAS|2022-02-05|14800|0|100|50|1|0|0|0|0|0|0|0|0|0|0||0|0|0|MORALES|ORTIZ|RAMON|SOLTERO|X|X|CALLE FERNANDO ORTIZ|ALAMEDA|X|X|X|X|X|CALLE FERNANDO ORTIZ|X|LUNES|x|x|x|x|x|DOMICILIO |100|14700|X|X|X|2022-02-05|2022-02-12|x|x|x|x|x|QX002L6W9KVTQO|x|HOMBRE|X|14800|X|X|X|X|X|X|X|X|CARDENAS|X|X|X|X|FINAL</v>
      </c>
    </row>
    <row r="91" spans="1:82" x14ac:dyDescent="0.25">
      <c r="A91" t="s">
        <v>306</v>
      </c>
      <c r="B91" t="s">
        <v>307</v>
      </c>
      <c r="C91">
        <v>3</v>
      </c>
      <c r="D91" t="s">
        <v>1369</v>
      </c>
      <c r="E91" t="s">
        <v>1380</v>
      </c>
      <c r="F91" t="s">
        <v>0</v>
      </c>
      <c r="G91" t="s">
        <v>0</v>
      </c>
      <c r="H91" t="s">
        <v>1396</v>
      </c>
      <c r="I91">
        <v>14800</v>
      </c>
      <c r="J91">
        <v>0</v>
      </c>
      <c r="K91">
        <v>200</v>
      </c>
      <c r="L91">
        <v>50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 t="s">
        <v>1750</v>
      </c>
      <c r="AC91" t="s">
        <v>1731</v>
      </c>
      <c r="AD91" s="18" t="s">
        <v>1844</v>
      </c>
      <c r="AE91" t="s">
        <v>4</v>
      </c>
      <c r="AF91" t="s">
        <v>1</v>
      </c>
      <c r="AG91" t="s">
        <v>1</v>
      </c>
      <c r="AH91" t="s">
        <v>2523</v>
      </c>
      <c r="AI91" t="s">
        <v>2981</v>
      </c>
      <c r="AJ91" t="s">
        <v>1</v>
      </c>
      <c r="AK91" t="s">
        <v>1</v>
      </c>
      <c r="AL91" t="s">
        <v>1</v>
      </c>
      <c r="AM91" t="s">
        <v>1</v>
      </c>
      <c r="AN91" t="s">
        <v>1</v>
      </c>
      <c r="AO91" t="s">
        <v>2523</v>
      </c>
      <c r="AP91" t="s">
        <v>1</v>
      </c>
      <c r="AQ91" t="s">
        <v>2</v>
      </c>
      <c r="AR91" t="s">
        <v>3</v>
      </c>
      <c r="AS91" t="s">
        <v>3</v>
      </c>
      <c r="AT91" t="s">
        <v>3</v>
      </c>
      <c r="AU91" t="s">
        <v>3</v>
      </c>
      <c r="AV91" t="s">
        <v>3</v>
      </c>
      <c r="AW91" t="s">
        <v>11</v>
      </c>
      <c r="AX91">
        <f>Tabla1[[#This Row],[precio del paquete]]-Tabla1[[#This Row],[Saldo_Deudor]]</f>
        <v>200</v>
      </c>
      <c r="AY91">
        <v>14600</v>
      </c>
      <c r="AZ91" t="s">
        <v>1</v>
      </c>
      <c r="BA91" t="s">
        <v>1</v>
      </c>
      <c r="BB91" t="s">
        <v>1</v>
      </c>
      <c r="BC91" t="s">
        <v>1388</v>
      </c>
      <c r="BD91" t="s">
        <v>1398</v>
      </c>
      <c r="BE91" t="s">
        <v>3</v>
      </c>
      <c r="BF91" t="s">
        <v>3</v>
      </c>
      <c r="BG91" t="s">
        <v>3</v>
      </c>
      <c r="BH91" t="s">
        <v>3</v>
      </c>
      <c r="BI91" t="s">
        <v>3</v>
      </c>
      <c r="BJ91" t="s">
        <v>3364</v>
      </c>
      <c r="BK91" t="s">
        <v>3</v>
      </c>
      <c r="BL91" t="s">
        <v>132</v>
      </c>
      <c r="BM91" t="s">
        <v>1</v>
      </c>
      <c r="BN91">
        <f>Tabla1[[#This Row],[precio del paquete]]</f>
        <v>14800</v>
      </c>
      <c r="BO91" t="s">
        <v>1</v>
      </c>
      <c r="BP91" t="s">
        <v>1</v>
      </c>
      <c r="BQ91" t="s">
        <v>1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3382</v>
      </c>
      <c r="CD91" t="str" cm="1">
        <f t="array" aca="1" ref="CD91" ca="1">eConcatenar(A91:CB91,"|")</f>
        <v>nv1pXDTILq5pgCIW|CAR2022-0816|3|MEMORIAL|TABASCO|CARDENAS|CARDENAS|2022-02-06|14800|0|200|50|0|0|0|0|0|0|0|0|0|0|0||0|0|0|IZQUIERDO|GARCIA|ERSAEL|SOLTERO|X|X|AVENIDA NUMERO 3 CASA NUMERO 136|ALAMEDA|X|X|X|X|X|AVENIDA NUMERO 3 CASA NUMERO 136|X|LUNES|x|x|x|x|x|DOMICILIO |200|14600|X|X|X|2022-02-05|2022-02-12|x|x|x|x|x|QX002L6W9KVTQO|x|HOMBRE|X|14800|X|X|X|X|X|X|X|X|CARDENAS|X|X|X|X|FINAL</v>
      </c>
    </row>
    <row r="92" spans="1:82" x14ac:dyDescent="0.25">
      <c r="A92" t="s">
        <v>308</v>
      </c>
      <c r="B92" t="s">
        <v>309</v>
      </c>
      <c r="C92">
        <v>3</v>
      </c>
      <c r="D92" t="s">
        <v>1369</v>
      </c>
      <c r="E92" t="s">
        <v>1380</v>
      </c>
      <c r="F92" t="s">
        <v>0</v>
      </c>
      <c r="G92" t="s">
        <v>0</v>
      </c>
      <c r="H92" t="s">
        <v>1391</v>
      </c>
      <c r="I92">
        <v>14800</v>
      </c>
      <c r="J92">
        <v>0</v>
      </c>
      <c r="K92">
        <v>100</v>
      </c>
      <c r="L92">
        <v>50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 t="s">
        <v>1845</v>
      </c>
      <c r="AC92" t="s">
        <v>1707</v>
      </c>
      <c r="AD92" s="18" t="s">
        <v>1846</v>
      </c>
      <c r="AE92" t="s">
        <v>4</v>
      </c>
      <c r="AF92" t="s">
        <v>1</v>
      </c>
      <c r="AG92" t="s">
        <v>1</v>
      </c>
      <c r="AH92" t="s">
        <v>2524</v>
      </c>
      <c r="AI92" t="s">
        <v>3014</v>
      </c>
      <c r="AJ92" t="s">
        <v>1</v>
      </c>
      <c r="AK92" t="s">
        <v>1</v>
      </c>
      <c r="AL92" t="s">
        <v>1</v>
      </c>
      <c r="AM92" t="s">
        <v>1</v>
      </c>
      <c r="AN92" t="s">
        <v>1</v>
      </c>
      <c r="AO92" t="s">
        <v>2524</v>
      </c>
      <c r="AP92" t="s">
        <v>1</v>
      </c>
      <c r="AQ92" t="s">
        <v>2</v>
      </c>
      <c r="AR92" t="s">
        <v>3</v>
      </c>
      <c r="AS92" t="s">
        <v>3</v>
      </c>
      <c r="AT92" t="s">
        <v>3</v>
      </c>
      <c r="AU92" t="s">
        <v>3</v>
      </c>
      <c r="AV92" t="s">
        <v>3</v>
      </c>
      <c r="AW92" t="s">
        <v>11</v>
      </c>
      <c r="AX92">
        <f>Tabla1[[#This Row],[precio del paquete]]-Tabla1[[#This Row],[Saldo_Deudor]]</f>
        <v>100</v>
      </c>
      <c r="AY92">
        <v>14700</v>
      </c>
      <c r="AZ92" t="s">
        <v>1</v>
      </c>
      <c r="BA92" t="s">
        <v>1</v>
      </c>
      <c r="BB92" t="s">
        <v>1</v>
      </c>
      <c r="BC92" t="s">
        <v>1391</v>
      </c>
      <c r="BD92" t="s">
        <v>1399</v>
      </c>
      <c r="BE92" t="s">
        <v>3</v>
      </c>
      <c r="BF92" t="s">
        <v>3</v>
      </c>
      <c r="BG92" t="s">
        <v>3</v>
      </c>
      <c r="BH92" t="s">
        <v>3</v>
      </c>
      <c r="BI92" t="s">
        <v>3</v>
      </c>
      <c r="BJ92" t="s">
        <v>3364</v>
      </c>
      <c r="BK92" t="s">
        <v>3</v>
      </c>
      <c r="BL92" t="s">
        <v>132</v>
      </c>
      <c r="BM92" t="s">
        <v>1</v>
      </c>
      <c r="BN92">
        <f>Tabla1[[#This Row],[precio del paquete]]</f>
        <v>14800</v>
      </c>
      <c r="BO92" t="s">
        <v>1</v>
      </c>
      <c r="BP92" t="s">
        <v>1</v>
      </c>
      <c r="BQ92" t="s">
        <v>1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3382</v>
      </c>
      <c r="CD92" t="str" cm="1">
        <f t="array" aca="1" ref="CD92" ca="1">eConcatenar(A92:CB92,"|")</f>
        <v>VqN29zbmP4BtDXwz|CAR2022-0682|3|MEMORIAL|TABASCO|CARDENAS|CARDENAS|2022-02-04|14800|0|100|50|1|0|0|0|0|0|0|0|0|0|0||0|0|0|CUPIDO|OLAN|MARGARITA|SOLTERO|X|X|CALLE TATUANJ ESQUINA CON CEIBA|MILENIO|X|X|X|X|X|CALLE TATUANJ ESQUINA CON CEIBA|X|LUNES|x|x|x|x|x|DOMICILIO |100|14700|X|X|X|2022-02-04|2022-02-11|x|x|x|x|x|QX002L6W9KVTQO|x|HOMBRE|X|14800|X|X|X|X|X|X|X|X|CARDENAS|X|X|X|X|FINAL</v>
      </c>
    </row>
    <row r="93" spans="1:82" x14ac:dyDescent="0.25">
      <c r="A93" t="s">
        <v>310</v>
      </c>
      <c r="B93" t="s">
        <v>311</v>
      </c>
      <c r="C93">
        <v>3</v>
      </c>
      <c r="D93" t="s">
        <v>1369</v>
      </c>
      <c r="E93" t="s">
        <v>1380</v>
      </c>
      <c r="F93" t="s">
        <v>0</v>
      </c>
      <c r="G93" t="s">
        <v>0</v>
      </c>
      <c r="H93" t="s">
        <v>1391</v>
      </c>
      <c r="I93">
        <v>14800</v>
      </c>
      <c r="J93">
        <v>0</v>
      </c>
      <c r="K93">
        <v>100</v>
      </c>
      <c r="L93">
        <v>50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 t="s">
        <v>1816</v>
      </c>
      <c r="AC93" t="s">
        <v>1847</v>
      </c>
      <c r="AD93" s="18" t="s">
        <v>1723</v>
      </c>
      <c r="AE93" t="s">
        <v>4</v>
      </c>
      <c r="AF93" t="s">
        <v>1</v>
      </c>
      <c r="AG93" t="s">
        <v>1</v>
      </c>
      <c r="AH93" t="s">
        <v>2525</v>
      </c>
      <c r="AI93" t="s">
        <v>3015</v>
      </c>
      <c r="AJ93" t="s">
        <v>1</v>
      </c>
      <c r="AK93" t="s">
        <v>1</v>
      </c>
      <c r="AL93" t="s">
        <v>1</v>
      </c>
      <c r="AM93" t="s">
        <v>1</v>
      </c>
      <c r="AN93" t="s">
        <v>1</v>
      </c>
      <c r="AO93" t="s">
        <v>2525</v>
      </c>
      <c r="AP93" t="s">
        <v>1</v>
      </c>
      <c r="AQ93" t="s">
        <v>2</v>
      </c>
      <c r="AR93" t="s">
        <v>3</v>
      </c>
      <c r="AS93" t="s">
        <v>3</v>
      </c>
      <c r="AT93" t="s">
        <v>3</v>
      </c>
      <c r="AU93" t="s">
        <v>3</v>
      </c>
      <c r="AV93" t="s">
        <v>3</v>
      </c>
      <c r="AW93" t="s">
        <v>11</v>
      </c>
      <c r="AX93">
        <f>Tabla1[[#This Row],[precio del paquete]]-Tabla1[[#This Row],[Saldo_Deudor]]</f>
        <v>100</v>
      </c>
      <c r="AY93">
        <v>14700</v>
      </c>
      <c r="AZ93" t="s">
        <v>1</v>
      </c>
      <c r="BA93" t="s">
        <v>1</v>
      </c>
      <c r="BB93" t="s">
        <v>1</v>
      </c>
      <c r="BC93" t="s">
        <v>1391</v>
      </c>
      <c r="BD93" t="s">
        <v>1399</v>
      </c>
      <c r="BE93" t="s">
        <v>3</v>
      </c>
      <c r="BF93" t="s">
        <v>3</v>
      </c>
      <c r="BG93" t="s">
        <v>3</v>
      </c>
      <c r="BH93" t="s">
        <v>3</v>
      </c>
      <c r="BI93" t="s">
        <v>3</v>
      </c>
      <c r="BJ93" t="s">
        <v>3352</v>
      </c>
      <c r="BK93" t="s">
        <v>3</v>
      </c>
      <c r="BL93" t="s">
        <v>132</v>
      </c>
      <c r="BM93" t="s">
        <v>1</v>
      </c>
      <c r="BN93">
        <f>Tabla1[[#This Row],[precio del paquete]]</f>
        <v>14800</v>
      </c>
      <c r="BO93" t="s">
        <v>1</v>
      </c>
      <c r="BP93" t="s">
        <v>1</v>
      </c>
      <c r="BQ93" t="s">
        <v>1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3382</v>
      </c>
      <c r="CD93" t="str" cm="1">
        <f t="array" aca="1" ref="CD93" ca="1">eConcatenar(A93:CB93,"|")</f>
        <v>qXcdJX6zQDL5HAPY|CAR2022-0684|3|MEMORIAL|TABASCO|CARDENAS|CARDENAS|2022-02-04|14800|0|100|50|0|0|0|0|0|0|0|0|0|0|0||0|0|0|DE DIOS|MENDOZA|DORILIAN|SOLTERO|X|X|CARRETERA PRINCIPAL SIN  NUMERO|ARROYO HONDO PRIMERA SECCION SANTA TERESA|X|X|X|X|X|CARRETERA PRINCIPAL SIN  NUMERO|X|LUNES|x|x|x|x|x|DOMICILIO |100|14700|X|X|X|2022-02-04|2022-02-11|x|x|x|x|x|INFHQSH0B2NMACS|x|HOMBRE|X|14800|X|X|X|X|X|X|X|X|CARDENAS|X|X|X|X|FINAL</v>
      </c>
    </row>
    <row r="94" spans="1:82" x14ac:dyDescent="0.25">
      <c r="A94" t="s">
        <v>312</v>
      </c>
      <c r="B94" t="s">
        <v>313</v>
      </c>
      <c r="C94">
        <v>3</v>
      </c>
      <c r="D94" t="s">
        <v>1369</v>
      </c>
      <c r="E94" t="s">
        <v>1380</v>
      </c>
      <c r="F94" t="s">
        <v>0</v>
      </c>
      <c r="G94" t="s">
        <v>0</v>
      </c>
      <c r="H94" t="s">
        <v>1391</v>
      </c>
      <c r="I94">
        <v>14800</v>
      </c>
      <c r="J94">
        <v>0</v>
      </c>
      <c r="K94">
        <v>100</v>
      </c>
      <c r="L94">
        <v>50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 t="s">
        <v>1703</v>
      </c>
      <c r="AC94" t="s">
        <v>1698</v>
      </c>
      <c r="AD94" s="18" t="s">
        <v>1848</v>
      </c>
      <c r="AE94" t="s">
        <v>4</v>
      </c>
      <c r="AF94" t="s">
        <v>1</v>
      </c>
      <c r="AG94" t="s">
        <v>1</v>
      </c>
      <c r="AH94" t="s">
        <v>2526</v>
      </c>
      <c r="AI94" t="s">
        <v>3015</v>
      </c>
      <c r="AJ94" t="s">
        <v>1</v>
      </c>
      <c r="AK94" t="s">
        <v>1</v>
      </c>
      <c r="AL94" t="s">
        <v>1</v>
      </c>
      <c r="AM94" t="s">
        <v>1</v>
      </c>
      <c r="AN94" t="s">
        <v>1</v>
      </c>
      <c r="AO94" t="s">
        <v>2526</v>
      </c>
      <c r="AP94" t="s">
        <v>1</v>
      </c>
      <c r="AQ94" t="s">
        <v>2</v>
      </c>
      <c r="AR94" t="s">
        <v>3</v>
      </c>
      <c r="AS94" t="s">
        <v>3</v>
      </c>
      <c r="AT94" t="s">
        <v>3</v>
      </c>
      <c r="AU94" t="s">
        <v>3</v>
      </c>
      <c r="AV94" t="s">
        <v>3</v>
      </c>
      <c r="AW94" t="s">
        <v>11</v>
      </c>
      <c r="AX94">
        <f>Tabla1[[#This Row],[precio del paquete]]-Tabla1[[#This Row],[Saldo_Deudor]]</f>
        <v>100</v>
      </c>
      <c r="AY94">
        <v>14700</v>
      </c>
      <c r="AZ94" t="s">
        <v>1</v>
      </c>
      <c r="BA94" t="s">
        <v>1</v>
      </c>
      <c r="BB94" t="s">
        <v>1</v>
      </c>
      <c r="BC94" t="s">
        <v>1391</v>
      </c>
      <c r="BD94" t="s">
        <v>1399</v>
      </c>
      <c r="BE94" t="s">
        <v>3</v>
      </c>
      <c r="BF94" t="s">
        <v>3</v>
      </c>
      <c r="BG94" t="s">
        <v>3</v>
      </c>
      <c r="BH94" t="s">
        <v>3</v>
      </c>
      <c r="BI94" t="s">
        <v>3</v>
      </c>
      <c r="BJ94" t="s">
        <v>3352</v>
      </c>
      <c r="BK94" t="s">
        <v>3</v>
      </c>
      <c r="BL94" t="s">
        <v>132</v>
      </c>
      <c r="BM94" t="s">
        <v>1</v>
      </c>
      <c r="BN94">
        <f>Tabla1[[#This Row],[precio del paquete]]</f>
        <v>14800</v>
      </c>
      <c r="BO94" t="s">
        <v>1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3382</v>
      </c>
      <c r="CD94" t="str" cm="1">
        <f t="array" aca="1" ref="CD94" ca="1">eConcatenar(A94:CB94,"|")</f>
        <v>w6sz7hATXrsAvWMN|CAR2022-0685|3|MEMORIAL|TABASCO|CARDENAS|CARDENAS|2022-02-04|14800|0|100|50|0|0|0|0|0|0|0|0|0|0|0||0|0|0|RAMOS|VAZQUEZ|MARIBEL|SOLTERO|X|X|CARRETERA A LA SEIS SIN NOMBRE|ARROYO HONDO PRIMERA SECCION SANTA TERESA|X|X|X|X|X|CARRETERA A LA SEIS SIN NOMBRE|X|LUNES|x|x|x|x|x|DOMICILIO |100|14700|X|X|X|2022-02-04|2022-02-11|x|x|x|x|x|INFHQSH0B2NMACS|x|HOMBRE|X|14800|X|X|X|X|X|X|X|X|CARDENAS|X|X|X|X|FINAL</v>
      </c>
    </row>
    <row r="95" spans="1:82" x14ac:dyDescent="0.25">
      <c r="A95" t="s">
        <v>314</v>
      </c>
      <c r="B95" t="s">
        <v>315</v>
      </c>
      <c r="C95">
        <v>3</v>
      </c>
      <c r="D95" t="s">
        <v>1369</v>
      </c>
      <c r="E95" t="s">
        <v>1380</v>
      </c>
      <c r="F95" t="s">
        <v>0</v>
      </c>
      <c r="G95" t="s">
        <v>0</v>
      </c>
      <c r="H95" t="s">
        <v>1391</v>
      </c>
      <c r="I95">
        <v>14800</v>
      </c>
      <c r="J95">
        <v>0</v>
      </c>
      <c r="K95">
        <v>100</v>
      </c>
      <c r="L95">
        <v>50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 t="s">
        <v>1849</v>
      </c>
      <c r="AC95" t="s">
        <v>1850</v>
      </c>
      <c r="AD95" s="18" t="s">
        <v>1851</v>
      </c>
      <c r="AE95" t="s">
        <v>4</v>
      </c>
      <c r="AF95" t="s">
        <v>1</v>
      </c>
      <c r="AG95" t="s">
        <v>1</v>
      </c>
      <c r="AH95" t="s">
        <v>2527</v>
      </c>
      <c r="AI95" t="s">
        <v>2987</v>
      </c>
      <c r="AJ95" t="s">
        <v>1</v>
      </c>
      <c r="AK95" t="s">
        <v>1</v>
      </c>
      <c r="AL95" t="s">
        <v>1</v>
      </c>
      <c r="AM95" t="s">
        <v>1</v>
      </c>
      <c r="AN95" t="s">
        <v>1</v>
      </c>
      <c r="AO95" t="s">
        <v>2527</v>
      </c>
      <c r="AP95" t="s">
        <v>1</v>
      </c>
      <c r="AQ95" t="s">
        <v>2</v>
      </c>
      <c r="AR95" t="s">
        <v>3</v>
      </c>
      <c r="AS95" t="s">
        <v>3</v>
      </c>
      <c r="AT95" t="s">
        <v>3</v>
      </c>
      <c r="AU95" t="s">
        <v>3</v>
      </c>
      <c r="AV95" t="s">
        <v>3</v>
      </c>
      <c r="AW95" t="s">
        <v>11</v>
      </c>
      <c r="AX95">
        <f>Tabla1[[#This Row],[precio del paquete]]-Tabla1[[#This Row],[Saldo_Deudor]]</f>
        <v>100</v>
      </c>
      <c r="AY95">
        <v>14700</v>
      </c>
      <c r="AZ95" t="s">
        <v>1</v>
      </c>
      <c r="BA95" t="s">
        <v>1</v>
      </c>
      <c r="BB95" t="s">
        <v>1</v>
      </c>
      <c r="BC95" t="s">
        <v>1391</v>
      </c>
      <c r="BD95" t="s">
        <v>1399</v>
      </c>
      <c r="BE95" t="s">
        <v>3</v>
      </c>
      <c r="BF95" t="s">
        <v>3</v>
      </c>
      <c r="BG95" t="s">
        <v>3</v>
      </c>
      <c r="BH95" t="s">
        <v>3</v>
      </c>
      <c r="BI95" t="s">
        <v>3</v>
      </c>
      <c r="BJ95" t="s">
        <v>3355</v>
      </c>
      <c r="BK95" t="s">
        <v>3</v>
      </c>
      <c r="BL95" t="s">
        <v>132</v>
      </c>
      <c r="BM95" t="s">
        <v>1</v>
      </c>
      <c r="BN95">
        <f>Tabla1[[#This Row],[precio del paquete]]</f>
        <v>14800</v>
      </c>
      <c r="BO95" t="s">
        <v>1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3382</v>
      </c>
      <c r="CD95" t="str" cm="1">
        <f t="array" aca="1" ref="CD95" ca="1">eConcatenar(A95:CB95,"|")</f>
        <v>JtK13QvydvGJvNMl|CAR2022-0690|3|MEMORIAL|TABASCO|CARDENAS|CARDENAS|2022-02-04|14800|0|100|50|1|0|0|0|0|0|0|0|0|0|0||0|0|0|MAYO|VELA|JAVIER|SOLTERO|X|X|CALLE IGNACIO ZARAGOZA SIN NUMERO|SANTA MARIA DE GUADALUPE|X|X|X|X|X|CALLE IGNACIO ZARAGOZA SIN NUMERO|X|LUNES|x|x|x|x|x|DOMICILIO |100|14700|X|X|X|2022-02-04|2022-02-11|x|x|x|x|x|OQGRX80BMUHQJ2X|x|HOMBRE|X|14800|X|X|X|X|X|X|X|X|CARDENAS|X|X|X|X|FINAL</v>
      </c>
    </row>
    <row r="96" spans="1:82" x14ac:dyDescent="0.25">
      <c r="A96" t="s">
        <v>316</v>
      </c>
      <c r="B96" t="s">
        <v>317</v>
      </c>
      <c r="C96">
        <v>3</v>
      </c>
      <c r="D96" t="s">
        <v>1369</v>
      </c>
      <c r="E96" t="s">
        <v>1380</v>
      </c>
      <c r="F96" t="s">
        <v>1381</v>
      </c>
      <c r="G96" t="s">
        <v>1381</v>
      </c>
      <c r="H96" t="s">
        <v>1388</v>
      </c>
      <c r="I96">
        <v>14800</v>
      </c>
      <c r="J96">
        <v>0</v>
      </c>
      <c r="K96">
        <v>100</v>
      </c>
      <c r="L96">
        <v>50</v>
      </c>
      <c r="M96">
        <v>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 t="s">
        <v>1852</v>
      </c>
      <c r="AC96" t="s">
        <v>1713</v>
      </c>
      <c r="AD96" s="18" t="s">
        <v>1853</v>
      </c>
      <c r="AE96" t="s">
        <v>4</v>
      </c>
      <c r="AF96" t="s">
        <v>1</v>
      </c>
      <c r="AG96" t="s">
        <v>1</v>
      </c>
      <c r="AH96" t="s">
        <v>2465</v>
      </c>
      <c r="AI96" t="s">
        <v>3009</v>
      </c>
      <c r="AJ96" t="s">
        <v>1</v>
      </c>
      <c r="AK96" t="s">
        <v>1</v>
      </c>
      <c r="AL96" t="s">
        <v>1</v>
      </c>
      <c r="AM96" t="s">
        <v>1</v>
      </c>
      <c r="AN96" t="s">
        <v>1</v>
      </c>
      <c r="AO96" t="s">
        <v>2465</v>
      </c>
      <c r="AP96" t="s">
        <v>1</v>
      </c>
      <c r="AQ96" t="s">
        <v>2</v>
      </c>
      <c r="AR96" t="s">
        <v>3</v>
      </c>
      <c r="AS96" t="s">
        <v>3</v>
      </c>
      <c r="AT96" t="s">
        <v>3</v>
      </c>
      <c r="AU96" t="s">
        <v>3</v>
      </c>
      <c r="AV96" t="s">
        <v>3</v>
      </c>
      <c r="AW96" t="s">
        <v>11</v>
      </c>
      <c r="AX96">
        <f>Tabla1[[#This Row],[precio del paquete]]-Tabla1[[#This Row],[Saldo_Deudor]]</f>
        <v>100</v>
      </c>
      <c r="AY96">
        <v>14700</v>
      </c>
      <c r="AZ96" t="s">
        <v>1</v>
      </c>
      <c r="BA96" t="s">
        <v>1</v>
      </c>
      <c r="BB96" t="s">
        <v>1</v>
      </c>
      <c r="BC96" t="s">
        <v>1388</v>
      </c>
      <c r="BD96" t="s">
        <v>1398</v>
      </c>
      <c r="BE96" t="s">
        <v>3</v>
      </c>
      <c r="BF96" t="s">
        <v>3</v>
      </c>
      <c r="BG96" t="s">
        <v>3</v>
      </c>
      <c r="BH96" t="s">
        <v>3</v>
      </c>
      <c r="BI96" t="s">
        <v>3</v>
      </c>
      <c r="BJ96" t="s">
        <v>3366</v>
      </c>
      <c r="BK96" t="s">
        <v>3</v>
      </c>
      <c r="BL96" t="s">
        <v>132</v>
      </c>
      <c r="BM96" t="s">
        <v>1</v>
      </c>
      <c r="BN96">
        <f>Tabla1[[#This Row],[precio del paquete]]</f>
        <v>14800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3382</v>
      </c>
      <c r="CD96" t="str" cm="1">
        <f t="array" aca="1" ref="CD96" ca="1">eConcatenar(A96:CB96,"|")</f>
        <v>Dzrh97uLj2yQxkYb|CAR2022-0812|3|MEMORIAL|TABASCO|CUNDUACAN|CUNDUACAN|2022-02-05|14800|0|100|50|2|0|0|0|0|0|0|0|0|0|0||0|0|0|MADRIGAL|DE LA CRUZ|ARQUIMIDES|SOLTERO|X|X|CARRETERA PRINCIPAL SIN NUMERO|LIBERTAD QUINTA SECCION|X|X|X|X|X|CARRETERA PRINCIPAL SIN NUMERO|X|LUNES|x|x|x|x|x|DOMICILIO |100|14700|X|X|X|2022-02-05|2022-02-12|x|x|x|x|x|YCRYFAU92K60AMA|x|HOMBRE|X|14800|X|X|X|X|X|X|X|X|CARDENAS|X|X|X|X|FINAL</v>
      </c>
    </row>
    <row r="97" spans="1:82" x14ac:dyDescent="0.25">
      <c r="A97" t="s">
        <v>318</v>
      </c>
      <c r="B97" t="s">
        <v>319</v>
      </c>
      <c r="C97">
        <v>3</v>
      </c>
      <c r="D97" t="s">
        <v>1369</v>
      </c>
      <c r="E97" t="s">
        <v>1380</v>
      </c>
      <c r="F97" t="s">
        <v>0</v>
      </c>
      <c r="G97" t="s">
        <v>0</v>
      </c>
      <c r="H97" t="s">
        <v>1394</v>
      </c>
      <c r="I97">
        <v>14800</v>
      </c>
      <c r="J97">
        <v>0</v>
      </c>
      <c r="K97">
        <v>200</v>
      </c>
      <c r="L97">
        <v>50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 t="s">
        <v>1816</v>
      </c>
      <c r="AC97" t="s">
        <v>1713</v>
      </c>
      <c r="AD97" s="18" t="s">
        <v>1854</v>
      </c>
      <c r="AE97" t="s">
        <v>4</v>
      </c>
      <c r="AF97" t="s">
        <v>1</v>
      </c>
      <c r="AG97" t="s">
        <v>1</v>
      </c>
      <c r="AH97" t="s">
        <v>2528</v>
      </c>
      <c r="AI97" t="s">
        <v>3016</v>
      </c>
      <c r="AJ97" t="s">
        <v>1</v>
      </c>
      <c r="AK97" t="s">
        <v>1</v>
      </c>
      <c r="AL97" t="s">
        <v>1</v>
      </c>
      <c r="AM97" t="s">
        <v>1</v>
      </c>
      <c r="AN97" t="s">
        <v>1</v>
      </c>
      <c r="AO97" t="s">
        <v>2528</v>
      </c>
      <c r="AP97" t="s">
        <v>1</v>
      </c>
      <c r="AQ97" t="s">
        <v>2</v>
      </c>
      <c r="AR97" t="s">
        <v>3</v>
      </c>
      <c r="AS97" t="s">
        <v>3</v>
      </c>
      <c r="AT97" t="s">
        <v>3</v>
      </c>
      <c r="AU97" t="s">
        <v>3</v>
      </c>
      <c r="AV97" t="s">
        <v>3</v>
      </c>
      <c r="AW97" t="s">
        <v>11</v>
      </c>
      <c r="AX97">
        <f>Tabla1[[#This Row],[precio del paquete]]-Tabla1[[#This Row],[Saldo_Deudor]]</f>
        <v>2500</v>
      </c>
      <c r="AY97">
        <v>12300</v>
      </c>
      <c r="AZ97" t="s">
        <v>1</v>
      </c>
      <c r="BA97" t="s">
        <v>1</v>
      </c>
      <c r="BB97" t="s">
        <v>1</v>
      </c>
      <c r="BC97" t="s">
        <v>1394</v>
      </c>
      <c r="BD97" t="s">
        <v>1400</v>
      </c>
      <c r="BE97" t="s">
        <v>3</v>
      </c>
      <c r="BF97" t="s">
        <v>3</v>
      </c>
      <c r="BG97" t="s">
        <v>3</v>
      </c>
      <c r="BH97" t="s">
        <v>3</v>
      </c>
      <c r="BI97" t="s">
        <v>3</v>
      </c>
      <c r="BJ97" t="s">
        <v>3353</v>
      </c>
      <c r="BK97" t="s">
        <v>3</v>
      </c>
      <c r="BL97" t="s">
        <v>132</v>
      </c>
      <c r="BM97" t="s">
        <v>1</v>
      </c>
      <c r="BN97">
        <f>Tabla1[[#This Row],[precio del paquete]]</f>
        <v>14800</v>
      </c>
      <c r="BO97" t="s">
        <v>1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3382</v>
      </c>
      <c r="CD97" t="str" cm="1">
        <f t="array" aca="1" ref="CD97" ca="1">eConcatenar(A97:CB97,"|")</f>
        <v>yIGGyQ8Ql8S9G3io|CAR2022-0680|3|MEMORIAL|TABASCO|CARDENAS|CARDENAS|2022-02-03|14800|0|200|50|1|0|0|0|0|0|0|0|0|0|0||0|0|0|DE DIOS|DE LA CRUZ|NIEVE|SOLTERO|X|X|CALLE NUMERO 1 CASA NUMERO 47|C-20 MIGUEL MIGUEL HIDALGO COSTILLA|X|X|X|X|X|CALLE NUMERO 1 CASA NUMERO 47|X|LUNES|x|x|x|x|x|DOMICILIO |2500|12300|X|X|X|2022-02-03|2022-02-10|x|x|x|x|x|TGYGIVCAZFPUVXE|x|HOMBRE|X|14800|X|X|X|X|X|X|X|X|CARDENAS|X|X|X|X|FINAL</v>
      </c>
    </row>
    <row r="98" spans="1:82" x14ac:dyDescent="0.25">
      <c r="A98" t="s">
        <v>320</v>
      </c>
      <c r="B98" t="s">
        <v>321</v>
      </c>
      <c r="C98">
        <v>3</v>
      </c>
      <c r="D98" t="s">
        <v>1369</v>
      </c>
      <c r="E98" t="s">
        <v>1380</v>
      </c>
      <c r="F98" t="s">
        <v>1381</v>
      </c>
      <c r="G98" t="s">
        <v>1381</v>
      </c>
      <c r="H98" t="s">
        <v>1391</v>
      </c>
      <c r="I98">
        <v>14800</v>
      </c>
      <c r="J98">
        <v>0</v>
      </c>
      <c r="K98">
        <v>50</v>
      </c>
      <c r="L98">
        <v>50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 t="s">
        <v>1711</v>
      </c>
      <c r="AC98" t="s">
        <v>1855</v>
      </c>
      <c r="AD98" s="18" t="s">
        <v>1856</v>
      </c>
      <c r="AE98" t="s">
        <v>4</v>
      </c>
      <c r="AF98" t="s">
        <v>1</v>
      </c>
      <c r="AG98" t="s">
        <v>1</v>
      </c>
      <c r="AH98" t="s">
        <v>2529</v>
      </c>
      <c r="AI98" t="s">
        <v>3017</v>
      </c>
      <c r="AJ98" t="s">
        <v>1</v>
      </c>
      <c r="AK98" t="s">
        <v>1</v>
      </c>
      <c r="AL98" t="s">
        <v>1</v>
      </c>
      <c r="AM98" t="s">
        <v>1</v>
      </c>
      <c r="AN98" t="s">
        <v>1</v>
      </c>
      <c r="AO98" t="s">
        <v>2529</v>
      </c>
      <c r="AP98" t="s">
        <v>1</v>
      </c>
      <c r="AQ98" t="s">
        <v>2</v>
      </c>
      <c r="AR98" t="s">
        <v>3</v>
      </c>
      <c r="AS98" t="s">
        <v>3</v>
      </c>
      <c r="AT98" t="s">
        <v>3</v>
      </c>
      <c r="AU98" t="s">
        <v>3</v>
      </c>
      <c r="AV98" t="s">
        <v>3</v>
      </c>
      <c r="AW98" t="s">
        <v>11</v>
      </c>
      <c r="AX98">
        <f>Tabla1[[#This Row],[precio del paquete]]-Tabla1[[#This Row],[Saldo_Deudor]]</f>
        <v>50</v>
      </c>
      <c r="AY98">
        <v>14750</v>
      </c>
      <c r="AZ98" t="s">
        <v>1</v>
      </c>
      <c r="BA98" t="s">
        <v>1</v>
      </c>
      <c r="BB98" t="s">
        <v>1</v>
      </c>
      <c r="BC98" t="s">
        <v>1391</v>
      </c>
      <c r="BD98" t="s">
        <v>1399</v>
      </c>
      <c r="BE98" t="s">
        <v>3</v>
      </c>
      <c r="BF98" t="s">
        <v>3</v>
      </c>
      <c r="BG98" t="s">
        <v>3</v>
      </c>
      <c r="BH98" t="s">
        <v>3</v>
      </c>
      <c r="BI98" t="s">
        <v>3</v>
      </c>
      <c r="BJ98" t="s">
        <v>3353</v>
      </c>
      <c r="BK98" t="s">
        <v>3</v>
      </c>
      <c r="BL98" t="s">
        <v>132</v>
      </c>
      <c r="BM98" t="s">
        <v>1</v>
      </c>
      <c r="BN98">
        <f>Tabla1[[#This Row],[precio del paquete]]</f>
        <v>14800</v>
      </c>
      <c r="BO98" t="s">
        <v>1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3382</v>
      </c>
      <c r="CD98" t="str" cm="1">
        <f t="array" aca="1" ref="CD98" ca="1">eConcatenar(A98:CB98,"|")</f>
        <v>wBx0B78c6r3wj80a|CAR2022-0693|3|MEMORIAL|TABASCO|CUNDUACAN|CUNDUACAN|2022-02-04|14800|0|50|50|0|0|0|0|0|0|0|0|0|0|0||0|0|0|HERNANDEZ|NARANJO|MAGDALENA|SOLTERO|X|X|CARRETERA A CALZADA SIN NUMERO |YOLOXOCHILT SEGUNDA SECCION|X|X|X|X|X|CARRETERA A CALZADA SIN NUMERO |X|LUNES|x|x|x|x|x|DOMICILIO |50|14750|X|X|X|2022-02-04|2022-02-11|x|x|x|x|x|TGYGIVCAZFPUVXE|x|HOMBRE|X|14800|X|X|X|X|X|X|X|X|CARDENAS|X|X|X|X|FINAL</v>
      </c>
    </row>
    <row r="99" spans="1:82" x14ac:dyDescent="0.25">
      <c r="A99" t="s">
        <v>322</v>
      </c>
      <c r="B99" t="s">
        <v>323</v>
      </c>
      <c r="C99">
        <v>3</v>
      </c>
      <c r="D99" t="s">
        <v>1369</v>
      </c>
      <c r="E99" t="s">
        <v>1380</v>
      </c>
      <c r="F99" t="s">
        <v>1381</v>
      </c>
      <c r="G99" t="s">
        <v>1381</v>
      </c>
      <c r="H99" t="s">
        <v>1397</v>
      </c>
      <c r="I99">
        <v>14800</v>
      </c>
      <c r="J99">
        <v>0</v>
      </c>
      <c r="K99">
        <v>100</v>
      </c>
      <c r="L99">
        <v>50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 t="s">
        <v>1731</v>
      </c>
      <c r="AC99" t="s">
        <v>1727</v>
      </c>
      <c r="AD99" s="18" t="s">
        <v>1857</v>
      </c>
      <c r="AE99" t="s">
        <v>4</v>
      </c>
      <c r="AF99" t="s">
        <v>1</v>
      </c>
      <c r="AG99" t="s">
        <v>1</v>
      </c>
      <c r="AH99" t="s">
        <v>2530</v>
      </c>
      <c r="AI99" t="s">
        <v>3017</v>
      </c>
      <c r="AJ99" t="s">
        <v>1</v>
      </c>
      <c r="AK99" t="s">
        <v>1</v>
      </c>
      <c r="AL99" t="s">
        <v>1</v>
      </c>
      <c r="AM99" t="s">
        <v>1</v>
      </c>
      <c r="AN99" t="s">
        <v>1</v>
      </c>
      <c r="AO99" t="s">
        <v>2530</v>
      </c>
      <c r="AP99" t="s">
        <v>1</v>
      </c>
      <c r="AQ99" t="s">
        <v>2</v>
      </c>
      <c r="AR99" t="s">
        <v>3</v>
      </c>
      <c r="AS99" t="s">
        <v>3</v>
      </c>
      <c r="AT99" t="s">
        <v>3</v>
      </c>
      <c r="AU99" t="s">
        <v>3</v>
      </c>
      <c r="AV99" t="s">
        <v>3</v>
      </c>
      <c r="AW99" t="s">
        <v>11</v>
      </c>
      <c r="AX99">
        <f>Tabla1[[#This Row],[precio del paquete]]-Tabla1[[#This Row],[Saldo_Deudor]]</f>
        <v>100</v>
      </c>
      <c r="AY99">
        <v>14700</v>
      </c>
      <c r="AZ99" t="s">
        <v>1</v>
      </c>
      <c r="BA99" t="s">
        <v>1</v>
      </c>
      <c r="BB99" t="s">
        <v>1</v>
      </c>
      <c r="BC99" t="s">
        <v>1397</v>
      </c>
      <c r="BD99" t="s">
        <v>3255</v>
      </c>
      <c r="BE99" t="s">
        <v>3</v>
      </c>
      <c r="BF99" t="s">
        <v>3</v>
      </c>
      <c r="BG99" t="s">
        <v>3</v>
      </c>
      <c r="BH99" t="s">
        <v>3</v>
      </c>
      <c r="BI99" t="s">
        <v>3</v>
      </c>
      <c r="BJ99" t="s">
        <v>3353</v>
      </c>
      <c r="BK99" t="s">
        <v>3</v>
      </c>
      <c r="BL99" t="s">
        <v>132</v>
      </c>
      <c r="BM99" t="s">
        <v>1</v>
      </c>
      <c r="BN99">
        <f>Tabla1[[#This Row],[precio del paquete]]</f>
        <v>14800</v>
      </c>
      <c r="BO99" t="s">
        <v>1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3382</v>
      </c>
      <c r="CD99" t="str" cm="1">
        <f t="array" aca="1" ref="CD99" ca="1">eConcatenar(A99:CB99,"|")</f>
        <v>EwQhKzod2fAFC0Vn|CAR2022-0821|3|MEMORIAL|TABASCO|CUNDUACAN|CUNDUACAN|2022-02-07|14800|0|100|50|1|0|0|0|0|0|0|0|0|0|0||0|0|0|GARCIA|RIVERA|CARLOS|SOLTERO|X|X|CARRETERA TULIPAN CUNDUACAN SIN NUMERO|YOLOXOCHILT SEGUNDA SECCION|X|X|X|X|X|CARRETERA TULIPAN CUNDUACAN SIN NUMERO|X|LUNES|x|x|x|x|x|DOMICILIO |100|14700|X|X|X|2022-02-07|2022-02-14|x|x|x|x|x|TGYGIVCAZFPUVXE|x|HOMBRE|X|14800|X|X|X|X|X|X|X|X|CARDENAS|X|X|X|X|FINAL</v>
      </c>
    </row>
    <row r="100" spans="1:82" x14ac:dyDescent="0.25">
      <c r="A100" t="s">
        <v>324</v>
      </c>
      <c r="B100" t="s">
        <v>325</v>
      </c>
      <c r="C100">
        <v>3</v>
      </c>
      <c r="D100" t="s">
        <v>1368</v>
      </c>
      <c r="E100" t="s">
        <v>1380</v>
      </c>
      <c r="F100" t="s">
        <v>0</v>
      </c>
      <c r="G100" t="s">
        <v>0</v>
      </c>
      <c r="H100" t="s">
        <v>1394</v>
      </c>
      <c r="I100">
        <v>24500</v>
      </c>
      <c r="J100">
        <v>0</v>
      </c>
      <c r="K100">
        <v>100</v>
      </c>
      <c r="L100">
        <v>50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 t="s">
        <v>1698</v>
      </c>
      <c r="AC100" t="s">
        <v>1855</v>
      </c>
      <c r="AD100" s="18" t="s">
        <v>1858</v>
      </c>
      <c r="AE100" t="s">
        <v>4</v>
      </c>
      <c r="AF100" t="s">
        <v>1</v>
      </c>
      <c r="AG100" t="s">
        <v>1</v>
      </c>
      <c r="AH100" t="s">
        <v>2531</v>
      </c>
      <c r="AI100" t="s">
        <v>3018</v>
      </c>
      <c r="AJ100" t="s">
        <v>1</v>
      </c>
      <c r="AK100" t="s">
        <v>1</v>
      </c>
      <c r="AL100" t="s">
        <v>1</v>
      </c>
      <c r="AM100" t="s">
        <v>1</v>
      </c>
      <c r="AN100" t="s">
        <v>1</v>
      </c>
      <c r="AO100" t="s">
        <v>2531</v>
      </c>
      <c r="AP100" t="s">
        <v>1</v>
      </c>
      <c r="AQ100" t="s">
        <v>2</v>
      </c>
      <c r="AR100" t="s">
        <v>3</v>
      </c>
      <c r="AS100" t="s">
        <v>3</v>
      </c>
      <c r="AT100" t="s">
        <v>3</v>
      </c>
      <c r="AU100" t="s">
        <v>3</v>
      </c>
      <c r="AV100" t="s">
        <v>3</v>
      </c>
      <c r="AW100" t="s">
        <v>11</v>
      </c>
      <c r="AX100">
        <f>Tabla1[[#This Row],[precio del paquete]]-Tabla1[[#This Row],[Saldo_Deudor]]</f>
        <v>9800</v>
      </c>
      <c r="AY100">
        <v>14700</v>
      </c>
      <c r="AZ100" t="s">
        <v>1</v>
      </c>
      <c r="BA100" t="s">
        <v>1</v>
      </c>
      <c r="BB100" t="s">
        <v>1</v>
      </c>
      <c r="BC100" t="s">
        <v>1394</v>
      </c>
      <c r="BD100" t="s">
        <v>1400</v>
      </c>
      <c r="BE100" t="s">
        <v>3</v>
      </c>
      <c r="BF100" t="s">
        <v>3</v>
      </c>
      <c r="BG100" t="s">
        <v>3</v>
      </c>
      <c r="BH100" t="s">
        <v>3</v>
      </c>
      <c r="BI100" t="s">
        <v>3</v>
      </c>
      <c r="BJ100" t="s">
        <v>3368</v>
      </c>
      <c r="BK100" t="s">
        <v>3</v>
      </c>
      <c r="BL100" t="s">
        <v>132</v>
      </c>
      <c r="BM100" t="s">
        <v>1</v>
      </c>
      <c r="BN100">
        <f>Tabla1[[#This Row],[precio del paquete]]</f>
        <v>24500</v>
      </c>
      <c r="BO100" t="s">
        <v>1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3382</v>
      </c>
      <c r="CD100" t="str" cm="1">
        <f t="array" aca="1" ref="CD100" ca="1">eConcatenar(A100:CB100,"|")</f>
        <v>JfxhghfeZbqDvqX6|CAR2022-0675|3|DIGNITY|TABASCO|CARDENAS|CARDENAS|2022-02-03|24500|0|100|50|0|0|0|0|0|0|0|0|0|0|0||0|0|0|VAZQUEZ|NARANJO|EDITA|SOLTERO|X|X|CARRETERA CARDENAS-COATZACOALCOS KILOMETRO 113|ARROYO HONDO PRIMERA SECCION  |X|X|X|X|X|CARRETERA CARDENAS-COATZACOALCOS KILOMETRO 113|X|LUNES|x|x|x|x|x|DOMICILIO |9800|14700|X|X|X|2022-02-03|2022-02-10|x|x|x|x|x|QWZGYVYW9KVTQO|x|HOMBRE|X|24500|X|X|X|X|X|X|X|X|CARDENAS|X|X|X|X|FINAL</v>
      </c>
    </row>
    <row r="101" spans="1:82" x14ac:dyDescent="0.25">
      <c r="A101" t="s">
        <v>326</v>
      </c>
      <c r="B101" t="s">
        <v>327</v>
      </c>
      <c r="C101">
        <v>3</v>
      </c>
      <c r="D101" t="s">
        <v>1369</v>
      </c>
      <c r="E101" t="s">
        <v>1380</v>
      </c>
      <c r="F101" t="s">
        <v>1381</v>
      </c>
      <c r="G101" t="s">
        <v>1381</v>
      </c>
      <c r="H101" t="s">
        <v>1388</v>
      </c>
      <c r="I101">
        <v>14800</v>
      </c>
      <c r="J101">
        <v>0</v>
      </c>
      <c r="K101">
        <v>100</v>
      </c>
      <c r="L101">
        <v>50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 t="s">
        <v>1711</v>
      </c>
      <c r="AC101" t="s">
        <v>1731</v>
      </c>
      <c r="AD101" s="18" t="s">
        <v>1859</v>
      </c>
      <c r="AE101" t="s">
        <v>4</v>
      </c>
      <c r="AF101" t="s">
        <v>1</v>
      </c>
      <c r="AG101" t="s">
        <v>1</v>
      </c>
      <c r="AH101" t="s">
        <v>2532</v>
      </c>
      <c r="AI101" t="s">
        <v>3009</v>
      </c>
      <c r="AJ101" t="s">
        <v>1</v>
      </c>
      <c r="AK101" t="s">
        <v>1</v>
      </c>
      <c r="AL101" t="s">
        <v>1</v>
      </c>
      <c r="AM101" t="s">
        <v>1</v>
      </c>
      <c r="AN101" t="s">
        <v>1</v>
      </c>
      <c r="AO101" t="s">
        <v>2532</v>
      </c>
      <c r="AP101" t="s">
        <v>1</v>
      </c>
      <c r="AQ101" t="s">
        <v>2</v>
      </c>
      <c r="AR101" t="s">
        <v>3</v>
      </c>
      <c r="AS101" t="s">
        <v>3</v>
      </c>
      <c r="AT101" t="s">
        <v>3</v>
      </c>
      <c r="AU101" t="s">
        <v>3</v>
      </c>
      <c r="AV101" t="s">
        <v>3</v>
      </c>
      <c r="AW101" t="s">
        <v>11</v>
      </c>
      <c r="AX101">
        <f>Tabla1[[#This Row],[precio del paquete]]-Tabla1[[#This Row],[Saldo_Deudor]]</f>
        <v>100</v>
      </c>
      <c r="AY101">
        <v>14700</v>
      </c>
      <c r="AZ101" t="s">
        <v>1</v>
      </c>
      <c r="BA101" t="s">
        <v>1</v>
      </c>
      <c r="BB101" t="s">
        <v>1</v>
      </c>
      <c r="BC101" t="s">
        <v>1388</v>
      </c>
      <c r="BD101" t="s">
        <v>1398</v>
      </c>
      <c r="BE101" t="s">
        <v>3</v>
      </c>
      <c r="BF101" t="s">
        <v>3</v>
      </c>
      <c r="BG101" t="s">
        <v>3</v>
      </c>
      <c r="BH101" t="s">
        <v>3</v>
      </c>
      <c r="BI101" t="s">
        <v>3</v>
      </c>
      <c r="BJ101" t="s">
        <v>3366</v>
      </c>
      <c r="BK101" t="s">
        <v>3</v>
      </c>
      <c r="BL101" t="s">
        <v>132</v>
      </c>
      <c r="BM101" t="s">
        <v>1</v>
      </c>
      <c r="BN101">
        <f>Tabla1[[#This Row],[precio del paquete]]</f>
        <v>14800</v>
      </c>
      <c r="BO101" t="s">
        <v>1</v>
      </c>
      <c r="BP101" t="s">
        <v>1</v>
      </c>
      <c r="BQ101" t="s">
        <v>1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3382</v>
      </c>
      <c r="CD101" t="str" cm="1">
        <f t="array" aca="1" ref="CD101" ca="1">eConcatenar(A101:CB101,"|")</f>
        <v>C3fEiNAfcbZ5bNAL|CAR2022-0810|3|MEMORIAL|TABASCO|CUNDUACAN|CUNDUACAN|2022-02-05|14800|0|100|50|1|0|0|0|0|0|0|0|0|0|0||0|0|0|HERNANDEZ|GARCIA|CLEMENTINO|SOLTERO|X|X|CARRETERA A MONTE GRANDE SIN NUMERO|LIBERTAD QUINTA SECCION|X|X|X|X|X|CARRETERA A MONTE GRANDE SIN NUMERO|X|LUNES|x|x|x|x|x|DOMICILIO |100|14700|X|X|X|2022-02-05|2022-02-12|x|x|x|x|x|YCRYFAU92K60AMA|x|HOMBRE|X|14800|X|X|X|X|X|X|X|X|CARDENAS|X|X|X|X|FINAL</v>
      </c>
    </row>
    <row r="102" spans="1:82" x14ac:dyDescent="0.25">
      <c r="A102" t="s">
        <v>328</v>
      </c>
      <c r="B102" t="s">
        <v>329</v>
      </c>
      <c r="C102">
        <v>3</v>
      </c>
      <c r="D102" t="s">
        <v>1369</v>
      </c>
      <c r="E102" t="s">
        <v>1380</v>
      </c>
      <c r="F102" t="s">
        <v>0</v>
      </c>
      <c r="G102" t="s">
        <v>0</v>
      </c>
      <c r="H102" t="s">
        <v>1388</v>
      </c>
      <c r="I102">
        <v>14800</v>
      </c>
      <c r="J102">
        <v>0</v>
      </c>
      <c r="K102">
        <v>100</v>
      </c>
      <c r="L102">
        <v>50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 t="s">
        <v>1744</v>
      </c>
      <c r="AC102" t="s">
        <v>1812</v>
      </c>
      <c r="AD102" s="18" t="s">
        <v>1860</v>
      </c>
      <c r="AE102" t="s">
        <v>4</v>
      </c>
      <c r="AF102" t="s">
        <v>1</v>
      </c>
      <c r="AG102" t="s">
        <v>1</v>
      </c>
      <c r="AH102" t="s">
        <v>2533</v>
      </c>
      <c r="AI102" t="s">
        <v>2995</v>
      </c>
      <c r="AJ102" t="s">
        <v>1</v>
      </c>
      <c r="AK102" t="s">
        <v>1</v>
      </c>
      <c r="AL102" t="s">
        <v>1</v>
      </c>
      <c r="AM102" t="s">
        <v>1</v>
      </c>
      <c r="AN102" t="s">
        <v>1</v>
      </c>
      <c r="AO102" t="s">
        <v>2533</v>
      </c>
      <c r="AP102" t="s">
        <v>1</v>
      </c>
      <c r="AQ102" t="s">
        <v>2</v>
      </c>
      <c r="AR102" t="s">
        <v>3</v>
      </c>
      <c r="AS102" t="s">
        <v>3</v>
      </c>
      <c r="AT102" t="s">
        <v>3</v>
      </c>
      <c r="AU102" t="s">
        <v>3</v>
      </c>
      <c r="AV102" t="s">
        <v>3</v>
      </c>
      <c r="AW102" t="s">
        <v>11</v>
      </c>
      <c r="AX102">
        <f>Tabla1[[#This Row],[precio del paquete]]-Tabla1[[#This Row],[Saldo_Deudor]]</f>
        <v>100</v>
      </c>
      <c r="AY102">
        <v>14700</v>
      </c>
      <c r="AZ102" t="s">
        <v>1</v>
      </c>
      <c r="BA102" t="s">
        <v>1</v>
      </c>
      <c r="BB102" t="s">
        <v>1</v>
      </c>
      <c r="BC102" t="s">
        <v>1401</v>
      </c>
      <c r="BD102" t="s">
        <v>1406</v>
      </c>
      <c r="BE102" t="s">
        <v>3</v>
      </c>
      <c r="BF102" t="s">
        <v>3</v>
      </c>
      <c r="BG102" t="s">
        <v>3</v>
      </c>
      <c r="BH102" t="s">
        <v>3</v>
      </c>
      <c r="BI102" t="s">
        <v>3</v>
      </c>
      <c r="BJ102" t="s">
        <v>3369</v>
      </c>
      <c r="BK102" t="s">
        <v>3</v>
      </c>
      <c r="BL102" t="s">
        <v>132</v>
      </c>
      <c r="BM102" t="s">
        <v>1</v>
      </c>
      <c r="BN102">
        <f>Tabla1[[#This Row],[precio del paquete]]</f>
        <v>14800</v>
      </c>
      <c r="BO102" t="s">
        <v>1</v>
      </c>
      <c r="BP102" t="s">
        <v>1</v>
      </c>
      <c r="BQ102" t="s">
        <v>1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3382</v>
      </c>
      <c r="CD102" t="str" cm="1">
        <f t="array" aca="1" ref="CD102" ca="1">eConcatenar(A102:CB102,"|")</f>
        <v>IbDgUq7Fh5BIBMmK|CAR2022-0849|3|MEMORIAL|TABASCO|CARDENAS|CARDENAS|2022-02-05|14800|0|100|50|0|0|0|0|0|0|0|0|0|0|0||0|0|0|PEREZ|SANCHEZ|ORLANDONI|SOLTERO|X|X|CALLEJON DE ACCESO NUMERO 5|OBRERA|X|X|X|X|X|CALLEJON DE ACCESO NUMERO 5|X|LUNES|x|x|x|x|x|DOMICILIO |100|14700|X|X|X|2022-02-09|2022-02-16|x|x|x|x|x|QWYNRBIY9KVZQO|x|HOMBRE|X|14800|X|X|X|X|X|X|X|X|CARDENAS|X|X|X|X|FINAL</v>
      </c>
    </row>
    <row r="103" spans="1:82" x14ac:dyDescent="0.25">
      <c r="A103" t="s">
        <v>330</v>
      </c>
      <c r="B103" t="s">
        <v>331</v>
      </c>
      <c r="C103">
        <v>3</v>
      </c>
      <c r="D103" t="s">
        <v>1368</v>
      </c>
      <c r="E103" t="s">
        <v>1380</v>
      </c>
      <c r="F103" t="s">
        <v>0</v>
      </c>
      <c r="G103" t="s">
        <v>0</v>
      </c>
      <c r="H103" t="s">
        <v>1398</v>
      </c>
      <c r="I103">
        <v>24500</v>
      </c>
      <c r="J103">
        <v>0</v>
      </c>
      <c r="K103">
        <v>100</v>
      </c>
      <c r="L103">
        <v>50</v>
      </c>
      <c r="M103">
        <v>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 t="s">
        <v>1861</v>
      </c>
      <c r="AC103" t="s">
        <v>1862</v>
      </c>
      <c r="AD103" s="18" t="s">
        <v>1863</v>
      </c>
      <c r="AE103" t="s">
        <v>4</v>
      </c>
      <c r="AF103" t="s">
        <v>1</v>
      </c>
      <c r="AG103" t="s">
        <v>1</v>
      </c>
      <c r="AH103" t="s">
        <v>2534</v>
      </c>
      <c r="AI103" t="s">
        <v>2979</v>
      </c>
      <c r="AJ103" t="s">
        <v>1</v>
      </c>
      <c r="AK103" t="s">
        <v>1</v>
      </c>
      <c r="AL103" t="s">
        <v>1</v>
      </c>
      <c r="AM103" t="s">
        <v>1</v>
      </c>
      <c r="AN103" t="s">
        <v>1</v>
      </c>
      <c r="AO103" t="s">
        <v>2534</v>
      </c>
      <c r="AP103" t="s">
        <v>1</v>
      </c>
      <c r="AQ103" t="s">
        <v>2</v>
      </c>
      <c r="AR103" t="s">
        <v>3</v>
      </c>
      <c r="AS103" t="s">
        <v>3</v>
      </c>
      <c r="AT103" t="s">
        <v>3</v>
      </c>
      <c r="AU103" t="s">
        <v>3</v>
      </c>
      <c r="AV103" t="s">
        <v>3</v>
      </c>
      <c r="AW103" t="s">
        <v>11</v>
      </c>
      <c r="AX103">
        <f>Tabla1[[#This Row],[precio del paquete]]-Tabla1[[#This Row],[Saldo_Deudor]]</f>
        <v>100</v>
      </c>
      <c r="AY103">
        <v>24400</v>
      </c>
      <c r="AZ103" t="s">
        <v>1</v>
      </c>
      <c r="BA103" t="s">
        <v>1</v>
      </c>
      <c r="BB103" t="s">
        <v>1</v>
      </c>
      <c r="BC103" t="s">
        <v>1398</v>
      </c>
      <c r="BD103" t="s">
        <v>3252</v>
      </c>
      <c r="BE103" t="s">
        <v>3</v>
      </c>
      <c r="BF103" t="s">
        <v>3</v>
      </c>
      <c r="BG103" t="s">
        <v>3</v>
      </c>
      <c r="BH103" t="s">
        <v>3</v>
      </c>
      <c r="BI103" t="s">
        <v>3</v>
      </c>
      <c r="BJ103" t="s">
        <v>3369</v>
      </c>
      <c r="BK103" t="s">
        <v>3</v>
      </c>
      <c r="BL103" t="s">
        <v>132</v>
      </c>
      <c r="BM103" t="s">
        <v>1</v>
      </c>
      <c r="BN103">
        <f>Tabla1[[#This Row],[precio del paquete]]</f>
        <v>24500</v>
      </c>
      <c r="BO103" t="s">
        <v>1</v>
      </c>
      <c r="BP103" t="s">
        <v>1</v>
      </c>
      <c r="BQ103" t="s">
        <v>1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3382</v>
      </c>
      <c r="CD103" t="str" cm="1">
        <f t="array" aca="1" ref="CD103" ca="1">eConcatenar(A103:CB103,"|")</f>
        <v>PryTaN5GrY74iI27|CAR2022-0893|3|DIGNITY|TABASCO|CARDENAS|CARDENAS|2022-02-12|24500|0|100|50|2|0|0|0|0|0|0|0|0|0|0||0|0|0|SERRANO|SIERRA|MANUEL ANTONIO|SOLTERO|X|X|CALLE JACINTO LOPEZ|PUEBLO NUEVO|X|X|X|X|X|CALLE JACINTO LOPEZ|X|LUNES|x|x|x|x|x|DOMICILIO |100|24400|X|X|X|2022-02-12|2022-02-19|x|x|x|x|x|QWYNRBIY9KVZQO|x|HOMBRE|X|24500|X|X|X|X|X|X|X|X|CARDENAS|X|X|X|X|FINAL</v>
      </c>
    </row>
    <row r="104" spans="1:82" x14ac:dyDescent="0.25">
      <c r="A104" t="s">
        <v>332</v>
      </c>
      <c r="B104" t="s">
        <v>333</v>
      </c>
      <c r="C104">
        <v>3</v>
      </c>
      <c r="D104" t="s">
        <v>1369</v>
      </c>
      <c r="E104" t="s">
        <v>1380</v>
      </c>
      <c r="F104" t="s">
        <v>1382</v>
      </c>
      <c r="G104" t="s">
        <v>1382</v>
      </c>
      <c r="H104" t="s">
        <v>1399</v>
      </c>
      <c r="I104">
        <v>14800</v>
      </c>
      <c r="J104">
        <v>0</v>
      </c>
      <c r="K104">
        <v>400</v>
      </c>
      <c r="L104">
        <v>50</v>
      </c>
      <c r="M104">
        <v>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 t="s">
        <v>1815</v>
      </c>
      <c r="AC104" t="s">
        <v>1739</v>
      </c>
      <c r="AD104" s="18" t="s">
        <v>1864</v>
      </c>
      <c r="AE104" t="s">
        <v>4</v>
      </c>
      <c r="AF104" t="s">
        <v>1</v>
      </c>
      <c r="AG104" t="s">
        <v>1</v>
      </c>
      <c r="AH104" t="s">
        <v>2465</v>
      </c>
      <c r="AI104" t="s">
        <v>2988</v>
      </c>
      <c r="AJ104" t="s">
        <v>1</v>
      </c>
      <c r="AK104" t="s">
        <v>1</v>
      </c>
      <c r="AL104" t="s">
        <v>1</v>
      </c>
      <c r="AM104" t="s">
        <v>1</v>
      </c>
      <c r="AN104" t="s">
        <v>1</v>
      </c>
      <c r="AO104" t="s">
        <v>2465</v>
      </c>
      <c r="AP104" t="s">
        <v>1</v>
      </c>
      <c r="AQ104" t="s">
        <v>2</v>
      </c>
      <c r="AR104" t="s">
        <v>3</v>
      </c>
      <c r="AS104" t="s">
        <v>3</v>
      </c>
      <c r="AT104" t="s">
        <v>3</v>
      </c>
      <c r="AU104" t="s">
        <v>3</v>
      </c>
      <c r="AV104" t="s">
        <v>3</v>
      </c>
      <c r="AW104" t="s">
        <v>11</v>
      </c>
      <c r="AX104">
        <f>Tabla1[[#This Row],[precio del paquete]]-Tabla1[[#This Row],[Saldo_Deudor]]</f>
        <v>400</v>
      </c>
      <c r="AY104">
        <v>14400</v>
      </c>
      <c r="AZ104" t="s">
        <v>1</v>
      </c>
      <c r="BA104" t="s">
        <v>1</v>
      </c>
      <c r="BB104" t="s">
        <v>1</v>
      </c>
      <c r="BC104" t="s">
        <v>1399</v>
      </c>
      <c r="BD104" t="s">
        <v>1407</v>
      </c>
      <c r="BE104" t="s">
        <v>3</v>
      </c>
      <c r="BF104" t="s">
        <v>3</v>
      </c>
      <c r="BG104" t="s">
        <v>3</v>
      </c>
      <c r="BH104" t="s">
        <v>3</v>
      </c>
      <c r="BI104" t="s">
        <v>3</v>
      </c>
      <c r="BJ104" t="s">
        <v>3369</v>
      </c>
      <c r="BK104" t="s">
        <v>3</v>
      </c>
      <c r="BL104" t="s">
        <v>132</v>
      </c>
      <c r="BM104" t="s">
        <v>1</v>
      </c>
      <c r="BN104">
        <f>Tabla1[[#This Row],[precio del paquete]]</f>
        <v>14800</v>
      </c>
      <c r="BO104" t="s">
        <v>1</v>
      </c>
      <c r="BP104" t="s">
        <v>1</v>
      </c>
      <c r="BQ104" t="s">
        <v>1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3382</v>
      </c>
      <c r="CD104" t="str" cm="1">
        <f t="array" aca="1" ref="CD104" ca="1">eConcatenar(A104:CB104,"|")</f>
        <v>uT45gmiWwYRwr4gA|CAR2022-0874|3|MEMORIAL|TABASCO|HUIMANGUILLO|HUIMANGUILLO|2022-02-11|14800|0|400|50|2|0|0|0|0|0|0|0|0|0|0||0|0|0|LEON|DE LOS SANTOS|REYNA|SOLTERO|X|X|CARRETERA PRINCIPAL SIN NUMERO|GENARO VAZQUEZ|X|X|X|X|X|CARRETERA PRINCIPAL SIN NUMERO|X|LUNES|x|x|x|x|x|DOMICILIO |400|14400|X|X|X|2022-02-11|2022-02-18|x|x|x|x|x|QWYNRBIY9KVZQO|x|HOMBRE|X|14800|X|X|X|X|X|X|X|X|CARDENAS|X|X|X|X|FINAL</v>
      </c>
    </row>
    <row r="105" spans="1:82" x14ac:dyDescent="0.25">
      <c r="A105" t="s">
        <v>334</v>
      </c>
      <c r="B105" t="s">
        <v>335</v>
      </c>
      <c r="C105">
        <v>3</v>
      </c>
      <c r="D105" t="s">
        <v>1369</v>
      </c>
      <c r="E105" t="s">
        <v>1380</v>
      </c>
      <c r="F105" t="s">
        <v>1381</v>
      </c>
      <c r="G105" t="s">
        <v>1381</v>
      </c>
      <c r="H105" t="s">
        <v>1399</v>
      </c>
      <c r="I105">
        <v>14800</v>
      </c>
      <c r="J105">
        <v>0</v>
      </c>
      <c r="K105">
        <v>200</v>
      </c>
      <c r="L105">
        <v>50</v>
      </c>
      <c r="M105">
        <v>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 t="s">
        <v>1715</v>
      </c>
      <c r="AC105" t="s">
        <v>1772</v>
      </c>
      <c r="AD105" s="18" t="s">
        <v>1865</v>
      </c>
      <c r="AE105" t="s">
        <v>4</v>
      </c>
      <c r="AF105" t="s">
        <v>1</v>
      </c>
      <c r="AG105" t="s">
        <v>1</v>
      </c>
      <c r="AH105" t="s">
        <v>2535</v>
      </c>
      <c r="AI105" t="s">
        <v>3019</v>
      </c>
      <c r="AJ105" t="s">
        <v>1</v>
      </c>
      <c r="AK105" t="s">
        <v>1</v>
      </c>
      <c r="AL105" t="s">
        <v>1</v>
      </c>
      <c r="AM105" t="s">
        <v>1</v>
      </c>
      <c r="AN105" t="s">
        <v>1</v>
      </c>
      <c r="AO105" t="s">
        <v>2535</v>
      </c>
      <c r="AP105" t="s">
        <v>1</v>
      </c>
      <c r="AQ105" t="s">
        <v>2</v>
      </c>
      <c r="AR105" t="s">
        <v>3</v>
      </c>
      <c r="AS105" t="s">
        <v>3</v>
      </c>
      <c r="AT105" t="s">
        <v>3</v>
      </c>
      <c r="AU105" t="s">
        <v>3</v>
      </c>
      <c r="AV105" t="s">
        <v>3</v>
      </c>
      <c r="AW105" t="s">
        <v>11</v>
      </c>
      <c r="AX105">
        <f>Tabla1[[#This Row],[precio del paquete]]-Tabla1[[#This Row],[Saldo_Deudor]]</f>
        <v>200</v>
      </c>
      <c r="AY105">
        <v>14600</v>
      </c>
      <c r="AZ105" t="s">
        <v>1</v>
      </c>
      <c r="BA105" t="s">
        <v>1</v>
      </c>
      <c r="BB105" t="s">
        <v>1</v>
      </c>
      <c r="BC105" t="s">
        <v>1399</v>
      </c>
      <c r="BD105" t="s">
        <v>1407</v>
      </c>
      <c r="BE105" t="s">
        <v>3</v>
      </c>
      <c r="BF105" t="s">
        <v>3</v>
      </c>
      <c r="BG105" t="s">
        <v>3</v>
      </c>
      <c r="BH105" t="s">
        <v>3</v>
      </c>
      <c r="BI105" t="s">
        <v>3</v>
      </c>
      <c r="BJ105" t="s">
        <v>3369</v>
      </c>
      <c r="BK105" t="s">
        <v>3</v>
      </c>
      <c r="BL105" t="s">
        <v>132</v>
      </c>
      <c r="BM105" t="s">
        <v>1</v>
      </c>
      <c r="BN105">
        <f>Tabla1[[#This Row],[precio del paquete]]</f>
        <v>14800</v>
      </c>
      <c r="BO105" t="s">
        <v>1</v>
      </c>
      <c r="BP105" t="s">
        <v>1</v>
      </c>
      <c r="BQ105" t="s">
        <v>1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3382</v>
      </c>
      <c r="CD105" t="str" cm="1">
        <f t="array" aca="1" ref="CD105" ca="1">eConcatenar(A105:CB105,"|")</f>
        <v>mMYlJ5fAQ3URDO32|CAR2022-0881|3|MEMORIAL|TABASCO|CUNDUACAN|CUNDUACAN|2022-02-11|14800|0|200|50|2|0|0|0|0|0|0|0|0|0|0||0|0|0|CANO|LANDERO|MARIA SANTO|SOLTERO|X|X|CARRETERA A SANTA ROSA SIN NUMERO|EJIDO NUEVO PROGRESO|X|X|X|X|X|CARRETERA A SANTA ROSA SIN NUMERO|X|LUNES|x|x|x|x|x|DOMICILIO |200|14600|X|X|X|2022-02-11|2022-02-18|x|x|x|x|x|QWYNRBIY9KVZQO|x|HOMBRE|X|14800|X|X|X|X|X|X|X|X|CARDENAS|X|X|X|X|FINAL</v>
      </c>
    </row>
    <row r="106" spans="1:82" x14ac:dyDescent="0.25">
      <c r="A106" t="s">
        <v>336</v>
      </c>
      <c r="B106" t="s">
        <v>337</v>
      </c>
      <c r="C106">
        <v>3</v>
      </c>
      <c r="D106" t="s">
        <v>1369</v>
      </c>
      <c r="E106" t="s">
        <v>1380</v>
      </c>
      <c r="F106" t="s">
        <v>1381</v>
      </c>
      <c r="G106" t="s">
        <v>1381</v>
      </c>
      <c r="H106" t="s">
        <v>1399</v>
      </c>
      <c r="I106">
        <v>14800</v>
      </c>
      <c r="J106">
        <v>0</v>
      </c>
      <c r="K106">
        <v>100</v>
      </c>
      <c r="L106">
        <v>50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 t="s">
        <v>1866</v>
      </c>
      <c r="AC106" t="s">
        <v>1715</v>
      </c>
      <c r="AD106" s="18" t="s">
        <v>1867</v>
      </c>
      <c r="AE106" t="s">
        <v>4</v>
      </c>
      <c r="AF106" t="s">
        <v>1</v>
      </c>
      <c r="AG106" t="s">
        <v>1</v>
      </c>
      <c r="AH106" t="s">
        <v>2465</v>
      </c>
      <c r="AI106" t="s">
        <v>3019</v>
      </c>
      <c r="AJ106" t="s">
        <v>1</v>
      </c>
      <c r="AK106" t="s">
        <v>1</v>
      </c>
      <c r="AL106" t="s">
        <v>1</v>
      </c>
      <c r="AM106" t="s">
        <v>1</v>
      </c>
      <c r="AN106" t="s">
        <v>1</v>
      </c>
      <c r="AO106" t="s">
        <v>2465</v>
      </c>
      <c r="AP106" t="s">
        <v>1</v>
      </c>
      <c r="AQ106" t="s">
        <v>2</v>
      </c>
      <c r="AR106" t="s">
        <v>3</v>
      </c>
      <c r="AS106" t="s">
        <v>3</v>
      </c>
      <c r="AT106" t="s">
        <v>3</v>
      </c>
      <c r="AU106" t="s">
        <v>3</v>
      </c>
      <c r="AV106" t="s">
        <v>3</v>
      </c>
      <c r="AW106" t="s">
        <v>11</v>
      </c>
      <c r="AX106">
        <f>Tabla1[[#This Row],[precio del paquete]]-Tabla1[[#This Row],[Saldo_Deudor]]</f>
        <v>100</v>
      </c>
      <c r="AY106">
        <v>14700</v>
      </c>
      <c r="AZ106" t="s">
        <v>1</v>
      </c>
      <c r="BA106" t="s">
        <v>1</v>
      </c>
      <c r="BB106" t="s">
        <v>1</v>
      </c>
      <c r="BC106" t="s">
        <v>1399</v>
      </c>
      <c r="BD106" t="s">
        <v>1407</v>
      </c>
      <c r="BE106" t="s">
        <v>3</v>
      </c>
      <c r="BF106" t="s">
        <v>3</v>
      </c>
      <c r="BG106" t="s">
        <v>3</v>
      </c>
      <c r="BH106" t="s">
        <v>3</v>
      </c>
      <c r="BI106" t="s">
        <v>3</v>
      </c>
      <c r="BJ106" t="s">
        <v>3369</v>
      </c>
      <c r="BK106" t="s">
        <v>3</v>
      </c>
      <c r="BL106" t="s">
        <v>132</v>
      </c>
      <c r="BM106" t="s">
        <v>1</v>
      </c>
      <c r="BN106">
        <f>Tabla1[[#This Row],[precio del paquete]]</f>
        <v>14800</v>
      </c>
      <c r="BO106" t="s">
        <v>1</v>
      </c>
      <c r="BP106" t="s">
        <v>1</v>
      </c>
      <c r="BQ106" t="s">
        <v>1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3382</v>
      </c>
      <c r="CD106" t="str" cm="1">
        <f t="array" aca="1" ref="CD106" ca="1">eConcatenar(A106:CB106,"|")</f>
        <v>Pckzxz1cb3uiMteq|CAR2022-0882|3|MEMORIAL|TABASCO|CUNDUACAN|CUNDUACAN|2022-02-11|14800|0|100|50|1|0|0|0|0|0|0|0|0|0|0||0|0|0|BAUTISTA|CANO|MARIA DOLORES|SOLTERO|X|X|CARRETERA PRINCIPAL SIN NUMERO|EJIDO NUEVO PROGRESO|X|X|X|X|X|CARRETERA PRINCIPAL SIN NUMERO|X|LUNES|x|x|x|x|x|DOMICILIO |100|14700|X|X|X|2022-02-11|2022-02-18|x|x|x|x|x|QWYNRBIY9KVZQO|x|HOMBRE|X|14800|X|X|X|X|X|X|X|X|CARDENAS|X|X|X|X|FINAL</v>
      </c>
    </row>
    <row r="107" spans="1:82" x14ac:dyDescent="0.25">
      <c r="A107" t="s">
        <v>338</v>
      </c>
      <c r="B107" t="s">
        <v>339</v>
      </c>
      <c r="C107">
        <v>3</v>
      </c>
      <c r="D107" t="s">
        <v>1369</v>
      </c>
      <c r="E107" t="s">
        <v>1380</v>
      </c>
      <c r="F107" t="s">
        <v>1381</v>
      </c>
      <c r="G107" t="s">
        <v>1381</v>
      </c>
      <c r="H107" t="s">
        <v>1399</v>
      </c>
      <c r="I107">
        <v>14800</v>
      </c>
      <c r="J107">
        <v>0</v>
      </c>
      <c r="K107">
        <v>100</v>
      </c>
      <c r="L107">
        <v>50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 t="s">
        <v>1866</v>
      </c>
      <c r="AC107" t="s">
        <v>1715</v>
      </c>
      <c r="AD107" s="18" t="s">
        <v>1868</v>
      </c>
      <c r="AE107" t="s">
        <v>4</v>
      </c>
      <c r="AF107" t="s">
        <v>1</v>
      </c>
      <c r="AG107" t="s">
        <v>1</v>
      </c>
      <c r="AH107" t="s">
        <v>2465</v>
      </c>
      <c r="AI107" t="s">
        <v>3019</v>
      </c>
      <c r="AJ107" t="s">
        <v>1</v>
      </c>
      <c r="AK107" t="s">
        <v>1</v>
      </c>
      <c r="AL107" t="s">
        <v>1</v>
      </c>
      <c r="AM107" t="s">
        <v>1</v>
      </c>
      <c r="AN107" t="s">
        <v>1</v>
      </c>
      <c r="AO107" t="s">
        <v>2465</v>
      </c>
      <c r="AP107" t="s">
        <v>1</v>
      </c>
      <c r="AQ107" t="s">
        <v>2</v>
      </c>
      <c r="AR107" t="s">
        <v>3</v>
      </c>
      <c r="AS107" t="s">
        <v>3</v>
      </c>
      <c r="AT107" t="s">
        <v>3</v>
      </c>
      <c r="AU107" t="s">
        <v>3</v>
      </c>
      <c r="AV107" t="s">
        <v>3</v>
      </c>
      <c r="AW107" t="s">
        <v>11</v>
      </c>
      <c r="AX107">
        <f>Tabla1[[#This Row],[precio del paquete]]-Tabla1[[#This Row],[Saldo_Deudor]]</f>
        <v>100</v>
      </c>
      <c r="AY107">
        <v>14700</v>
      </c>
      <c r="AZ107" t="s">
        <v>1</v>
      </c>
      <c r="BA107" t="s">
        <v>1</v>
      </c>
      <c r="BB107" t="s">
        <v>1</v>
      </c>
      <c r="BC107" t="s">
        <v>1399</v>
      </c>
      <c r="BD107" t="s">
        <v>1407</v>
      </c>
      <c r="BE107" t="s">
        <v>3</v>
      </c>
      <c r="BF107" t="s">
        <v>3</v>
      </c>
      <c r="BG107" t="s">
        <v>3</v>
      </c>
      <c r="BH107" t="s">
        <v>3</v>
      </c>
      <c r="BI107" t="s">
        <v>3</v>
      </c>
      <c r="BJ107" t="s">
        <v>3369</v>
      </c>
      <c r="BK107" t="s">
        <v>3</v>
      </c>
      <c r="BL107" t="s">
        <v>132</v>
      </c>
      <c r="BM107" t="s">
        <v>1</v>
      </c>
      <c r="BN107">
        <f>Tabla1[[#This Row],[precio del paquete]]</f>
        <v>14800</v>
      </c>
      <c r="BO107" t="s">
        <v>1</v>
      </c>
      <c r="BP107" t="s">
        <v>1</v>
      </c>
      <c r="BQ107" t="s">
        <v>1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3382</v>
      </c>
      <c r="CD107" t="str" cm="1">
        <f t="array" aca="1" ref="CD107" ca="1">eConcatenar(A107:CB107,"|")</f>
        <v>mjObDo9mwb4iqeL7|CAR2022-0883|3|MEMORIAL|TABASCO|CUNDUACAN|CUNDUACAN|2022-02-11|14800|0|100|50|1|0|0|0|0|0|0|0|0|0|0||0|0|0|BAUTISTA|CANO|ADRIANA MARCELA|SOLTERO|X|X|CARRETERA PRINCIPAL SIN NUMERO|EJIDO NUEVO PROGRESO|X|X|X|X|X|CARRETERA PRINCIPAL SIN NUMERO|X|LUNES|x|x|x|x|x|DOMICILIO |100|14700|X|X|X|2022-02-11|2022-02-18|x|x|x|x|x|QWYNRBIY9KVZQO|x|HOMBRE|X|14800|X|X|X|X|X|X|X|X|CARDENAS|X|X|X|X|FINAL</v>
      </c>
    </row>
    <row r="108" spans="1:82" x14ac:dyDescent="0.25">
      <c r="A108" t="s">
        <v>340</v>
      </c>
      <c r="B108" t="s">
        <v>341</v>
      </c>
      <c r="C108">
        <v>3</v>
      </c>
      <c r="D108" t="s">
        <v>1369</v>
      </c>
      <c r="E108" t="s">
        <v>1380</v>
      </c>
      <c r="F108" t="s">
        <v>0</v>
      </c>
      <c r="G108" t="s">
        <v>0</v>
      </c>
      <c r="H108" t="s">
        <v>1397</v>
      </c>
      <c r="I108">
        <v>14800</v>
      </c>
      <c r="J108">
        <v>0</v>
      </c>
      <c r="K108">
        <v>100</v>
      </c>
      <c r="L108">
        <v>50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 t="s">
        <v>7</v>
      </c>
      <c r="AC108" t="s">
        <v>1869</v>
      </c>
      <c r="AD108" s="18" t="s">
        <v>1870</v>
      </c>
      <c r="AE108" t="s">
        <v>4</v>
      </c>
      <c r="AF108" t="s">
        <v>1</v>
      </c>
      <c r="AG108" t="s">
        <v>1</v>
      </c>
      <c r="AH108" t="s">
        <v>2536</v>
      </c>
      <c r="AI108" t="s">
        <v>2995</v>
      </c>
      <c r="AJ108" t="s">
        <v>1</v>
      </c>
      <c r="AK108" t="s">
        <v>1</v>
      </c>
      <c r="AL108" t="s">
        <v>1</v>
      </c>
      <c r="AM108" t="s">
        <v>1</v>
      </c>
      <c r="AN108" t="s">
        <v>1</v>
      </c>
      <c r="AO108" t="s">
        <v>2536</v>
      </c>
      <c r="AP108" t="s">
        <v>1</v>
      </c>
      <c r="AQ108" t="s">
        <v>2</v>
      </c>
      <c r="AR108" t="s">
        <v>3</v>
      </c>
      <c r="AS108" t="s">
        <v>3</v>
      </c>
      <c r="AT108" t="s">
        <v>3</v>
      </c>
      <c r="AU108" t="s">
        <v>3</v>
      </c>
      <c r="AV108" t="s">
        <v>3</v>
      </c>
      <c r="AW108" t="s">
        <v>11</v>
      </c>
      <c r="AX108">
        <f>Tabla1[[#This Row],[precio del paquete]]-Tabla1[[#This Row],[Saldo_Deudor]]</f>
        <v>100</v>
      </c>
      <c r="AY108">
        <v>14700</v>
      </c>
      <c r="AZ108" t="s">
        <v>1</v>
      </c>
      <c r="BA108" t="s">
        <v>1</v>
      </c>
      <c r="BB108" t="s">
        <v>1</v>
      </c>
      <c r="BC108" t="s">
        <v>1397</v>
      </c>
      <c r="BD108" t="s">
        <v>3255</v>
      </c>
      <c r="BE108" t="s">
        <v>3</v>
      </c>
      <c r="BF108" t="s">
        <v>3</v>
      </c>
      <c r="BG108" t="s">
        <v>3</v>
      </c>
      <c r="BH108" t="s">
        <v>3</v>
      </c>
      <c r="BI108" t="s">
        <v>3</v>
      </c>
      <c r="BJ108" t="s">
        <v>3354</v>
      </c>
      <c r="BK108" t="s">
        <v>3</v>
      </c>
      <c r="BL108" t="s">
        <v>132</v>
      </c>
      <c r="BM108" t="s">
        <v>1</v>
      </c>
      <c r="BN108">
        <f>Tabla1[[#This Row],[precio del paquete]]</f>
        <v>14800</v>
      </c>
      <c r="BO108" t="s">
        <v>1</v>
      </c>
      <c r="BP108" t="s">
        <v>1</v>
      </c>
      <c r="BQ108" t="s">
        <v>1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3382</v>
      </c>
      <c r="CD108" t="str" cm="1">
        <f t="array" aca="1" ref="CD108" ca="1">eConcatenar(A108:CB108,"|")</f>
        <v>VZg7tyr1UUScz2IK|CAR2022-0822|3|MEMORIAL|TABASCO|CARDENAS|CARDENAS|2022-02-07|14800|0|100|50|1|0|0|0|0|0|0|0|0|0|0||0|0|0|LOPEZ|REYES|JESUS ALBERTO|SOLTERO|X|X|CALLE GREGORIO MENDEZ CASA NUMERO 9|OBRERA|X|X|X|X|X|CALLE GREGORIO MENDEZ CASA NUMERO 9|X|LUNES|x|x|x|x|x|DOMICILIO |100|14700|X|X|X|2022-02-07|2022-02-14|x|x|x|x|x|MYEDVABVTAZ4TPF|x|HOMBRE|X|14800|X|X|X|X|X|X|X|X|CARDENAS|X|X|X|X|FINAL</v>
      </c>
    </row>
    <row r="109" spans="1:82" x14ac:dyDescent="0.25">
      <c r="A109" t="s">
        <v>342</v>
      </c>
      <c r="B109" t="s">
        <v>343</v>
      </c>
      <c r="C109">
        <v>3</v>
      </c>
      <c r="D109" t="s">
        <v>1369</v>
      </c>
      <c r="E109" t="s">
        <v>1380</v>
      </c>
      <c r="F109" t="s">
        <v>0</v>
      </c>
      <c r="G109" t="s">
        <v>0</v>
      </c>
      <c r="H109" t="s">
        <v>1399</v>
      </c>
      <c r="I109">
        <v>14700</v>
      </c>
      <c r="J109">
        <v>0</v>
      </c>
      <c r="K109">
        <v>100</v>
      </c>
      <c r="L109">
        <v>50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 t="s">
        <v>1871</v>
      </c>
      <c r="AC109" t="s">
        <v>1713</v>
      </c>
      <c r="AD109" s="18" t="s">
        <v>1872</v>
      </c>
      <c r="AE109" t="s">
        <v>4</v>
      </c>
      <c r="AF109" t="s">
        <v>1</v>
      </c>
      <c r="AG109" t="s">
        <v>1</v>
      </c>
      <c r="AH109" t="s">
        <v>2537</v>
      </c>
      <c r="AI109" t="s">
        <v>2981</v>
      </c>
      <c r="AJ109" t="s">
        <v>1</v>
      </c>
      <c r="AK109" t="s">
        <v>1</v>
      </c>
      <c r="AL109" t="s">
        <v>1</v>
      </c>
      <c r="AM109" t="s">
        <v>1</v>
      </c>
      <c r="AN109" t="s">
        <v>1</v>
      </c>
      <c r="AO109" t="s">
        <v>2537</v>
      </c>
      <c r="AP109" t="s">
        <v>1</v>
      </c>
      <c r="AQ109" t="s">
        <v>2</v>
      </c>
      <c r="AR109" t="s">
        <v>3</v>
      </c>
      <c r="AS109" t="s">
        <v>3</v>
      </c>
      <c r="AT109" t="s">
        <v>3</v>
      </c>
      <c r="AU109" t="s">
        <v>3</v>
      </c>
      <c r="AV109" t="s">
        <v>3</v>
      </c>
      <c r="AW109" t="s">
        <v>11</v>
      </c>
      <c r="AX109">
        <f>Tabla1[[#This Row],[precio del paquete]]-Tabla1[[#This Row],[Saldo_Deudor]]</f>
        <v>0</v>
      </c>
      <c r="AY109">
        <v>14700</v>
      </c>
      <c r="AZ109" t="s">
        <v>1</v>
      </c>
      <c r="BA109" t="s">
        <v>1</v>
      </c>
      <c r="BB109" t="s">
        <v>1</v>
      </c>
      <c r="BC109" t="s">
        <v>1399</v>
      </c>
      <c r="BD109" t="s">
        <v>1407</v>
      </c>
      <c r="BE109" t="s">
        <v>3</v>
      </c>
      <c r="BF109" t="s">
        <v>3</v>
      </c>
      <c r="BG109" t="s">
        <v>3</v>
      </c>
      <c r="BH109" t="s">
        <v>3</v>
      </c>
      <c r="BI109" t="s">
        <v>3</v>
      </c>
      <c r="BJ109" t="s">
        <v>3369</v>
      </c>
      <c r="BK109" t="s">
        <v>3</v>
      </c>
      <c r="BL109" t="s">
        <v>132</v>
      </c>
      <c r="BM109" t="s">
        <v>1</v>
      </c>
      <c r="BN109">
        <f>Tabla1[[#This Row],[precio del paquete]]</f>
        <v>14700</v>
      </c>
      <c r="BO109" t="s">
        <v>1</v>
      </c>
      <c r="BP109" t="s">
        <v>1</v>
      </c>
      <c r="BQ109" t="s">
        <v>1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3382</v>
      </c>
      <c r="CD109" t="str" cm="1">
        <f t="array" aca="1" ref="CD109" ca="1">eConcatenar(A109:CB109,"|")</f>
        <v>2kgD7a1FiJayeuL2|CAR2022-0877|3|MEMORIAL|TABASCO|CARDENAS|CARDENAS|2022-02-11|14700|0|100|50|0|0|0|0|0|0|0|0|0|0|0||0|0|0|MONDRAGON|DE LA CRUZ|PATRICIA|SOLTERO|X|X|CALLE NUMERO 3 SIN NOMBRE|ALAMEDA|X|X|X|X|X|CALLE NUMERO 3 SIN NOMBRE|X|LUNES|x|x|x|x|x|DOMICILIO |0|14700|X|X|X|2022-02-11|2022-02-18|x|x|x|x|x|QWYNRBIY9KVZQO|x|HOMBRE|X|14700|X|X|X|X|X|X|X|X|CARDENAS|X|X|X|X|FINAL</v>
      </c>
    </row>
    <row r="110" spans="1:82" x14ac:dyDescent="0.25">
      <c r="A110" t="s">
        <v>344</v>
      </c>
      <c r="B110" t="s">
        <v>345</v>
      </c>
      <c r="C110">
        <v>3</v>
      </c>
      <c r="D110" t="s">
        <v>1368</v>
      </c>
      <c r="E110" t="s">
        <v>1380</v>
      </c>
      <c r="F110" t="s">
        <v>0</v>
      </c>
      <c r="G110" t="s">
        <v>0</v>
      </c>
      <c r="H110" t="s">
        <v>1400</v>
      </c>
      <c r="I110">
        <v>24500</v>
      </c>
      <c r="J110">
        <v>0</v>
      </c>
      <c r="K110">
        <v>200</v>
      </c>
      <c r="L110">
        <v>50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 t="s">
        <v>1873</v>
      </c>
      <c r="AC110" t="s">
        <v>1874</v>
      </c>
      <c r="AD110" s="18" t="s">
        <v>1875</v>
      </c>
      <c r="AE110" t="s">
        <v>4</v>
      </c>
      <c r="AF110" t="s">
        <v>1</v>
      </c>
      <c r="AG110" t="s">
        <v>1</v>
      </c>
      <c r="AH110" t="s">
        <v>2538</v>
      </c>
      <c r="AI110" t="s">
        <v>3000</v>
      </c>
      <c r="AJ110" t="s">
        <v>1</v>
      </c>
      <c r="AK110" t="s">
        <v>1</v>
      </c>
      <c r="AL110" t="s">
        <v>1</v>
      </c>
      <c r="AM110" t="s">
        <v>1</v>
      </c>
      <c r="AN110" t="s">
        <v>1</v>
      </c>
      <c r="AO110" t="s">
        <v>2538</v>
      </c>
      <c r="AP110" t="s">
        <v>1</v>
      </c>
      <c r="AQ110" t="s">
        <v>2</v>
      </c>
      <c r="AR110" t="s">
        <v>3</v>
      </c>
      <c r="AS110" t="s">
        <v>3</v>
      </c>
      <c r="AT110" t="s">
        <v>3</v>
      </c>
      <c r="AU110" t="s">
        <v>3</v>
      </c>
      <c r="AV110" t="s">
        <v>3</v>
      </c>
      <c r="AW110" t="s">
        <v>11</v>
      </c>
      <c r="AX110">
        <f>Tabla1[[#This Row],[precio del paquete]]-Tabla1[[#This Row],[Saldo_Deudor]]</f>
        <v>200</v>
      </c>
      <c r="AY110">
        <v>24300</v>
      </c>
      <c r="AZ110" t="s">
        <v>1</v>
      </c>
      <c r="BA110" t="s">
        <v>1</v>
      </c>
      <c r="BB110" t="s">
        <v>1</v>
      </c>
      <c r="BC110" t="s">
        <v>1400</v>
      </c>
      <c r="BD110" t="s">
        <v>3277</v>
      </c>
      <c r="BE110" t="s">
        <v>3</v>
      </c>
      <c r="BF110" t="s">
        <v>3</v>
      </c>
      <c r="BG110" t="s">
        <v>3</v>
      </c>
      <c r="BH110" t="s">
        <v>3</v>
      </c>
      <c r="BI110" t="s">
        <v>3</v>
      </c>
      <c r="BJ110" t="s">
        <v>3369</v>
      </c>
      <c r="BK110" t="s">
        <v>3</v>
      </c>
      <c r="BL110" t="s">
        <v>132</v>
      </c>
      <c r="BM110" t="s">
        <v>1</v>
      </c>
      <c r="BN110">
        <f>Tabla1[[#This Row],[precio del paquete]]</f>
        <v>24500</v>
      </c>
      <c r="BO110" t="s">
        <v>1</v>
      </c>
      <c r="BP110" t="s">
        <v>1</v>
      </c>
      <c r="BQ110" t="s">
        <v>1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3382</v>
      </c>
      <c r="CD110" t="str" cm="1">
        <f t="array" aca="1" ref="CD110" ca="1">eConcatenar(A110:CB110,"|")</f>
        <v>d1SFjXhFTXChm2sH|CAR2022-0876|3|DIGNITY|TABASCO|CARDENAS|CARDENAS|2022-02-10|24500|0|200|50|0|0|0|0|0|0|0|0|0|0|0||0|0|0|BOLAINA|ALMEYDA|REYNA LOURDES|SOLTERO|X|X|ANDADOR LAS GLADIOLAS |7 DE OCTUBRE|X|X|X|X|X|ANDADOR LAS GLADIOLAS |X|LUNES|x|x|x|x|x|DOMICILIO |200|24300|X|X|X|2022-02-10|2022-02-17|x|x|x|x|x|QWYNRBIY9KVZQO|x|HOMBRE|X|24500|X|X|X|X|X|X|X|X|CARDENAS|X|X|X|X|FINAL</v>
      </c>
    </row>
    <row r="111" spans="1:82" x14ac:dyDescent="0.25">
      <c r="A111" t="s">
        <v>346</v>
      </c>
      <c r="B111" t="s">
        <v>347</v>
      </c>
      <c r="C111">
        <v>3</v>
      </c>
      <c r="D111" t="s">
        <v>1369</v>
      </c>
      <c r="E111" t="s">
        <v>1380</v>
      </c>
      <c r="F111" t="s">
        <v>1381</v>
      </c>
      <c r="G111" t="s">
        <v>1381</v>
      </c>
      <c r="H111" t="s">
        <v>1401</v>
      </c>
      <c r="I111">
        <v>14800</v>
      </c>
      <c r="J111">
        <v>0</v>
      </c>
      <c r="K111">
        <v>200</v>
      </c>
      <c r="L111">
        <v>50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 t="s">
        <v>1744</v>
      </c>
      <c r="AC111" t="s">
        <v>1855</v>
      </c>
      <c r="AD111" s="18" t="s">
        <v>1876</v>
      </c>
      <c r="AE111" t="s">
        <v>4</v>
      </c>
      <c r="AF111" t="s">
        <v>1</v>
      </c>
      <c r="AG111" t="s">
        <v>1</v>
      </c>
      <c r="AH111" t="s">
        <v>2454</v>
      </c>
      <c r="AI111" t="s">
        <v>3020</v>
      </c>
      <c r="AJ111" t="s">
        <v>1</v>
      </c>
      <c r="AK111" t="s">
        <v>1</v>
      </c>
      <c r="AL111" t="s">
        <v>1</v>
      </c>
      <c r="AM111" t="s">
        <v>1</v>
      </c>
      <c r="AN111" t="s">
        <v>1</v>
      </c>
      <c r="AO111" t="s">
        <v>2454</v>
      </c>
      <c r="AP111" t="s">
        <v>1</v>
      </c>
      <c r="AQ111" t="s">
        <v>2</v>
      </c>
      <c r="AR111" t="s">
        <v>3</v>
      </c>
      <c r="AS111" t="s">
        <v>3</v>
      </c>
      <c r="AT111" t="s">
        <v>3</v>
      </c>
      <c r="AU111" t="s">
        <v>3</v>
      </c>
      <c r="AV111" t="s">
        <v>3</v>
      </c>
      <c r="AW111" t="s">
        <v>11</v>
      </c>
      <c r="AX111">
        <f>Tabla1[[#This Row],[precio del paquete]]-Tabla1[[#This Row],[Saldo_Deudor]]</f>
        <v>200</v>
      </c>
      <c r="AY111">
        <v>14600</v>
      </c>
      <c r="AZ111" t="s">
        <v>1</v>
      </c>
      <c r="BA111" t="s">
        <v>1</v>
      </c>
      <c r="BB111" t="s">
        <v>1</v>
      </c>
      <c r="BC111" t="s">
        <v>1401</v>
      </c>
      <c r="BD111" t="s">
        <v>1406</v>
      </c>
      <c r="BE111" t="s">
        <v>3</v>
      </c>
      <c r="BF111" t="s">
        <v>3</v>
      </c>
      <c r="BG111" t="s">
        <v>3</v>
      </c>
      <c r="BH111" t="s">
        <v>3</v>
      </c>
      <c r="BI111" t="s">
        <v>3</v>
      </c>
      <c r="BJ111" t="s">
        <v>3369</v>
      </c>
      <c r="BK111" t="s">
        <v>3</v>
      </c>
      <c r="BL111" t="s">
        <v>132</v>
      </c>
      <c r="BM111" t="s">
        <v>1</v>
      </c>
      <c r="BN111">
        <f>Tabla1[[#This Row],[precio del paquete]]</f>
        <v>14800</v>
      </c>
      <c r="BO111" t="s">
        <v>1</v>
      </c>
      <c r="BP111" t="s">
        <v>1</v>
      </c>
      <c r="BQ111" t="s">
        <v>1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3382</v>
      </c>
      <c r="CD111" t="str" cm="1">
        <f t="array" aca="1" ref="CD111" ca="1">eConcatenar(A111:CB111,"|")</f>
        <v>C1QtUYkYiYlElk8b|CAR2022-0864|3|MEMORIAL|TABASCO|CUNDUACAN|CUNDUACAN|2022-02-09|14800|0|200|50|0|0|0|0|0|0|0|0|0|0|0||0|0|0|PEREZ|NARANJO|ALICIA|SOLTERO|X|X|CARRETERA A TULIPAN SIN NUMERO|HUAPACA Y AMESTOY|X|X|X|X|X|CARRETERA A TULIPAN SIN NUMERO|X|LUNES|x|x|x|x|x|DOMICILIO |200|14600|X|X|X|2022-02-09|2022-02-16|x|x|x|x|x|QWYNRBIY9KVZQO|x|HOMBRE|X|14800|X|X|X|X|X|X|X|X|CARDENAS|X|X|X|X|FINAL</v>
      </c>
    </row>
    <row r="112" spans="1:82" x14ac:dyDescent="0.25">
      <c r="A112" t="s">
        <v>348</v>
      </c>
      <c r="B112" t="s">
        <v>349</v>
      </c>
      <c r="C112">
        <v>3</v>
      </c>
      <c r="D112" t="s">
        <v>1370</v>
      </c>
      <c r="E112" t="s">
        <v>1380</v>
      </c>
      <c r="F112" t="s">
        <v>0</v>
      </c>
      <c r="G112" t="s">
        <v>0</v>
      </c>
      <c r="H112" t="s">
        <v>1399</v>
      </c>
      <c r="I112">
        <v>35000</v>
      </c>
      <c r="J112">
        <v>0</v>
      </c>
      <c r="K112">
        <v>1000</v>
      </c>
      <c r="L112">
        <v>50</v>
      </c>
      <c r="M112">
        <v>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 t="s">
        <v>1790</v>
      </c>
      <c r="AC112" t="s">
        <v>1851</v>
      </c>
      <c r="AD112" s="18" t="s">
        <v>1877</v>
      </c>
      <c r="AE112" t="s">
        <v>4</v>
      </c>
      <c r="AF112" t="s">
        <v>1</v>
      </c>
      <c r="AG112" t="s">
        <v>1</v>
      </c>
      <c r="AH112" t="s">
        <v>2539</v>
      </c>
      <c r="AI112" t="s">
        <v>3021</v>
      </c>
      <c r="AJ112" t="s">
        <v>1</v>
      </c>
      <c r="AK112" t="s">
        <v>1</v>
      </c>
      <c r="AL112" t="s">
        <v>1</v>
      </c>
      <c r="AM112" t="s">
        <v>1</v>
      </c>
      <c r="AN112" t="s">
        <v>1</v>
      </c>
      <c r="AO112" t="s">
        <v>2539</v>
      </c>
      <c r="AP112" t="s">
        <v>1</v>
      </c>
      <c r="AQ112" t="s">
        <v>2</v>
      </c>
      <c r="AR112" t="s">
        <v>3</v>
      </c>
      <c r="AS112" t="s">
        <v>3</v>
      </c>
      <c r="AT112" t="s">
        <v>3</v>
      </c>
      <c r="AU112" t="s">
        <v>3</v>
      </c>
      <c r="AV112" t="s">
        <v>3</v>
      </c>
      <c r="AW112" t="s">
        <v>11</v>
      </c>
      <c r="AX112">
        <f>Tabla1[[#This Row],[precio del paquete]]-Tabla1[[#This Row],[Saldo_Deudor]]</f>
        <v>1000</v>
      </c>
      <c r="AY112">
        <v>34000</v>
      </c>
      <c r="AZ112" t="s">
        <v>1</v>
      </c>
      <c r="BA112" t="s">
        <v>1</v>
      </c>
      <c r="BB112" t="s">
        <v>1</v>
      </c>
      <c r="BC112" t="s">
        <v>1399</v>
      </c>
      <c r="BD112" t="s">
        <v>1407</v>
      </c>
      <c r="BE112" t="s">
        <v>3</v>
      </c>
      <c r="BF112" t="s">
        <v>3</v>
      </c>
      <c r="BG112" t="s">
        <v>3</v>
      </c>
      <c r="BH112" t="s">
        <v>3</v>
      </c>
      <c r="BI112" t="s">
        <v>3</v>
      </c>
      <c r="BJ112" t="s">
        <v>3364</v>
      </c>
      <c r="BK112" t="s">
        <v>3</v>
      </c>
      <c r="BL112" t="s">
        <v>132</v>
      </c>
      <c r="BM112" t="s">
        <v>1</v>
      </c>
      <c r="BN112">
        <f>Tabla1[[#This Row],[precio del paquete]]</f>
        <v>35000</v>
      </c>
      <c r="BO112" t="s">
        <v>1</v>
      </c>
      <c r="BP112" t="s">
        <v>1</v>
      </c>
      <c r="BQ112" t="s">
        <v>1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3382</v>
      </c>
      <c r="CD112" t="str" cm="1">
        <f t="array" aca="1" ref="CD112" ca="1">eConcatenar(A112:CB112,"|")</f>
        <v>NFiv68hJmTTQLyzF|CAR2022-0873|3|DELUX|TABASCO|CARDENAS|CARDENAS|2022-02-11|35000|0|1000|50|2|0|0|0|0|0|0|0|0|0|0||0|0|0|DOMINGUEZ|JAVIER|MANUEL|SOLTERO|X|X|CARRETERA CARDENAS-COMALCALCO SIN NUMERO|MIGUEL HIDALGO SEGUNDA SECCION LA NATIVIDAD|X|X|X|X|X|CARRETERA CARDENAS-COMALCALCO SIN NUMERO|X|LUNES|x|x|x|x|x|DOMICILIO |1000|34000|X|X|X|2022-02-11|2022-02-18|x|x|x|x|x|QX002L6W9KVTQO|x|HOMBRE|X|35000|X|X|X|X|X|X|X|X|CARDENAS|X|X|X|X|FINAL</v>
      </c>
    </row>
    <row r="113" spans="1:82" x14ac:dyDescent="0.25">
      <c r="A113" t="s">
        <v>350</v>
      </c>
      <c r="B113" t="s">
        <v>351</v>
      </c>
      <c r="C113">
        <v>3</v>
      </c>
      <c r="D113" t="s">
        <v>1369</v>
      </c>
      <c r="E113" t="s">
        <v>1380</v>
      </c>
      <c r="F113" t="s">
        <v>1381</v>
      </c>
      <c r="G113" t="s">
        <v>1381</v>
      </c>
      <c r="H113" t="s">
        <v>1388</v>
      </c>
      <c r="I113">
        <v>14800</v>
      </c>
      <c r="J113">
        <v>0</v>
      </c>
      <c r="K113">
        <v>200</v>
      </c>
      <c r="L113">
        <v>50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 t="s">
        <v>1878</v>
      </c>
      <c r="AC113" t="s">
        <v>1783</v>
      </c>
      <c r="AD113" s="18" t="s">
        <v>1879</v>
      </c>
      <c r="AE113" t="s">
        <v>4</v>
      </c>
      <c r="AF113" t="s">
        <v>1</v>
      </c>
      <c r="AG113" t="s">
        <v>1</v>
      </c>
      <c r="AH113" t="s">
        <v>2540</v>
      </c>
      <c r="AI113" t="s">
        <v>2980</v>
      </c>
      <c r="AJ113" t="s">
        <v>1</v>
      </c>
      <c r="AK113" t="s">
        <v>1</v>
      </c>
      <c r="AL113" t="s">
        <v>1</v>
      </c>
      <c r="AM113" t="s">
        <v>1</v>
      </c>
      <c r="AN113" t="s">
        <v>1</v>
      </c>
      <c r="AO113" t="s">
        <v>2540</v>
      </c>
      <c r="AP113" t="s">
        <v>1</v>
      </c>
      <c r="AQ113" t="s">
        <v>2</v>
      </c>
      <c r="AR113" t="s">
        <v>3</v>
      </c>
      <c r="AS113" t="s">
        <v>3</v>
      </c>
      <c r="AT113" t="s">
        <v>3</v>
      </c>
      <c r="AU113" t="s">
        <v>3</v>
      </c>
      <c r="AV113" t="s">
        <v>3</v>
      </c>
      <c r="AW113" t="s">
        <v>11</v>
      </c>
      <c r="AX113">
        <f>Tabla1[[#This Row],[precio del paquete]]-Tabla1[[#This Row],[Saldo_Deudor]]</f>
        <v>200</v>
      </c>
      <c r="AY113">
        <v>14600</v>
      </c>
      <c r="AZ113" t="s">
        <v>1</v>
      </c>
      <c r="BA113" t="s">
        <v>1</v>
      </c>
      <c r="BB113" t="s">
        <v>1</v>
      </c>
      <c r="BC113" t="s">
        <v>1388</v>
      </c>
      <c r="BD113" t="s">
        <v>1398</v>
      </c>
      <c r="BE113" t="s">
        <v>3</v>
      </c>
      <c r="BF113" t="s">
        <v>3</v>
      </c>
      <c r="BG113" t="s">
        <v>3</v>
      </c>
      <c r="BH113" t="s">
        <v>3</v>
      </c>
      <c r="BI113" t="s">
        <v>3</v>
      </c>
      <c r="BJ113" t="s">
        <v>3351</v>
      </c>
      <c r="BK113" t="s">
        <v>3</v>
      </c>
      <c r="BL113" t="s">
        <v>132</v>
      </c>
      <c r="BM113" t="s">
        <v>1</v>
      </c>
      <c r="BN113">
        <f>Tabla1[[#This Row],[precio del paquete]]</f>
        <v>14800</v>
      </c>
      <c r="BO113" t="s">
        <v>1</v>
      </c>
      <c r="BP113" t="s">
        <v>1</v>
      </c>
      <c r="BQ113" t="s">
        <v>1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3382</v>
      </c>
      <c r="CD113" t="str" cm="1">
        <f t="array" aca="1" ref="CD113" ca="1">eConcatenar(A113:CB113,"|")</f>
        <v>1f5Cmmn8CZPnb5J3|CAR2022-0811|3|MEMORIAL|TABASCO|CUNDUACAN|CUNDUACAN|2022-02-05|14800|0|200|50|0|0|0|0|0|0|0|0|0|0|0||0|0|0|CASANGO|MENDEZ|JAIME|SOLTERO|X|X|COLONIA LAS PALMAS|LIBERTAD|X|X|X|X|X|COLONIA LAS PALMAS|X|LUNES|x|x|x|x|x|DOMICILIO |200|14600|X|X|X|2022-02-05|2022-02-12|x|x|x|x|x|QWZHGJ0U9KVTQO|x|HOMBRE|X|14800|X|X|X|X|X|X|X|X|CARDENAS|X|X|X|X|FINAL</v>
      </c>
    </row>
    <row r="114" spans="1:82" x14ac:dyDescent="0.25">
      <c r="A114" t="s">
        <v>352</v>
      </c>
      <c r="B114" t="s">
        <v>353</v>
      </c>
      <c r="C114">
        <v>3</v>
      </c>
      <c r="D114" t="s">
        <v>1369</v>
      </c>
      <c r="E114" t="s">
        <v>1380</v>
      </c>
      <c r="F114" t="s">
        <v>1381</v>
      </c>
      <c r="G114" t="s">
        <v>1381</v>
      </c>
      <c r="H114" t="s">
        <v>1401</v>
      </c>
      <c r="I114">
        <v>14800</v>
      </c>
      <c r="J114">
        <v>0</v>
      </c>
      <c r="K114">
        <v>200</v>
      </c>
      <c r="L114">
        <v>50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 t="s">
        <v>7</v>
      </c>
      <c r="AC114" t="s">
        <v>1708</v>
      </c>
      <c r="AD114" s="18" t="s">
        <v>1724</v>
      </c>
      <c r="AE114" t="s">
        <v>4</v>
      </c>
      <c r="AF114" t="s">
        <v>1</v>
      </c>
      <c r="AG114" t="s">
        <v>1</v>
      </c>
      <c r="AH114" t="s">
        <v>2541</v>
      </c>
      <c r="AI114" t="s">
        <v>3022</v>
      </c>
      <c r="AJ114" t="s">
        <v>1</v>
      </c>
      <c r="AK114" t="s">
        <v>1</v>
      </c>
      <c r="AL114" t="s">
        <v>1</v>
      </c>
      <c r="AM114" t="s">
        <v>1</v>
      </c>
      <c r="AN114" t="s">
        <v>1</v>
      </c>
      <c r="AO114" t="s">
        <v>2541</v>
      </c>
      <c r="AP114" t="s">
        <v>1</v>
      </c>
      <c r="AQ114" t="s">
        <v>2</v>
      </c>
      <c r="AR114" t="s">
        <v>3</v>
      </c>
      <c r="AS114" t="s">
        <v>3</v>
      </c>
      <c r="AT114" t="s">
        <v>3</v>
      </c>
      <c r="AU114" t="s">
        <v>3</v>
      </c>
      <c r="AV114" t="s">
        <v>3</v>
      </c>
      <c r="AW114" t="s">
        <v>11</v>
      </c>
      <c r="AX114">
        <f>Tabla1[[#This Row],[precio del paquete]]-Tabla1[[#This Row],[Saldo_Deudor]]</f>
        <v>200</v>
      </c>
      <c r="AY114">
        <v>14600</v>
      </c>
      <c r="AZ114" t="s">
        <v>1</v>
      </c>
      <c r="BA114" t="s">
        <v>1</v>
      </c>
      <c r="BB114" t="s">
        <v>1</v>
      </c>
      <c r="BC114" t="s">
        <v>1401</v>
      </c>
      <c r="BD114" t="s">
        <v>1406</v>
      </c>
      <c r="BE114" t="s">
        <v>3</v>
      </c>
      <c r="BF114" t="s">
        <v>3</v>
      </c>
      <c r="BG114" t="s">
        <v>3</v>
      </c>
      <c r="BH114" t="s">
        <v>3</v>
      </c>
      <c r="BI114" t="s">
        <v>3</v>
      </c>
      <c r="BJ114" t="s">
        <v>3351</v>
      </c>
      <c r="BK114" t="s">
        <v>3</v>
      </c>
      <c r="BL114" t="s">
        <v>132</v>
      </c>
      <c r="BM114" t="s">
        <v>1</v>
      </c>
      <c r="BN114">
        <f>Tabla1[[#This Row],[precio del paquete]]</f>
        <v>14800</v>
      </c>
      <c r="BO114" t="s">
        <v>1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3382</v>
      </c>
      <c r="CD114" t="str" cm="1">
        <f t="array" aca="1" ref="CD114" ca="1">eConcatenar(A114:CB114,"|")</f>
        <v>FAwUtuQYDiTfNmwn|CAR2022-0852|3|MEMORIAL|TABASCO|CUNDUACAN|CUNDUACAN|2022-02-09|14800|0|200|50|1|0|0|0|0|0|0|0|0|0|0||0|0|0|LOPEZ||JESUS|SOLTERO|X|X|CARRETERA AL TULAR SIN NUMERO|CASA BLANCA PRIMERA SECCION|X|X|X|X|X|CARRETERA AL TULAR SIN NUMERO|X|LUNES|x|x|x|x|x|DOMICILIO |200|14600|X|X|X|2022-02-09|2022-02-16|x|x|x|x|x|QWZHGJ0U9KVTQO|x|HOMBRE|X|14800|X|X|X|X|X|X|X|X|CARDENAS|X|X|X|X|FINAL</v>
      </c>
    </row>
    <row r="115" spans="1:82" x14ac:dyDescent="0.25">
      <c r="A115" t="s">
        <v>354</v>
      </c>
      <c r="B115" t="s">
        <v>355</v>
      </c>
      <c r="C115">
        <v>3</v>
      </c>
      <c r="D115" t="s">
        <v>1368</v>
      </c>
      <c r="E115" t="s">
        <v>1380</v>
      </c>
      <c r="F115" t="s">
        <v>1381</v>
      </c>
      <c r="G115" t="s">
        <v>1381</v>
      </c>
      <c r="H115" t="s">
        <v>1400</v>
      </c>
      <c r="I115">
        <v>24500</v>
      </c>
      <c r="J115">
        <v>0</v>
      </c>
      <c r="K115">
        <v>100</v>
      </c>
      <c r="L115">
        <v>50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 t="s">
        <v>1880</v>
      </c>
      <c r="AC115" t="s">
        <v>1696</v>
      </c>
      <c r="AD115" s="18" t="s">
        <v>1881</v>
      </c>
      <c r="AE115" t="s">
        <v>4</v>
      </c>
      <c r="AF115" t="s">
        <v>1</v>
      </c>
      <c r="AG115" t="s">
        <v>1</v>
      </c>
      <c r="AH115" t="s">
        <v>2542</v>
      </c>
      <c r="AI115" t="s">
        <v>3023</v>
      </c>
      <c r="AJ115" t="s">
        <v>1</v>
      </c>
      <c r="AK115" t="s">
        <v>1</v>
      </c>
      <c r="AL115" t="s">
        <v>1</v>
      </c>
      <c r="AM115" t="s">
        <v>1</v>
      </c>
      <c r="AN115" t="s">
        <v>1</v>
      </c>
      <c r="AO115" t="s">
        <v>2542</v>
      </c>
      <c r="AP115" t="s">
        <v>1</v>
      </c>
      <c r="AQ115" t="s">
        <v>2</v>
      </c>
      <c r="AR115" t="s">
        <v>3</v>
      </c>
      <c r="AS115" t="s">
        <v>3</v>
      </c>
      <c r="AT115" t="s">
        <v>3</v>
      </c>
      <c r="AU115" t="s">
        <v>3</v>
      </c>
      <c r="AV115" t="s">
        <v>3</v>
      </c>
      <c r="AW115" t="s">
        <v>11</v>
      </c>
      <c r="AX115">
        <f>Tabla1[[#This Row],[precio del paquete]]-Tabla1[[#This Row],[Saldo_Deudor]]</f>
        <v>100</v>
      </c>
      <c r="AY115">
        <v>24400</v>
      </c>
      <c r="AZ115" t="s">
        <v>1</v>
      </c>
      <c r="BA115" t="s">
        <v>1</v>
      </c>
      <c r="BB115" t="s">
        <v>1</v>
      </c>
      <c r="BC115" t="s">
        <v>1400</v>
      </c>
      <c r="BD115" t="s">
        <v>3277</v>
      </c>
      <c r="BE115" t="s">
        <v>3</v>
      </c>
      <c r="BF115" t="s">
        <v>3</v>
      </c>
      <c r="BG115" t="s">
        <v>3</v>
      </c>
      <c r="BH115" t="s">
        <v>3</v>
      </c>
      <c r="BI115" t="s">
        <v>3</v>
      </c>
      <c r="BJ115" t="s">
        <v>3351</v>
      </c>
      <c r="BK115" t="s">
        <v>3</v>
      </c>
      <c r="BL115" t="s">
        <v>132</v>
      </c>
      <c r="BM115" t="s">
        <v>1</v>
      </c>
      <c r="BN115">
        <f>Tabla1[[#This Row],[precio del paquete]]</f>
        <v>24500</v>
      </c>
      <c r="BO115" t="s">
        <v>1</v>
      </c>
      <c r="BP115" t="s">
        <v>1</v>
      </c>
      <c r="BQ115" t="s">
        <v>1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3382</v>
      </c>
      <c r="CD115" t="str" cm="1">
        <f t="array" aca="1" ref="CD115" ca="1">eConcatenar(A115:CB115,"|")</f>
        <v>dGZKbEI3Fh4d7p5a|CAR2022-0879|3|DIGNITY|TABASCO|CUNDUACAN|CUNDUACAN|2022-02-10|24500|0|100|50|0|0|0|0|0|0|0|0|0|0|0||0|0|0|MEDRANO|GERONIMO|DAVID ARTURO|SOLTERO|X|X|CALLE FELICTA JIMENEZ GOMEZ LOTE NUMERO 6|LA PLAYITA|X|X|X|X|X|CALLE FELICTA JIMENEZ GOMEZ LOTE NUMERO 6|X|LUNES|x|x|x|x|x|DOMICILIO |100|24400|X|X|X|2022-02-10|2022-02-17|x|x|x|x|x|QWZHGJ0U9KVTQO|x|HOMBRE|X|24500|X|X|X|X|X|X|X|X|CARDENAS|X|X|X|X|FINAL</v>
      </c>
    </row>
    <row r="116" spans="1:82" x14ac:dyDescent="0.25">
      <c r="A116" t="s">
        <v>356</v>
      </c>
      <c r="B116" t="s">
        <v>357</v>
      </c>
      <c r="C116">
        <v>3</v>
      </c>
      <c r="D116" t="s">
        <v>1369</v>
      </c>
      <c r="E116" t="s">
        <v>1380</v>
      </c>
      <c r="F116" t="s">
        <v>0</v>
      </c>
      <c r="G116" t="s">
        <v>0</v>
      </c>
      <c r="H116" t="s">
        <v>1391</v>
      </c>
      <c r="I116">
        <v>14800</v>
      </c>
      <c r="J116">
        <v>0</v>
      </c>
      <c r="K116">
        <v>100</v>
      </c>
      <c r="L116">
        <v>50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 t="s">
        <v>1882</v>
      </c>
      <c r="AC116" t="s">
        <v>1883</v>
      </c>
      <c r="AD116" s="18" t="s">
        <v>1877</v>
      </c>
      <c r="AE116" t="s">
        <v>4</v>
      </c>
      <c r="AF116" t="s">
        <v>1</v>
      </c>
      <c r="AG116" t="s">
        <v>1</v>
      </c>
      <c r="AH116" t="s">
        <v>2543</v>
      </c>
      <c r="AI116" t="s">
        <v>2804</v>
      </c>
      <c r="AJ116" t="s">
        <v>1</v>
      </c>
      <c r="AK116" t="s">
        <v>1</v>
      </c>
      <c r="AL116" t="s">
        <v>1</v>
      </c>
      <c r="AM116" t="s">
        <v>1</v>
      </c>
      <c r="AN116" t="s">
        <v>1</v>
      </c>
      <c r="AO116" t="s">
        <v>2543</v>
      </c>
      <c r="AP116" t="s">
        <v>1</v>
      </c>
      <c r="AQ116" t="s">
        <v>2</v>
      </c>
      <c r="AR116" t="s">
        <v>3</v>
      </c>
      <c r="AS116" t="s">
        <v>3</v>
      </c>
      <c r="AT116" t="s">
        <v>3</v>
      </c>
      <c r="AU116" t="s">
        <v>3</v>
      </c>
      <c r="AV116" t="s">
        <v>3</v>
      </c>
      <c r="AW116" t="s">
        <v>11</v>
      </c>
      <c r="AX116">
        <f>Tabla1[[#This Row],[precio del paquete]]-Tabla1[[#This Row],[Saldo_Deudor]]</f>
        <v>100</v>
      </c>
      <c r="AY116">
        <v>14700</v>
      </c>
      <c r="AZ116" t="s">
        <v>1</v>
      </c>
      <c r="BA116" t="s">
        <v>1</v>
      </c>
      <c r="BB116" t="s">
        <v>1</v>
      </c>
      <c r="BC116" t="s">
        <v>1391</v>
      </c>
      <c r="BD116" t="s">
        <v>1399</v>
      </c>
      <c r="BE116" t="s">
        <v>3</v>
      </c>
      <c r="BF116" t="s">
        <v>3</v>
      </c>
      <c r="BG116" t="s">
        <v>3</v>
      </c>
      <c r="BH116" t="s">
        <v>3</v>
      </c>
      <c r="BI116" t="s">
        <v>3</v>
      </c>
      <c r="BJ116" t="s">
        <v>3358</v>
      </c>
      <c r="BK116" t="s">
        <v>3</v>
      </c>
      <c r="BL116" t="s">
        <v>132</v>
      </c>
      <c r="BM116" t="s">
        <v>1</v>
      </c>
      <c r="BN116">
        <f>Tabla1[[#This Row],[precio del paquete]]</f>
        <v>14800</v>
      </c>
      <c r="BO116" t="s">
        <v>1</v>
      </c>
      <c r="BP116" t="s">
        <v>1</v>
      </c>
      <c r="BQ116" t="s">
        <v>1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3382</v>
      </c>
      <c r="CD116" t="str" cm="1">
        <f t="array" aca="1" ref="CD116" ca="1">eConcatenar(A116:CB116,"|")</f>
        <v>DeiWYr2R84HXdh3I|CAR2022-0689|3|MEMORIAL|TABASCO|CARDENAS|CARDENAS|2022-02-04|14800|0|100|50|0|0|0|0|0|0|0|0|0|0|0||0|0|0|RUIZ|ZACARIAZ|MANUEL|SOLTERO|X|X|CALLE MIGUEL HIDALGO|CALZADA SEGUNDA SECCION|X|X|X|X|X|CALLE MIGUEL HIDALGO|X|LUNES|x|x|x|x|x|DOMICILIO |100|14700|X|X|X|2022-02-04|2022-02-11|x|x|x|x|x|3O8PTA2AZPGA3HB|x|HOMBRE|X|14800|X|X|X|X|X|X|X|X|CARDENAS|X|X|X|X|FINAL</v>
      </c>
    </row>
    <row r="117" spans="1:82" x14ac:dyDescent="0.25">
      <c r="A117" t="s">
        <v>358</v>
      </c>
      <c r="B117" t="s">
        <v>359</v>
      </c>
      <c r="C117">
        <v>3</v>
      </c>
      <c r="D117" t="s">
        <v>1369</v>
      </c>
      <c r="E117" t="s">
        <v>1380</v>
      </c>
      <c r="F117" t="s">
        <v>0</v>
      </c>
      <c r="G117" t="s">
        <v>0</v>
      </c>
      <c r="H117" t="s">
        <v>1402</v>
      </c>
      <c r="I117">
        <v>14800</v>
      </c>
      <c r="J117">
        <v>0</v>
      </c>
      <c r="K117">
        <v>100</v>
      </c>
      <c r="L117">
        <v>50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 t="s">
        <v>1769</v>
      </c>
      <c r="AC117" t="s">
        <v>1816</v>
      </c>
      <c r="AD117" s="18" t="s">
        <v>1884</v>
      </c>
      <c r="AE117" t="s">
        <v>4</v>
      </c>
      <c r="AF117" t="s">
        <v>1</v>
      </c>
      <c r="AG117" t="s">
        <v>1</v>
      </c>
      <c r="AH117" t="s">
        <v>2456</v>
      </c>
      <c r="AI117" t="s">
        <v>3008</v>
      </c>
      <c r="AJ117" t="s">
        <v>1</v>
      </c>
      <c r="AK117" t="s">
        <v>1</v>
      </c>
      <c r="AL117" t="s">
        <v>1</v>
      </c>
      <c r="AM117" t="s">
        <v>1</v>
      </c>
      <c r="AN117" t="s">
        <v>1</v>
      </c>
      <c r="AO117" t="s">
        <v>2456</v>
      </c>
      <c r="AP117" t="s">
        <v>1</v>
      </c>
      <c r="AQ117" t="s">
        <v>2</v>
      </c>
      <c r="AR117" t="s">
        <v>3</v>
      </c>
      <c r="AS117" t="s">
        <v>3</v>
      </c>
      <c r="AT117" t="s">
        <v>3</v>
      </c>
      <c r="AU117" t="s">
        <v>3</v>
      </c>
      <c r="AV117" t="s">
        <v>3</v>
      </c>
      <c r="AW117" t="s">
        <v>11</v>
      </c>
      <c r="AX117">
        <f>Tabla1[[#This Row],[precio del paquete]]-Tabla1[[#This Row],[Saldo_Deudor]]</f>
        <v>100</v>
      </c>
      <c r="AY117">
        <v>14700</v>
      </c>
      <c r="AZ117" t="s">
        <v>1</v>
      </c>
      <c r="BA117" t="s">
        <v>1</v>
      </c>
      <c r="BB117" t="s">
        <v>1</v>
      </c>
      <c r="BC117" t="s">
        <v>1402</v>
      </c>
      <c r="BD117" t="s">
        <v>1405</v>
      </c>
      <c r="BE117" t="s">
        <v>3</v>
      </c>
      <c r="BF117" t="s">
        <v>3</v>
      </c>
      <c r="BG117" t="s">
        <v>3</v>
      </c>
      <c r="BH117" t="s">
        <v>3</v>
      </c>
      <c r="BI117" t="s">
        <v>3</v>
      </c>
      <c r="BJ117" t="s">
        <v>3357</v>
      </c>
      <c r="BK117" t="s">
        <v>3</v>
      </c>
      <c r="BL117" t="s">
        <v>132</v>
      </c>
      <c r="BM117" t="s">
        <v>1</v>
      </c>
      <c r="BN117">
        <f>Tabla1[[#This Row],[precio del paquete]]</f>
        <v>14800</v>
      </c>
      <c r="BO117" t="s">
        <v>1</v>
      </c>
      <c r="BP117" t="s">
        <v>1</v>
      </c>
      <c r="BQ117" t="s">
        <v>1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3382</v>
      </c>
      <c r="CD117" t="str" cm="1">
        <f t="array" aca="1" ref="CD117" ca="1">eConcatenar(A117:CB117,"|")</f>
        <v>6CQnuVh4nE3AxxEv|CAR2022-0826|3|MEMORIAL|TABASCO|CARDENAS|CARDENAS|2022-02-08|14800|0|100|50|1|0|0|0|0|0|0|0|0|0|0||0|0|0|TORRES|DE DIOS|DELLANIRA|SOLTERO|X|X|CALLE PRINCIPAL SIN NUMERO|SANTANA PRIMERA SECCION|X|X|X|X|X|CALLE PRINCIPAL SIN NUMERO|X|LUNES|x|x|x|x|x|DOMICILIO |100|14700|X|X|X|2022-02-08|2022-02-15|x|x|x|x|x|QWZBUES49KVTQO|x|HOMBRE|X|14800|X|X|X|X|X|X|X|X|CARDENAS|X|X|X|X|FINAL</v>
      </c>
    </row>
    <row r="118" spans="1:82" x14ac:dyDescent="0.25">
      <c r="A118" t="s">
        <v>360</v>
      </c>
      <c r="B118" t="s">
        <v>361</v>
      </c>
      <c r="C118">
        <v>3</v>
      </c>
      <c r="D118" t="s">
        <v>1369</v>
      </c>
      <c r="E118" t="s">
        <v>1380</v>
      </c>
      <c r="F118" t="s">
        <v>0</v>
      </c>
      <c r="G118" t="s">
        <v>0</v>
      </c>
      <c r="H118" t="s">
        <v>1394</v>
      </c>
      <c r="I118">
        <v>14800</v>
      </c>
      <c r="J118">
        <v>0</v>
      </c>
      <c r="K118">
        <v>500</v>
      </c>
      <c r="L118">
        <v>50</v>
      </c>
      <c r="M118">
        <v>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 t="s">
        <v>1885</v>
      </c>
      <c r="AC118" t="s">
        <v>1693</v>
      </c>
      <c r="AD118" s="18" t="s">
        <v>1886</v>
      </c>
      <c r="AE118" t="s">
        <v>4</v>
      </c>
      <c r="AF118" t="s">
        <v>1</v>
      </c>
      <c r="AG118" t="s">
        <v>1</v>
      </c>
      <c r="AH118" t="s">
        <v>2544</v>
      </c>
      <c r="AI118" t="s">
        <v>5</v>
      </c>
      <c r="AJ118" t="s">
        <v>1</v>
      </c>
      <c r="AK118" t="s">
        <v>1</v>
      </c>
      <c r="AL118" t="s">
        <v>1</v>
      </c>
      <c r="AM118" t="s">
        <v>1</v>
      </c>
      <c r="AN118" t="s">
        <v>1</v>
      </c>
      <c r="AO118" t="s">
        <v>2544</v>
      </c>
      <c r="AP118" t="s">
        <v>1</v>
      </c>
      <c r="AQ118" t="s">
        <v>2</v>
      </c>
      <c r="AR118" t="s">
        <v>3</v>
      </c>
      <c r="AS118" t="s">
        <v>3</v>
      </c>
      <c r="AT118" t="s">
        <v>3</v>
      </c>
      <c r="AU118" t="s">
        <v>3</v>
      </c>
      <c r="AV118" t="s">
        <v>3</v>
      </c>
      <c r="AW118" t="s">
        <v>11</v>
      </c>
      <c r="AX118">
        <f>Tabla1[[#This Row],[precio del paquete]]-Tabla1[[#This Row],[Saldo_Deudor]]</f>
        <v>500</v>
      </c>
      <c r="AY118">
        <v>14300</v>
      </c>
      <c r="AZ118" t="s">
        <v>1</v>
      </c>
      <c r="BA118" t="s">
        <v>1</v>
      </c>
      <c r="BB118" t="s">
        <v>1</v>
      </c>
      <c r="BC118" t="s">
        <v>1394</v>
      </c>
      <c r="BD118" t="s">
        <v>1400</v>
      </c>
      <c r="BE118" t="s">
        <v>3</v>
      </c>
      <c r="BF118" t="s">
        <v>3</v>
      </c>
      <c r="BG118" t="s">
        <v>3</v>
      </c>
      <c r="BH118" t="s">
        <v>3</v>
      </c>
      <c r="BI118" t="s">
        <v>3</v>
      </c>
      <c r="BJ118" t="s">
        <v>3363</v>
      </c>
      <c r="BK118" t="s">
        <v>3</v>
      </c>
      <c r="BL118" t="s">
        <v>132</v>
      </c>
      <c r="BM118" t="s">
        <v>1</v>
      </c>
      <c r="BN118">
        <f>Tabla1[[#This Row],[precio del paquete]]</f>
        <v>14800</v>
      </c>
      <c r="BO118" t="s">
        <v>1</v>
      </c>
      <c r="BP118" t="s">
        <v>1</v>
      </c>
      <c r="BQ118" t="s">
        <v>1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3382</v>
      </c>
      <c r="CD118" t="str" cm="1">
        <f t="array" aca="1" ref="CD118" ca="1">eConcatenar(A118:CB118,"|")</f>
        <v>MqFNoiIC3AonNQfB|CAR2022-0667|3|MEMORIAL|TABASCO|CARDENAS|CARDENAS|2022-02-03|14800|0|500|50|2|0|0|0|0|0|0|0|0|0|0||0|0|0|DE LA FUENTE|RODRIGUEZ|ADELA|SOLTERO|X|X|CALLE TOMAS GARRIDO CANABAL NUMERO 106 |CENTRO|X|X|X|X|X|CALLE TOMAS GARRIDO CANABAL NUMERO 106 |X|LUNES|x|x|x|x|x|DOMICILIO |500|14300|X|X|X|2022-02-03|2022-02-10|x|x|x|x|x|QX002LUS9KVTQO|x|HOMBRE|X|14800|X|X|X|X|X|X|X|X|CARDENAS|X|X|X|X|FINAL</v>
      </c>
    </row>
    <row r="119" spans="1:82" x14ac:dyDescent="0.25">
      <c r="A119" t="s">
        <v>362</v>
      </c>
      <c r="B119" t="s">
        <v>363</v>
      </c>
      <c r="C119">
        <v>3</v>
      </c>
      <c r="D119" t="s">
        <v>1369</v>
      </c>
      <c r="E119" t="s">
        <v>1380</v>
      </c>
      <c r="F119" t="s">
        <v>0</v>
      </c>
      <c r="G119" t="s">
        <v>0</v>
      </c>
      <c r="H119" t="s">
        <v>1394</v>
      </c>
      <c r="I119">
        <v>14800</v>
      </c>
      <c r="J119">
        <v>0</v>
      </c>
      <c r="K119">
        <v>500</v>
      </c>
      <c r="L119">
        <v>50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 t="s">
        <v>1711</v>
      </c>
      <c r="AC119" t="s">
        <v>1887</v>
      </c>
      <c r="AD119" s="18" t="s">
        <v>1888</v>
      </c>
      <c r="AE119" t="s">
        <v>4</v>
      </c>
      <c r="AF119" t="s">
        <v>1</v>
      </c>
      <c r="AG119" t="s">
        <v>1</v>
      </c>
      <c r="AH119" t="s">
        <v>2545</v>
      </c>
      <c r="AI119" t="s">
        <v>3024</v>
      </c>
      <c r="AJ119" t="s">
        <v>1</v>
      </c>
      <c r="AK119" t="s">
        <v>1</v>
      </c>
      <c r="AL119" t="s">
        <v>1</v>
      </c>
      <c r="AM119" t="s">
        <v>1</v>
      </c>
      <c r="AN119" t="s">
        <v>1</v>
      </c>
      <c r="AO119" t="s">
        <v>2545</v>
      </c>
      <c r="AP119" t="s">
        <v>1</v>
      </c>
      <c r="AQ119" t="s">
        <v>2</v>
      </c>
      <c r="AR119" t="s">
        <v>3</v>
      </c>
      <c r="AS119" t="s">
        <v>3</v>
      </c>
      <c r="AT119" t="s">
        <v>3</v>
      </c>
      <c r="AU119" t="s">
        <v>3</v>
      </c>
      <c r="AV119" t="s">
        <v>3</v>
      </c>
      <c r="AW119" t="s">
        <v>11</v>
      </c>
      <c r="AX119">
        <f>Tabla1[[#This Row],[precio del paquete]]-Tabla1[[#This Row],[Saldo_Deudor]]</f>
        <v>500</v>
      </c>
      <c r="AY119">
        <v>14300</v>
      </c>
      <c r="AZ119" t="s">
        <v>1</v>
      </c>
      <c r="BA119" t="s">
        <v>1</v>
      </c>
      <c r="BB119" t="s">
        <v>1</v>
      </c>
      <c r="BC119" t="s">
        <v>1394</v>
      </c>
      <c r="BD119" t="s">
        <v>1400</v>
      </c>
      <c r="BE119" t="s">
        <v>3</v>
      </c>
      <c r="BF119" t="s">
        <v>3</v>
      </c>
      <c r="BG119" t="s">
        <v>3</v>
      </c>
      <c r="BH119" t="s">
        <v>3</v>
      </c>
      <c r="BI119" t="s">
        <v>3</v>
      </c>
      <c r="BJ119" t="s">
        <v>3363</v>
      </c>
      <c r="BK119" t="s">
        <v>3</v>
      </c>
      <c r="BL119" t="s">
        <v>132</v>
      </c>
      <c r="BM119" t="s">
        <v>1</v>
      </c>
      <c r="BN119">
        <f>Tabla1[[#This Row],[precio del paquete]]</f>
        <v>14800</v>
      </c>
      <c r="BO119" t="s">
        <v>1</v>
      </c>
      <c r="BP119" t="s">
        <v>1</v>
      </c>
      <c r="BQ119" t="s">
        <v>1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3382</v>
      </c>
      <c r="CD119" t="str" cm="1">
        <f t="array" aca="1" ref="CD119" ca="1">eConcatenar(A119:CB119,"|")</f>
        <v>I0OsGV7Tn5U8exkQ|CAR2022-0666|3|MEMORIAL|TABASCO|CARDENAS|CARDENAS|2022-02-03|14800|0|500|50|0|0|0|0|0|0|0|0|0|0|0||0|0|0|HERNANDEZ|GALLEGOS|SEBASTIANA|SOLTERO|X|X|CONGREGACION IGNACIO ZARAGOZA|IGNACIO GUTIERREZ GOMEZ|X|X|X|X|X|CONGREGACION IGNACIO ZARAGOZA|X|LUNES|x|x|x|x|x|DOMICILIO |500|14300|X|X|X|2022-02-03|2022-02-10|x|x|x|x|x|QX002LUS9KVTQO|x|HOMBRE|X|14800|X|X|X|X|X|X|X|X|CARDENAS|X|X|X|X|FINAL</v>
      </c>
    </row>
    <row r="120" spans="1:82" x14ac:dyDescent="0.25">
      <c r="A120" t="s">
        <v>364</v>
      </c>
      <c r="B120" t="s">
        <v>365</v>
      </c>
      <c r="C120">
        <v>3</v>
      </c>
      <c r="D120" t="s">
        <v>1369</v>
      </c>
      <c r="E120" t="s">
        <v>1380</v>
      </c>
      <c r="F120" t="s">
        <v>0</v>
      </c>
      <c r="G120" t="s">
        <v>0</v>
      </c>
      <c r="H120" t="s">
        <v>1394</v>
      </c>
      <c r="I120">
        <v>12900</v>
      </c>
      <c r="J120">
        <v>0</v>
      </c>
      <c r="K120">
        <v>300</v>
      </c>
      <c r="L120">
        <v>50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 t="s">
        <v>1866</v>
      </c>
      <c r="AC120" t="s">
        <v>1748</v>
      </c>
      <c r="AD120" s="18" t="s">
        <v>1889</v>
      </c>
      <c r="AE120" t="s">
        <v>4</v>
      </c>
      <c r="AF120" t="s">
        <v>1</v>
      </c>
      <c r="AG120" t="s">
        <v>1</v>
      </c>
      <c r="AH120" t="s">
        <v>2546</v>
      </c>
      <c r="AI120" t="s">
        <v>2975</v>
      </c>
      <c r="AJ120" t="s">
        <v>1</v>
      </c>
      <c r="AK120" t="s">
        <v>1</v>
      </c>
      <c r="AL120" t="s">
        <v>1</v>
      </c>
      <c r="AM120" t="s">
        <v>1</v>
      </c>
      <c r="AN120" t="s">
        <v>1</v>
      </c>
      <c r="AO120" t="s">
        <v>2546</v>
      </c>
      <c r="AP120" t="s">
        <v>1</v>
      </c>
      <c r="AQ120" t="s">
        <v>2</v>
      </c>
      <c r="AR120" t="s">
        <v>3</v>
      </c>
      <c r="AS120" t="s">
        <v>3</v>
      </c>
      <c r="AT120" t="s">
        <v>3</v>
      </c>
      <c r="AU120" t="s">
        <v>3</v>
      </c>
      <c r="AV120" t="s">
        <v>3</v>
      </c>
      <c r="AW120" t="s">
        <v>11</v>
      </c>
      <c r="AX120">
        <f>Tabla1[[#This Row],[precio del paquete]]-Tabla1[[#This Row],[Saldo_Deudor]]</f>
        <v>300</v>
      </c>
      <c r="AY120">
        <v>12600</v>
      </c>
      <c r="AZ120" t="s">
        <v>1</v>
      </c>
      <c r="BA120" t="s">
        <v>1</v>
      </c>
      <c r="BB120" t="s">
        <v>1</v>
      </c>
      <c r="BC120" t="s">
        <v>1394</v>
      </c>
      <c r="BD120" t="s">
        <v>1400</v>
      </c>
      <c r="BE120" t="s">
        <v>3</v>
      </c>
      <c r="BF120" t="s">
        <v>3</v>
      </c>
      <c r="BG120" t="s">
        <v>3</v>
      </c>
      <c r="BH120" t="s">
        <v>3</v>
      </c>
      <c r="BI120" t="s">
        <v>3</v>
      </c>
      <c r="BJ120" t="s">
        <v>3363</v>
      </c>
      <c r="BK120" t="s">
        <v>3</v>
      </c>
      <c r="BL120" t="s">
        <v>132</v>
      </c>
      <c r="BM120" t="s">
        <v>1</v>
      </c>
      <c r="BN120">
        <f>Tabla1[[#This Row],[precio del paquete]]</f>
        <v>12900</v>
      </c>
      <c r="BO120" t="s">
        <v>1</v>
      </c>
      <c r="BP120" t="s">
        <v>1</v>
      </c>
      <c r="BQ120" t="s">
        <v>1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3382</v>
      </c>
      <c r="CD120" t="str" cm="1">
        <f t="array" aca="1" ref="CD120" ca="1">eConcatenar(A120:CB120,"|")</f>
        <v>osjVoGDfgER4dUgc|CAR2022-0665|3|MEMORIAL|TABASCO|CARDENAS|CARDENAS|2022-02-03|12900|0|300|50|0|0|0|0|0|0|0|0|0|0|0||0|0|0|BAUTISTA|JIMENEZ|SANTIAGO|SOLTERO|X|X|CALLE NUMERO 1 CASA NUMERO 15|C-29 VICENTE GUERRERO|X|X|X|X|X|CALLE NUMERO 1 CASA NUMERO 15|X|LUNES|x|x|x|x|x|DOMICILIO |300|12600|X|X|X|2022-02-03|2022-02-10|x|x|x|x|x|QX002LUS9KVTQO|x|HOMBRE|X|12900|X|X|X|X|X|X|X|X|CARDENAS|X|X|X|X|FINAL</v>
      </c>
    </row>
    <row r="121" spans="1:82" x14ac:dyDescent="0.25">
      <c r="A121" t="s">
        <v>366</v>
      </c>
      <c r="B121" t="s">
        <v>367</v>
      </c>
      <c r="C121">
        <v>3</v>
      </c>
      <c r="D121" t="s">
        <v>1368</v>
      </c>
      <c r="E121" t="s">
        <v>1380</v>
      </c>
      <c r="F121" t="s">
        <v>0</v>
      </c>
      <c r="G121" t="s">
        <v>0</v>
      </c>
      <c r="H121" t="s">
        <v>1401</v>
      </c>
      <c r="I121">
        <v>24500</v>
      </c>
      <c r="J121">
        <v>0</v>
      </c>
      <c r="K121">
        <v>100</v>
      </c>
      <c r="L121">
        <v>50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 t="s">
        <v>8</v>
      </c>
      <c r="AC121" t="s">
        <v>1731</v>
      </c>
      <c r="AD121" s="18" t="s">
        <v>1867</v>
      </c>
      <c r="AE121" t="s">
        <v>4</v>
      </c>
      <c r="AF121" t="s">
        <v>1</v>
      </c>
      <c r="AG121" t="s">
        <v>1</v>
      </c>
      <c r="AH121" t="s">
        <v>2547</v>
      </c>
      <c r="AI121" t="s">
        <v>3025</v>
      </c>
      <c r="AJ121" t="s">
        <v>1</v>
      </c>
      <c r="AK121" t="s">
        <v>1</v>
      </c>
      <c r="AL121" t="s">
        <v>1</v>
      </c>
      <c r="AM121" t="s">
        <v>1</v>
      </c>
      <c r="AN121" t="s">
        <v>1</v>
      </c>
      <c r="AO121" t="s">
        <v>2547</v>
      </c>
      <c r="AP121" t="s">
        <v>1</v>
      </c>
      <c r="AQ121" t="s">
        <v>2</v>
      </c>
      <c r="AR121" t="s">
        <v>3</v>
      </c>
      <c r="AS121" t="s">
        <v>3</v>
      </c>
      <c r="AT121" t="s">
        <v>3</v>
      </c>
      <c r="AU121" t="s">
        <v>3</v>
      </c>
      <c r="AV121" t="s">
        <v>3</v>
      </c>
      <c r="AW121" t="s">
        <v>11</v>
      </c>
      <c r="AX121">
        <f>Tabla1[[#This Row],[precio del paquete]]-Tabla1[[#This Row],[Saldo_Deudor]]</f>
        <v>100</v>
      </c>
      <c r="AY121">
        <v>24400</v>
      </c>
      <c r="AZ121" t="s">
        <v>1</v>
      </c>
      <c r="BA121" t="s">
        <v>1</v>
      </c>
      <c r="BB121" t="s">
        <v>1</v>
      </c>
      <c r="BC121" t="s">
        <v>1401</v>
      </c>
      <c r="BD121" t="s">
        <v>1406</v>
      </c>
      <c r="BE121" t="s">
        <v>3</v>
      </c>
      <c r="BF121" t="s">
        <v>3</v>
      </c>
      <c r="BG121" t="s">
        <v>3</v>
      </c>
      <c r="BH121" t="s">
        <v>3</v>
      </c>
      <c r="BI121" t="s">
        <v>3</v>
      </c>
      <c r="BJ121" t="s">
        <v>3351</v>
      </c>
      <c r="BK121" t="s">
        <v>3</v>
      </c>
      <c r="BL121" t="s">
        <v>132</v>
      </c>
      <c r="BM121" t="s">
        <v>1</v>
      </c>
      <c r="BN121">
        <f>Tabla1[[#This Row],[precio del paquete]]</f>
        <v>24500</v>
      </c>
      <c r="BO121" t="s">
        <v>1</v>
      </c>
      <c r="BP121" t="s">
        <v>1</v>
      </c>
      <c r="BQ121" t="s">
        <v>1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3382</v>
      </c>
      <c r="CD121" t="str" cm="1">
        <f t="array" aca="1" ref="CD121" ca="1">eConcatenar(A121:CB121,"|")</f>
        <v>ag1tP3feCCWBs67T|CAR2022-0846|3|DIGNITY|TABASCO|CARDENAS|CARDENAS|2022-02-09|24500|0|100|50|0|0|0|0|0|0|0|0|0|0|0||0|0|0|GOMEZ|GARCIA|MARIA DOLORES|SOLTERO|X|X|PLAZA MAURILIO ALFARO NUMERO 9|INGENIO SANTA ROSALIA|X|X|X|X|X|PLAZA MAURILIO ALFARO NUMERO 9|X|LUNES|x|x|x|x|x|DOMICILIO |100|24400|X|X|X|2022-02-09|2022-02-16|x|x|x|x|x|QWZHGJ0U9KVTQO|x|HOMBRE|X|24500|X|X|X|X|X|X|X|X|CARDENAS|X|X|X|X|FINAL</v>
      </c>
    </row>
    <row r="122" spans="1:82" x14ac:dyDescent="0.25">
      <c r="A122" t="s">
        <v>368</v>
      </c>
      <c r="B122" t="s">
        <v>369</v>
      </c>
      <c r="C122">
        <v>3</v>
      </c>
      <c r="D122" t="s">
        <v>1369</v>
      </c>
      <c r="E122" t="s">
        <v>1380</v>
      </c>
      <c r="F122" t="s">
        <v>0</v>
      </c>
      <c r="G122" t="s">
        <v>0</v>
      </c>
      <c r="H122" t="s">
        <v>1403</v>
      </c>
      <c r="I122">
        <v>14800</v>
      </c>
      <c r="J122">
        <v>0</v>
      </c>
      <c r="K122">
        <v>500</v>
      </c>
      <c r="L122">
        <v>50</v>
      </c>
      <c r="M122">
        <v>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Y122">
        <v>0</v>
      </c>
      <c r="Z122">
        <v>0</v>
      </c>
      <c r="AA122">
        <v>0</v>
      </c>
      <c r="AB122" t="s">
        <v>1731</v>
      </c>
      <c r="AC122" t="s">
        <v>1713</v>
      </c>
      <c r="AD122" s="18" t="s">
        <v>1890</v>
      </c>
      <c r="AE122" t="s">
        <v>4</v>
      </c>
      <c r="AF122" t="s">
        <v>1</v>
      </c>
      <c r="AG122" t="s">
        <v>1</v>
      </c>
      <c r="AH122" t="s">
        <v>2548</v>
      </c>
      <c r="AI122" t="s">
        <v>3026</v>
      </c>
      <c r="AJ122" t="s">
        <v>1</v>
      </c>
      <c r="AK122" t="s">
        <v>1</v>
      </c>
      <c r="AL122" t="s">
        <v>1</v>
      </c>
      <c r="AM122" t="s">
        <v>1</v>
      </c>
      <c r="AN122" t="s">
        <v>1</v>
      </c>
      <c r="AO122" t="s">
        <v>2548</v>
      </c>
      <c r="AP122" t="s">
        <v>1</v>
      </c>
      <c r="AQ122" t="s">
        <v>2</v>
      </c>
      <c r="AR122" t="s">
        <v>3</v>
      </c>
      <c r="AS122" t="s">
        <v>3</v>
      </c>
      <c r="AT122" t="s">
        <v>3</v>
      </c>
      <c r="AU122" t="s">
        <v>3</v>
      </c>
      <c r="AV122" t="s">
        <v>3</v>
      </c>
      <c r="AW122" t="s">
        <v>11</v>
      </c>
      <c r="AX122">
        <f>Tabla1[[#This Row],[precio del paquete]]-Tabla1[[#This Row],[Saldo_Deudor]]</f>
        <v>500</v>
      </c>
      <c r="AY122">
        <v>14300</v>
      </c>
      <c r="AZ122" t="s">
        <v>1</v>
      </c>
      <c r="BA122" t="s">
        <v>1</v>
      </c>
      <c r="BB122" t="s">
        <v>1</v>
      </c>
      <c r="BC122" t="s">
        <v>1400</v>
      </c>
      <c r="BD122" t="s">
        <v>3277</v>
      </c>
      <c r="BE122" t="s">
        <v>3</v>
      </c>
      <c r="BF122" t="s">
        <v>3</v>
      </c>
      <c r="BG122" t="s">
        <v>3</v>
      </c>
      <c r="BH122" t="s">
        <v>3</v>
      </c>
      <c r="BI122" t="s">
        <v>3</v>
      </c>
      <c r="BJ122" t="s">
        <v>3361</v>
      </c>
      <c r="BK122" t="s">
        <v>3</v>
      </c>
      <c r="BL122" t="s">
        <v>132</v>
      </c>
      <c r="BM122" t="s">
        <v>1</v>
      </c>
      <c r="BN122">
        <f>Tabla1[[#This Row],[precio del paquete]]</f>
        <v>14800</v>
      </c>
      <c r="BO122" t="s">
        <v>1</v>
      </c>
      <c r="BP122" t="s">
        <v>1</v>
      </c>
      <c r="BQ122" t="s">
        <v>1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3382</v>
      </c>
      <c r="CD122" t="str" cm="1">
        <f t="array" aca="1" ref="CD122" ca="1">eConcatenar(A122:CB122,"|")</f>
        <v>mVbdMqU1Y7Sx0z55|CAR2022-0071|3|MEMORIAL|TABASCO|CARDENAS|CARDENAS|2022-01-10|14800|0|500|50|2|0|0|0|0|0|0|0|0|0|0||0|0|0|GARCIA|DE LA CRUZ|MIRELLA|SOLTERO|X|X|CALLE FRONTERA|SECCION 40|X|X|X|X|X|CALLE FRONTERA|X|LUNES|x|x|x|x|x|DOMICILIO |500|14300|X|X|X|2022-02-10|2022-02-17|x|x|x|x|x|QXTXF5PY9KVTQO|x|HOMBRE|X|14800|X|X|X|X|X|X|X|X|CARDENAS|X|X|X|X|FINAL</v>
      </c>
    </row>
    <row r="123" spans="1:82" x14ac:dyDescent="0.25">
      <c r="A123" t="s">
        <v>370</v>
      </c>
      <c r="B123" t="s">
        <v>371</v>
      </c>
      <c r="C123">
        <v>3</v>
      </c>
      <c r="D123" t="s">
        <v>1369</v>
      </c>
      <c r="E123" t="s">
        <v>1380</v>
      </c>
      <c r="F123" t="s">
        <v>0</v>
      </c>
      <c r="G123" t="s">
        <v>0</v>
      </c>
      <c r="H123" t="s">
        <v>1401</v>
      </c>
      <c r="I123">
        <v>14800</v>
      </c>
      <c r="J123">
        <v>0</v>
      </c>
      <c r="K123">
        <v>100</v>
      </c>
      <c r="L123">
        <v>50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Y123">
        <v>0</v>
      </c>
      <c r="Z123">
        <v>0</v>
      </c>
      <c r="AA123">
        <v>0</v>
      </c>
      <c r="AB123" t="s">
        <v>1769</v>
      </c>
      <c r="AC123" t="s">
        <v>1731</v>
      </c>
      <c r="AD123" s="18" t="s">
        <v>1891</v>
      </c>
      <c r="AE123" t="s">
        <v>4</v>
      </c>
      <c r="AF123" t="s">
        <v>1</v>
      </c>
      <c r="AG123" t="s">
        <v>1</v>
      </c>
      <c r="AH123" t="s">
        <v>2549</v>
      </c>
      <c r="AI123" t="s">
        <v>3025</v>
      </c>
      <c r="AJ123" t="s">
        <v>1</v>
      </c>
      <c r="AK123" t="s">
        <v>1</v>
      </c>
      <c r="AL123" t="s">
        <v>1</v>
      </c>
      <c r="AM123" t="s">
        <v>1</v>
      </c>
      <c r="AN123" t="s">
        <v>1</v>
      </c>
      <c r="AO123" t="s">
        <v>2549</v>
      </c>
      <c r="AP123" t="s">
        <v>1</v>
      </c>
      <c r="AQ123" t="s">
        <v>2</v>
      </c>
      <c r="AR123" t="s">
        <v>3</v>
      </c>
      <c r="AS123" t="s">
        <v>3</v>
      </c>
      <c r="AT123" t="s">
        <v>3</v>
      </c>
      <c r="AU123" t="s">
        <v>3</v>
      </c>
      <c r="AV123" t="s">
        <v>3</v>
      </c>
      <c r="AW123" t="s">
        <v>11</v>
      </c>
      <c r="AX123">
        <f>Tabla1[[#This Row],[precio del paquete]]-Tabla1[[#This Row],[Saldo_Deudor]]</f>
        <v>100</v>
      </c>
      <c r="AY123">
        <v>14700</v>
      </c>
      <c r="AZ123" t="s">
        <v>1</v>
      </c>
      <c r="BA123" t="s">
        <v>1</v>
      </c>
      <c r="BB123" t="s">
        <v>1</v>
      </c>
      <c r="BC123" t="s">
        <v>1401</v>
      </c>
      <c r="BD123" t="s">
        <v>1406</v>
      </c>
      <c r="BE123" t="s">
        <v>3</v>
      </c>
      <c r="BF123" t="s">
        <v>3</v>
      </c>
      <c r="BG123" t="s">
        <v>3</v>
      </c>
      <c r="BH123" t="s">
        <v>3</v>
      </c>
      <c r="BI123" t="s">
        <v>3</v>
      </c>
      <c r="BJ123" t="s">
        <v>3351</v>
      </c>
      <c r="BK123" t="s">
        <v>3</v>
      </c>
      <c r="BL123" t="s">
        <v>132</v>
      </c>
      <c r="BM123" t="s">
        <v>1</v>
      </c>
      <c r="BN123">
        <f>Tabla1[[#This Row],[precio del paquete]]</f>
        <v>14800</v>
      </c>
      <c r="BO123" t="s">
        <v>1</v>
      </c>
      <c r="BP123" t="s">
        <v>1</v>
      </c>
      <c r="BQ123" t="s">
        <v>1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3382</v>
      </c>
      <c r="CD123" t="str" cm="1">
        <f t="array" aca="1" ref="CD123" ca="1">eConcatenar(A123:CB123,"|")</f>
        <v>88C2Y8IpqB4y7fcV|CAR2022-0847|3|MEMORIAL|TABASCO|CARDENAS|CARDENAS|2022-02-09|14800|0|100|50|0|0|0|0|0|0|0|0|0|0|0||0|0|0|TORRES|GARCIA|MICAELA|SOLTERO|X|X|CALLE A ZAMUDIO|INGENIO SANTA ROSALIA|X|X|X|X|X|CALLE A ZAMUDIO|X|LUNES|x|x|x|x|x|DOMICILIO |100|14700|X|X|X|2022-02-09|2022-02-16|x|x|x|x|x|QWZHGJ0U9KVTQO|x|HOMBRE|X|14800|X|X|X|X|X|X|X|X|CARDENAS|X|X|X|X|FINAL</v>
      </c>
    </row>
    <row r="124" spans="1:82" x14ac:dyDescent="0.25">
      <c r="A124" t="s">
        <v>372</v>
      </c>
      <c r="B124" t="s">
        <v>373</v>
      </c>
      <c r="C124">
        <v>3</v>
      </c>
      <c r="D124" t="s">
        <v>1369</v>
      </c>
      <c r="E124" t="s">
        <v>1380</v>
      </c>
      <c r="F124" t="s">
        <v>1381</v>
      </c>
      <c r="G124" t="s">
        <v>1381</v>
      </c>
      <c r="H124" t="s">
        <v>1404</v>
      </c>
      <c r="I124">
        <v>14800</v>
      </c>
      <c r="J124">
        <v>0</v>
      </c>
      <c r="K124">
        <v>200</v>
      </c>
      <c r="L124">
        <v>50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Y124">
        <v>0</v>
      </c>
      <c r="Z124">
        <v>0</v>
      </c>
      <c r="AA124">
        <v>0</v>
      </c>
      <c r="AB124" t="s">
        <v>1731</v>
      </c>
      <c r="AC124" t="s">
        <v>1731</v>
      </c>
      <c r="AD124" s="18" t="s">
        <v>1892</v>
      </c>
      <c r="AE124" t="s">
        <v>4</v>
      </c>
      <c r="AF124" t="s">
        <v>1</v>
      </c>
      <c r="AG124" t="s">
        <v>1</v>
      </c>
      <c r="AH124" t="s">
        <v>2550</v>
      </c>
      <c r="AI124" t="s">
        <v>3027</v>
      </c>
      <c r="AJ124" t="s">
        <v>1</v>
      </c>
      <c r="AK124" t="s">
        <v>1</v>
      </c>
      <c r="AL124" t="s">
        <v>1</v>
      </c>
      <c r="AM124" t="s">
        <v>1</v>
      </c>
      <c r="AN124" t="s">
        <v>1</v>
      </c>
      <c r="AO124" t="s">
        <v>2550</v>
      </c>
      <c r="AP124" t="s">
        <v>1</v>
      </c>
      <c r="AQ124" t="s">
        <v>2</v>
      </c>
      <c r="AR124" t="s">
        <v>3</v>
      </c>
      <c r="AS124" t="s">
        <v>3</v>
      </c>
      <c r="AT124" t="s">
        <v>3</v>
      </c>
      <c r="AU124" t="s">
        <v>3</v>
      </c>
      <c r="AV124" t="s">
        <v>3</v>
      </c>
      <c r="AW124" t="s">
        <v>11</v>
      </c>
      <c r="AX124">
        <f>Tabla1[[#This Row],[precio del paquete]]-Tabla1[[#This Row],[Saldo_Deudor]]</f>
        <v>200</v>
      </c>
      <c r="AY124">
        <v>14600</v>
      </c>
      <c r="AZ124" t="s">
        <v>1</v>
      </c>
      <c r="BA124" t="s">
        <v>1</v>
      </c>
      <c r="BB124" t="s">
        <v>1</v>
      </c>
      <c r="BC124" t="s">
        <v>1404</v>
      </c>
      <c r="BD124" t="s">
        <v>1386</v>
      </c>
      <c r="BE124" t="s">
        <v>3</v>
      </c>
      <c r="BF124" t="s">
        <v>3</v>
      </c>
      <c r="BG124" t="s">
        <v>3</v>
      </c>
      <c r="BH124" t="s">
        <v>3</v>
      </c>
      <c r="BI124" t="s">
        <v>3</v>
      </c>
      <c r="BJ124" t="s">
        <v>3366</v>
      </c>
      <c r="BK124" t="s">
        <v>3</v>
      </c>
      <c r="BL124" t="s">
        <v>132</v>
      </c>
      <c r="BM124" t="s">
        <v>1</v>
      </c>
      <c r="BN124">
        <f>Tabla1[[#This Row],[precio del paquete]]</f>
        <v>14800</v>
      </c>
      <c r="BO124" t="s">
        <v>1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3382</v>
      </c>
      <c r="CD124" t="str" cm="1">
        <f t="array" aca="1" ref="CD124" ca="1">eConcatenar(A124:CB124,"|")</f>
        <v>innxk34zqY40FqF9|CAR2022-0420|3|MEMORIAL|TABASCO|CUNDUACAN|CUNDUACAN|2022-01-22|14800|0|200|50|0|0|0|0|0|0|0|0|0|0|0||0|0|0|GARCIA|GARCIA|ALVARO|SOLTERO|X|X|CARRETERA A MONTERREY SIN NUMERO|JOSE MARIA PINO SUAREZ|X|X|X|X|X|CARRETERA A MONTERREY SIN NUMERO|X|LUNES|x|x|x|x|x|DOMICILIO |200|14600|X|X|X|2022-01-22|2022-01-29|x|x|x|x|x|YCRYFAU92K60AMA|x|HOMBRE|X|14800|X|X|X|X|X|X|X|X|CARDENAS|X|X|X|X|FINAL</v>
      </c>
    </row>
    <row r="125" spans="1:82" x14ac:dyDescent="0.25">
      <c r="A125" t="s">
        <v>374</v>
      </c>
      <c r="B125" t="s">
        <v>375</v>
      </c>
      <c r="C125">
        <v>3</v>
      </c>
      <c r="D125" t="s">
        <v>1369</v>
      </c>
      <c r="E125" t="s">
        <v>1380</v>
      </c>
      <c r="F125" t="s">
        <v>0</v>
      </c>
      <c r="G125" t="s">
        <v>0</v>
      </c>
      <c r="H125" t="s">
        <v>1401</v>
      </c>
      <c r="I125">
        <v>14800</v>
      </c>
      <c r="J125">
        <v>0</v>
      </c>
      <c r="K125">
        <v>500</v>
      </c>
      <c r="L125">
        <v>50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Y125">
        <v>0</v>
      </c>
      <c r="Z125">
        <v>0</v>
      </c>
      <c r="AA125">
        <v>0</v>
      </c>
      <c r="AB125" t="s">
        <v>1815</v>
      </c>
      <c r="AC125" t="s">
        <v>1711</v>
      </c>
      <c r="AD125" s="18" t="s">
        <v>1893</v>
      </c>
      <c r="AE125" t="s">
        <v>4</v>
      </c>
      <c r="AF125" t="s">
        <v>1</v>
      </c>
      <c r="AG125" t="s">
        <v>1</v>
      </c>
      <c r="AH125" t="s">
        <v>2551</v>
      </c>
      <c r="AI125" t="s">
        <v>3028</v>
      </c>
      <c r="AJ125" t="s">
        <v>1</v>
      </c>
      <c r="AK125" t="s">
        <v>1</v>
      </c>
      <c r="AL125" t="s">
        <v>1</v>
      </c>
      <c r="AM125" t="s">
        <v>1</v>
      </c>
      <c r="AN125" t="s">
        <v>1</v>
      </c>
      <c r="AO125" t="s">
        <v>2551</v>
      </c>
      <c r="AP125" t="s">
        <v>1</v>
      </c>
      <c r="AQ125" t="s">
        <v>2</v>
      </c>
      <c r="AR125" t="s">
        <v>3</v>
      </c>
      <c r="AS125" t="s">
        <v>3</v>
      </c>
      <c r="AT125" t="s">
        <v>3</v>
      </c>
      <c r="AU125" t="s">
        <v>3</v>
      </c>
      <c r="AV125" t="s">
        <v>3</v>
      </c>
      <c r="AW125" t="s">
        <v>11</v>
      </c>
      <c r="AX125">
        <f>Tabla1[[#This Row],[precio del paquete]]-Tabla1[[#This Row],[Saldo_Deudor]]</f>
        <v>500</v>
      </c>
      <c r="AY125">
        <v>14300</v>
      </c>
      <c r="AZ125" t="s">
        <v>1</v>
      </c>
      <c r="BA125" t="s">
        <v>1</v>
      </c>
      <c r="BB125" t="s">
        <v>1</v>
      </c>
      <c r="BC125" t="s">
        <v>1401</v>
      </c>
      <c r="BD125" t="s">
        <v>1406</v>
      </c>
      <c r="BE125" t="s">
        <v>3</v>
      </c>
      <c r="BF125" t="s">
        <v>3</v>
      </c>
      <c r="BG125" t="s">
        <v>3</v>
      </c>
      <c r="BH125" t="s">
        <v>3</v>
      </c>
      <c r="BI125" t="s">
        <v>3</v>
      </c>
      <c r="BJ125" t="s">
        <v>3370</v>
      </c>
      <c r="BK125" t="s">
        <v>3</v>
      </c>
      <c r="BL125" t="s">
        <v>132</v>
      </c>
      <c r="BM125" t="s">
        <v>1</v>
      </c>
      <c r="BN125">
        <f>Tabla1[[#This Row],[precio del paquete]]</f>
        <v>14800</v>
      </c>
      <c r="BO125" t="s">
        <v>1</v>
      </c>
      <c r="BP125" t="s">
        <v>1</v>
      </c>
      <c r="BQ125" t="s">
        <v>1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3382</v>
      </c>
      <c r="CD125" t="str" cm="1">
        <f t="array" aca="1" ref="CD125" ca="1">eConcatenar(A125:CB125,"|")</f>
        <v>Dod8K9JXhhDE0Rcp|CAR2022-0851|3|MEMORIAL|TABASCO|CARDENAS|CARDENAS|2022-02-09|14800|0|500|50|1|0|0|0|0|0|0|0|0|0|0||0|0|0|LEON|HERNANDEZ|VICTOR|SOLTERO|X|X|CALLE PRINCIPAL NUMERO 23 A|AMPLIACION CARRIZAL|X|X|X|X|X|CALLE PRINCIPAL NUMERO 23 A|X|LUNES|x|x|x|x|x|DOMICILIO |500|14300|X|X|X|2022-02-09|2022-02-16|x|x|x|x|x|XJ7NCYLLDZFLMWF|x|HOMBRE|X|14800|X|X|X|X|X|X|X|X|CARDENAS|X|X|X|X|FINAL</v>
      </c>
    </row>
    <row r="126" spans="1:82" x14ac:dyDescent="0.25">
      <c r="A126" t="s">
        <v>376</v>
      </c>
      <c r="B126" t="s">
        <v>377</v>
      </c>
      <c r="C126">
        <v>3</v>
      </c>
      <c r="D126" t="s">
        <v>1369</v>
      </c>
      <c r="E126" t="s">
        <v>1380</v>
      </c>
      <c r="F126" t="s">
        <v>1382</v>
      </c>
      <c r="G126" t="s">
        <v>1382</v>
      </c>
      <c r="H126" t="s">
        <v>1401</v>
      </c>
      <c r="I126">
        <v>14800</v>
      </c>
      <c r="J126">
        <v>0</v>
      </c>
      <c r="K126">
        <v>100</v>
      </c>
      <c r="L126">
        <v>50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Y126">
        <v>0</v>
      </c>
      <c r="Z126">
        <v>0</v>
      </c>
      <c r="AA126">
        <v>0</v>
      </c>
      <c r="AB126" t="s">
        <v>1744</v>
      </c>
      <c r="AC126" t="s">
        <v>1716</v>
      </c>
      <c r="AD126" s="18" t="s">
        <v>1894</v>
      </c>
      <c r="AE126" t="s">
        <v>4</v>
      </c>
      <c r="AF126" t="s">
        <v>1</v>
      </c>
      <c r="AG126" t="s">
        <v>1</v>
      </c>
      <c r="AH126" t="s">
        <v>2552</v>
      </c>
      <c r="AI126" t="s">
        <v>2988</v>
      </c>
      <c r="AJ126" t="s">
        <v>1</v>
      </c>
      <c r="AK126" t="s">
        <v>1</v>
      </c>
      <c r="AL126" t="s">
        <v>1</v>
      </c>
      <c r="AM126" t="s">
        <v>1</v>
      </c>
      <c r="AN126" t="s">
        <v>1</v>
      </c>
      <c r="AO126" t="s">
        <v>2552</v>
      </c>
      <c r="AP126" t="s">
        <v>1</v>
      </c>
      <c r="AQ126" t="s">
        <v>2</v>
      </c>
      <c r="AR126" t="s">
        <v>3</v>
      </c>
      <c r="AS126" t="s">
        <v>3</v>
      </c>
      <c r="AT126" t="s">
        <v>3</v>
      </c>
      <c r="AU126" t="s">
        <v>3</v>
      </c>
      <c r="AV126" t="s">
        <v>3</v>
      </c>
      <c r="AW126" t="s">
        <v>11</v>
      </c>
      <c r="AX126">
        <f>Tabla1[[#This Row],[precio del paquete]]-Tabla1[[#This Row],[Saldo_Deudor]]</f>
        <v>100</v>
      </c>
      <c r="AY126">
        <v>14700</v>
      </c>
      <c r="AZ126" t="s">
        <v>1</v>
      </c>
      <c r="BA126" t="s">
        <v>1</v>
      </c>
      <c r="BB126" t="s">
        <v>1</v>
      </c>
      <c r="BC126" t="s">
        <v>1401</v>
      </c>
      <c r="BD126" t="s">
        <v>1406</v>
      </c>
      <c r="BE126" t="s">
        <v>3</v>
      </c>
      <c r="BF126" t="s">
        <v>3</v>
      </c>
      <c r="BG126" t="s">
        <v>3</v>
      </c>
      <c r="BH126" t="s">
        <v>3</v>
      </c>
      <c r="BI126" t="s">
        <v>3</v>
      </c>
      <c r="BJ126" t="s">
        <v>3369</v>
      </c>
      <c r="BK126" t="s">
        <v>3</v>
      </c>
      <c r="BL126" t="s">
        <v>132</v>
      </c>
      <c r="BM126" t="s">
        <v>1</v>
      </c>
      <c r="BN126">
        <f>Tabla1[[#This Row],[precio del paquete]]</f>
        <v>14800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3382</v>
      </c>
      <c r="CD126" t="str" cm="1">
        <f t="array" aca="1" ref="CD126" ca="1">eConcatenar(A126:CB126,"|")</f>
        <v>Cds1aSLtpPpE2g2n|CAR2022-0836|3|MEMORIAL|TABASCO|HUIMANGUILLO|HUIMANGUILLO|2022-02-09|14800|0|100|50|0|0|0|0|0|0|0|0|0|0|0||0|0|0|PEREZ|JUAREZ|OLGA|SOLTERO|X|X|CARRETERA AL POBLADO C-31 SIN NUMERO|GENARO VAZQUEZ|X|X|X|X|X|CARRETERA AL POBLADO C-31 SIN NUMERO|X|LUNES|x|x|x|x|x|DOMICILIO |100|14700|X|X|X|2022-02-09|2022-02-16|x|x|x|x|x|QWYNRBIY9KVZQO|x|HOMBRE|X|14800|X|X|X|X|X|X|X|X|CARDENAS|X|X|X|X|FINAL</v>
      </c>
    </row>
    <row r="127" spans="1:82" x14ac:dyDescent="0.25">
      <c r="A127" t="s">
        <v>378</v>
      </c>
      <c r="B127" t="s">
        <v>379</v>
      </c>
      <c r="C127">
        <v>3</v>
      </c>
      <c r="D127" t="s">
        <v>1369</v>
      </c>
      <c r="E127" t="s">
        <v>1380</v>
      </c>
      <c r="F127" t="s">
        <v>0</v>
      </c>
      <c r="G127" t="s">
        <v>0</v>
      </c>
      <c r="H127" t="s">
        <v>1401</v>
      </c>
      <c r="I127">
        <v>14800</v>
      </c>
      <c r="J127">
        <v>0</v>
      </c>
      <c r="K127">
        <v>200</v>
      </c>
      <c r="L127">
        <v>50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Y127">
        <v>0</v>
      </c>
      <c r="Z127">
        <v>0</v>
      </c>
      <c r="AA127">
        <v>0</v>
      </c>
      <c r="AB127" t="s">
        <v>1895</v>
      </c>
      <c r="AC127" t="s">
        <v>1887</v>
      </c>
      <c r="AD127" s="18" t="s">
        <v>1823</v>
      </c>
      <c r="AE127" t="s">
        <v>4</v>
      </c>
      <c r="AF127" t="s">
        <v>1</v>
      </c>
      <c r="AG127" t="s">
        <v>1</v>
      </c>
      <c r="AH127" t="s">
        <v>2553</v>
      </c>
      <c r="AI127" t="s">
        <v>3029</v>
      </c>
      <c r="AJ127" t="s">
        <v>1</v>
      </c>
      <c r="AK127" t="s">
        <v>1</v>
      </c>
      <c r="AL127" t="s">
        <v>1</v>
      </c>
      <c r="AM127" t="s">
        <v>1</v>
      </c>
      <c r="AN127" t="s">
        <v>1</v>
      </c>
      <c r="AO127" t="s">
        <v>2553</v>
      </c>
      <c r="AP127" t="s">
        <v>1</v>
      </c>
      <c r="AQ127" t="s">
        <v>2</v>
      </c>
      <c r="AR127" t="s">
        <v>3</v>
      </c>
      <c r="AS127" t="s">
        <v>3</v>
      </c>
      <c r="AT127" t="s">
        <v>3</v>
      </c>
      <c r="AU127" t="s">
        <v>3</v>
      </c>
      <c r="AV127" t="s">
        <v>3</v>
      </c>
      <c r="AW127" t="s">
        <v>11</v>
      </c>
      <c r="AX127">
        <f>Tabla1[[#This Row],[precio del paquete]]-Tabla1[[#This Row],[Saldo_Deudor]]</f>
        <v>200</v>
      </c>
      <c r="AY127">
        <v>14600</v>
      </c>
      <c r="AZ127" t="s">
        <v>1</v>
      </c>
      <c r="BA127" t="s">
        <v>1</v>
      </c>
      <c r="BB127" t="s">
        <v>1</v>
      </c>
      <c r="BC127" t="s">
        <v>1401</v>
      </c>
      <c r="BD127" t="s">
        <v>1406</v>
      </c>
      <c r="BE127" t="s">
        <v>3</v>
      </c>
      <c r="BF127" t="s">
        <v>3</v>
      </c>
      <c r="BG127" t="s">
        <v>3</v>
      </c>
      <c r="BH127" t="s">
        <v>3</v>
      </c>
      <c r="BI127" t="s">
        <v>3</v>
      </c>
      <c r="BJ127" t="s">
        <v>3369</v>
      </c>
      <c r="BK127" t="s">
        <v>3</v>
      </c>
      <c r="BL127" t="s">
        <v>132</v>
      </c>
      <c r="BM127" t="s">
        <v>1</v>
      </c>
      <c r="BN127">
        <f>Tabla1[[#This Row],[precio del paquete]]</f>
        <v>14800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3382</v>
      </c>
      <c r="CD127" t="str" cm="1">
        <f t="array" aca="1" ref="CD127" ca="1">eConcatenar(A127:CB127,"|")</f>
        <v>3KZIe3eJsp7gQcX0|CAR2022-0844|3|MEMORIAL|TABASCO|CARDENAS|CARDENAS|2022-02-09|14800|0|200|50|1|0|0|0|0|0|0|0|0|0|0||0|0|0|MENA|GALLEGOS|JANET|SOLTERO|X|X|CALLE JOSE MARTIN NUMERO 37|TOLOQUE|X|X|X|X|X|CALLE JOSE MARTIN NUMERO 37|X|LUNES|x|x|x|x|x|DOMICILIO |200|14600|X|X|X|2022-02-09|2022-02-16|x|x|x|x|x|QWYNRBIY9KVZQO|x|HOMBRE|X|14800|X|X|X|X|X|X|X|X|CARDENAS|X|X|X|X|FINAL</v>
      </c>
    </row>
    <row r="128" spans="1:82" x14ac:dyDescent="0.25">
      <c r="A128" t="s">
        <v>380</v>
      </c>
      <c r="B128" t="s">
        <v>381</v>
      </c>
      <c r="C128">
        <v>3</v>
      </c>
      <c r="D128" t="s">
        <v>1368</v>
      </c>
      <c r="E128" t="s">
        <v>1380</v>
      </c>
      <c r="F128" t="s">
        <v>0</v>
      </c>
      <c r="G128" t="s">
        <v>0</v>
      </c>
      <c r="H128" t="s">
        <v>1391</v>
      </c>
      <c r="I128">
        <v>24500</v>
      </c>
      <c r="J128">
        <v>0</v>
      </c>
      <c r="K128">
        <v>100</v>
      </c>
      <c r="L128">
        <v>50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Y128">
        <v>0</v>
      </c>
      <c r="Z128">
        <v>0</v>
      </c>
      <c r="AA128">
        <v>0</v>
      </c>
      <c r="AB128" t="s">
        <v>1713</v>
      </c>
      <c r="AC128" t="s">
        <v>1769</v>
      </c>
      <c r="AD128" s="18" t="s">
        <v>1896</v>
      </c>
      <c r="AE128" t="s">
        <v>4</v>
      </c>
      <c r="AF128" t="s">
        <v>1</v>
      </c>
      <c r="AG128" t="s">
        <v>1</v>
      </c>
      <c r="AH128" t="s">
        <v>2554</v>
      </c>
      <c r="AI128" t="s">
        <v>5</v>
      </c>
      <c r="AJ128" t="s">
        <v>1</v>
      </c>
      <c r="AK128" t="s">
        <v>1</v>
      </c>
      <c r="AL128" t="s">
        <v>1</v>
      </c>
      <c r="AM128" t="s">
        <v>1</v>
      </c>
      <c r="AN128" t="s">
        <v>1</v>
      </c>
      <c r="AO128" t="s">
        <v>2554</v>
      </c>
      <c r="AP128" t="s">
        <v>1</v>
      </c>
      <c r="AQ128" t="s">
        <v>2</v>
      </c>
      <c r="AR128" t="s">
        <v>3</v>
      </c>
      <c r="AS128" t="s">
        <v>3</v>
      </c>
      <c r="AT128" t="s">
        <v>3</v>
      </c>
      <c r="AU128" t="s">
        <v>3</v>
      </c>
      <c r="AV128" t="s">
        <v>3</v>
      </c>
      <c r="AW128" t="s">
        <v>11</v>
      </c>
      <c r="AX128">
        <f>Tabla1[[#This Row],[precio del paquete]]-Tabla1[[#This Row],[Saldo_Deudor]]</f>
        <v>9800</v>
      </c>
      <c r="AY128">
        <v>14700</v>
      </c>
      <c r="AZ128" t="s">
        <v>1</v>
      </c>
      <c r="BA128" t="s">
        <v>1</v>
      </c>
      <c r="BB128" t="s">
        <v>1</v>
      </c>
      <c r="BC128" t="s">
        <v>1391</v>
      </c>
      <c r="BD128" t="s">
        <v>1399</v>
      </c>
      <c r="BE128" t="s">
        <v>3</v>
      </c>
      <c r="BF128" t="s">
        <v>3</v>
      </c>
      <c r="BG128" t="s">
        <v>3</v>
      </c>
      <c r="BH128" t="s">
        <v>3</v>
      </c>
      <c r="BI128" t="s">
        <v>3</v>
      </c>
      <c r="BJ128" t="s">
        <v>3369</v>
      </c>
      <c r="BK128" t="s">
        <v>3</v>
      </c>
      <c r="BL128" t="s">
        <v>132</v>
      </c>
      <c r="BM128" t="s">
        <v>1</v>
      </c>
      <c r="BN128">
        <f>Tabla1[[#This Row],[precio del paquete]]</f>
        <v>24500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3382</v>
      </c>
      <c r="CD128" t="str" cm="1">
        <f t="array" aca="1" ref="CD128" ca="1">eConcatenar(A128:CB128,"|")</f>
        <v>v7t4raD1anFx9LGT|CAR2022-0688|3|DIGNITY|TABASCO|CARDENAS|CARDENAS|2022-02-04|24500|0|100|50|1|0|0|0|0|0|0|0|0|0|0||0|0|0|DE LA CRUZ|TORRES|RITA|SOLTERO|X|X|PROLONGACION IGANACIO GUTIERREZ NUMEO 4|CENTRO|X|X|X|X|X|PROLONGACION IGANACIO GUTIERREZ NUMEO 4|X|LUNES|x|x|x|x|x|DOMICILIO |9800|14700|X|X|X|2022-02-04|2022-02-11|x|x|x|x|x|QWYNRBIY9KVZQO|x|HOMBRE|X|24500|X|X|X|X|X|X|X|X|CARDENAS|X|X|X|X|FINAL</v>
      </c>
    </row>
    <row r="129" spans="1:82" x14ac:dyDescent="0.25">
      <c r="A129" t="s">
        <v>382</v>
      </c>
      <c r="B129" t="s">
        <v>383</v>
      </c>
      <c r="C129">
        <v>3</v>
      </c>
      <c r="D129" t="s">
        <v>1369</v>
      </c>
      <c r="E129" t="s">
        <v>1380</v>
      </c>
      <c r="F129" t="s">
        <v>1381</v>
      </c>
      <c r="G129" t="s">
        <v>1381</v>
      </c>
      <c r="H129" t="s">
        <v>1386</v>
      </c>
      <c r="I129">
        <v>14800</v>
      </c>
      <c r="J129">
        <v>0</v>
      </c>
      <c r="K129">
        <v>50</v>
      </c>
      <c r="L129">
        <v>50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Y129">
        <v>0</v>
      </c>
      <c r="Z129">
        <v>0</v>
      </c>
      <c r="AA129">
        <v>0</v>
      </c>
      <c r="AB129" t="s">
        <v>1711</v>
      </c>
      <c r="AC129" t="s">
        <v>1897</v>
      </c>
      <c r="AD129" s="18" t="s">
        <v>1898</v>
      </c>
      <c r="AE129" t="s">
        <v>4</v>
      </c>
      <c r="AF129" t="s">
        <v>1</v>
      </c>
      <c r="AG129" t="s">
        <v>1</v>
      </c>
      <c r="AH129" t="s">
        <v>2465</v>
      </c>
      <c r="AI129" t="s">
        <v>3017</v>
      </c>
      <c r="AJ129" t="s">
        <v>1</v>
      </c>
      <c r="AK129" t="s">
        <v>1</v>
      </c>
      <c r="AL129" t="s">
        <v>1</v>
      </c>
      <c r="AM129" t="s">
        <v>1</v>
      </c>
      <c r="AN129" t="s">
        <v>1</v>
      </c>
      <c r="AO129" t="s">
        <v>2465</v>
      </c>
      <c r="AP129" t="s">
        <v>1</v>
      </c>
      <c r="AQ129" t="s">
        <v>2</v>
      </c>
      <c r="AR129" t="s">
        <v>3</v>
      </c>
      <c r="AS129" t="s">
        <v>3</v>
      </c>
      <c r="AT129" t="s">
        <v>3</v>
      </c>
      <c r="AU129" t="s">
        <v>3</v>
      </c>
      <c r="AV129" t="s">
        <v>3</v>
      </c>
      <c r="AW129" t="s">
        <v>11</v>
      </c>
      <c r="AX129">
        <f>Tabla1[[#This Row],[precio del paquete]]-Tabla1[[#This Row],[Saldo_Deudor]]</f>
        <v>50</v>
      </c>
      <c r="AY129">
        <v>14750</v>
      </c>
      <c r="AZ129" t="s">
        <v>1</v>
      </c>
      <c r="BA129" t="s">
        <v>1</v>
      </c>
      <c r="BB129" t="s">
        <v>1</v>
      </c>
      <c r="BC129" t="s">
        <v>3250</v>
      </c>
      <c r="BD129" t="s">
        <v>3307</v>
      </c>
      <c r="BE129" t="s">
        <v>3</v>
      </c>
      <c r="BF129" t="s">
        <v>3</v>
      </c>
      <c r="BG129" t="s">
        <v>3</v>
      </c>
      <c r="BH129" t="s">
        <v>3</v>
      </c>
      <c r="BI129" t="s">
        <v>3</v>
      </c>
      <c r="BJ129" t="s">
        <v>3371</v>
      </c>
      <c r="BK129" t="s">
        <v>3</v>
      </c>
      <c r="BL129" t="s">
        <v>132</v>
      </c>
      <c r="BM129" t="s">
        <v>1</v>
      </c>
      <c r="BN129">
        <f>Tabla1[[#This Row],[precio del paquete]]</f>
        <v>14800</v>
      </c>
      <c r="BO129" t="s">
        <v>1</v>
      </c>
      <c r="BP129" t="s">
        <v>1</v>
      </c>
      <c r="BQ129" t="s">
        <v>1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3382</v>
      </c>
      <c r="CD129" t="str" cm="1">
        <f t="array" aca="1" ref="CD129" ca="1">eConcatenar(A129:CB129,"|")</f>
        <v>mbxmSSJ0VxXfLD17|CAR2022-0607|3|MEMORIAL|TABASCO|CUNDUACAN|CUNDUACAN|2022-01-29|14800|0|50|50|0|0|0|0|0|0|0|0|0|0|0||0|0|0|HERNANDEZ|TRIANO|RAFAEL|SOLTERO|X|X|CARRETERA PRINCIPAL SIN NUMERO|YOLOXOCHILT SEGUNDA SECCION|X|X|X|X|X|CARRETERA PRINCIPAL SIN NUMERO|X|LUNES|x|x|x|x|x|DOMICILIO |50|14750|X|X|X|2022-02-28|2022-03-07|x|x|x|x|x|W5OV8PESRAEJZYS|x|HOMBRE|X|14800|X|X|X|X|X|X|X|X|CARDENAS|X|X|X|X|FINAL</v>
      </c>
    </row>
    <row r="130" spans="1:82" x14ac:dyDescent="0.25">
      <c r="A130" t="s">
        <v>384</v>
      </c>
      <c r="B130" t="s">
        <v>385</v>
      </c>
      <c r="C130">
        <v>3</v>
      </c>
      <c r="D130" t="s">
        <v>1369</v>
      </c>
      <c r="E130" t="s">
        <v>1380</v>
      </c>
      <c r="F130" t="s">
        <v>1381</v>
      </c>
      <c r="G130" t="s">
        <v>1381</v>
      </c>
      <c r="H130" t="s">
        <v>1386</v>
      </c>
      <c r="I130">
        <v>14800</v>
      </c>
      <c r="J130">
        <v>0</v>
      </c>
      <c r="K130">
        <v>200</v>
      </c>
      <c r="L130">
        <v>50</v>
      </c>
      <c r="M130">
        <v>1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Y130">
        <v>0</v>
      </c>
      <c r="Z130">
        <v>0</v>
      </c>
      <c r="AA130">
        <v>0</v>
      </c>
      <c r="AB130" t="s">
        <v>1744</v>
      </c>
      <c r="AC130" t="s">
        <v>1899</v>
      </c>
      <c r="AD130" s="18" t="s">
        <v>1900</v>
      </c>
      <c r="AE130" t="s">
        <v>4</v>
      </c>
      <c r="AF130" t="s">
        <v>1</v>
      </c>
      <c r="AG130" t="s">
        <v>1</v>
      </c>
      <c r="AH130" t="s">
        <v>2465</v>
      </c>
      <c r="AI130" t="s">
        <v>3017</v>
      </c>
      <c r="AJ130" t="s">
        <v>1</v>
      </c>
      <c r="AK130" t="s">
        <v>1</v>
      </c>
      <c r="AL130" t="s">
        <v>1</v>
      </c>
      <c r="AM130" t="s">
        <v>1</v>
      </c>
      <c r="AN130" t="s">
        <v>1</v>
      </c>
      <c r="AO130" t="s">
        <v>2465</v>
      </c>
      <c r="AP130" t="s">
        <v>1</v>
      </c>
      <c r="AQ130" t="s">
        <v>2</v>
      </c>
      <c r="AR130" t="s">
        <v>3</v>
      </c>
      <c r="AS130" t="s">
        <v>3</v>
      </c>
      <c r="AT130" t="s">
        <v>3</v>
      </c>
      <c r="AU130" t="s">
        <v>3</v>
      </c>
      <c r="AV130" t="s">
        <v>3</v>
      </c>
      <c r="AW130" t="s">
        <v>11</v>
      </c>
      <c r="AX130">
        <f>Tabla1[[#This Row],[precio del paquete]]-Tabla1[[#This Row],[Saldo_Deudor]]</f>
        <v>200</v>
      </c>
      <c r="AY130">
        <v>14600</v>
      </c>
      <c r="AZ130" t="s">
        <v>1</v>
      </c>
      <c r="BA130" t="s">
        <v>1</v>
      </c>
      <c r="BB130" t="s">
        <v>1</v>
      </c>
      <c r="BC130" t="s">
        <v>1401</v>
      </c>
      <c r="BD130" t="s">
        <v>1406</v>
      </c>
      <c r="BE130" t="s">
        <v>3</v>
      </c>
      <c r="BF130" t="s">
        <v>3</v>
      </c>
      <c r="BG130" t="s">
        <v>3</v>
      </c>
      <c r="BH130" t="s">
        <v>3</v>
      </c>
      <c r="BI130" t="s">
        <v>3</v>
      </c>
      <c r="BJ130" t="s">
        <v>3371</v>
      </c>
      <c r="BK130" t="s">
        <v>3</v>
      </c>
      <c r="BL130" t="s">
        <v>132</v>
      </c>
      <c r="BM130" t="s">
        <v>1</v>
      </c>
      <c r="BN130">
        <f>Tabla1[[#This Row],[precio del paquete]]</f>
        <v>14800</v>
      </c>
      <c r="BO130" t="s">
        <v>1</v>
      </c>
      <c r="BP130" t="s">
        <v>1</v>
      </c>
      <c r="BQ130" t="s">
        <v>1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3382</v>
      </c>
      <c r="CD130" t="str" cm="1">
        <f t="array" aca="1" ref="CD130" ca="1">eConcatenar(A130:CB130,"|")</f>
        <v>vfub8JR3XlrLLA4i|CAR2022-0842|3|MEMORIAL|TABASCO|CUNDUACAN|CUNDUACAN|2022-01-29|14800|0|200|50|1|0|0|0|0|0|0|0|0|0|0||0|0|0|PEREZ|ESCOBAR|EPIFANIO|SOLTERO|X|X|CARRETERA PRINCIPAL SIN NUMERO|YOLOXOCHILT SEGUNDA SECCION|X|X|X|X|X|CARRETERA PRINCIPAL SIN NUMERO|X|LUNES|x|x|x|x|x|DOMICILIO |200|14600|X|X|X|2022-02-09|2022-02-16|x|x|x|x|x|W5OV8PESRAEJZYS|x|HOMBRE|X|14800|X|X|X|X|X|X|X|X|CARDENAS|X|X|X|X|FINAL</v>
      </c>
    </row>
    <row r="131" spans="1:82" x14ac:dyDescent="0.25">
      <c r="A131" t="s">
        <v>386</v>
      </c>
      <c r="B131" t="s">
        <v>387</v>
      </c>
      <c r="C131">
        <v>3</v>
      </c>
      <c r="D131" t="s">
        <v>1369</v>
      </c>
      <c r="E131" t="s">
        <v>1380</v>
      </c>
      <c r="F131" t="s">
        <v>1381</v>
      </c>
      <c r="G131" t="s">
        <v>1381</v>
      </c>
      <c r="H131" t="s">
        <v>1388</v>
      </c>
      <c r="I131">
        <v>14800</v>
      </c>
      <c r="J131">
        <v>0</v>
      </c>
      <c r="K131">
        <v>200</v>
      </c>
      <c r="L131">
        <v>50</v>
      </c>
      <c r="M131">
        <v>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Y131">
        <v>0</v>
      </c>
      <c r="Z131">
        <v>0</v>
      </c>
      <c r="AA131">
        <v>0</v>
      </c>
      <c r="AB131" t="s">
        <v>7</v>
      </c>
      <c r="AC131" t="s">
        <v>1850</v>
      </c>
      <c r="AD131" s="18" t="s">
        <v>1901</v>
      </c>
      <c r="AE131" t="s">
        <v>4</v>
      </c>
      <c r="AF131" t="s">
        <v>1</v>
      </c>
      <c r="AG131" t="s">
        <v>1</v>
      </c>
      <c r="AH131" t="s">
        <v>2456</v>
      </c>
      <c r="AI131" t="s">
        <v>3009</v>
      </c>
      <c r="AJ131" t="s">
        <v>1</v>
      </c>
      <c r="AK131" t="s">
        <v>1</v>
      </c>
      <c r="AL131" t="s">
        <v>1</v>
      </c>
      <c r="AM131" t="s">
        <v>1</v>
      </c>
      <c r="AN131" t="s">
        <v>1</v>
      </c>
      <c r="AO131" t="s">
        <v>2456</v>
      </c>
      <c r="AP131" t="s">
        <v>1</v>
      </c>
      <c r="AQ131" t="s">
        <v>2</v>
      </c>
      <c r="AR131" t="s">
        <v>3</v>
      </c>
      <c r="AS131" t="s">
        <v>3</v>
      </c>
      <c r="AT131" t="s">
        <v>3</v>
      </c>
      <c r="AU131" t="s">
        <v>3</v>
      </c>
      <c r="AV131" t="s">
        <v>3</v>
      </c>
      <c r="AW131" t="s">
        <v>11</v>
      </c>
      <c r="AX131">
        <f>Tabla1[[#This Row],[precio del paquete]]-Tabla1[[#This Row],[Saldo_Deudor]]</f>
        <v>200</v>
      </c>
      <c r="AY131">
        <v>14600</v>
      </c>
      <c r="AZ131" t="s">
        <v>1</v>
      </c>
      <c r="BA131" t="s">
        <v>1</v>
      </c>
      <c r="BB131" t="s">
        <v>1</v>
      </c>
      <c r="BC131" t="s">
        <v>1401</v>
      </c>
      <c r="BD131" t="s">
        <v>1406</v>
      </c>
      <c r="BE131" t="s">
        <v>3</v>
      </c>
      <c r="BF131" t="s">
        <v>3</v>
      </c>
      <c r="BG131" t="s">
        <v>3</v>
      </c>
      <c r="BH131" t="s">
        <v>3</v>
      </c>
      <c r="BI131" t="s">
        <v>3</v>
      </c>
      <c r="BJ131" t="s">
        <v>3352</v>
      </c>
      <c r="BK131" t="s">
        <v>3</v>
      </c>
      <c r="BL131" t="s">
        <v>132</v>
      </c>
      <c r="BM131" t="s">
        <v>1</v>
      </c>
      <c r="BN131">
        <f>Tabla1[[#This Row],[precio del paquete]]</f>
        <v>14800</v>
      </c>
      <c r="BO131" t="s">
        <v>1</v>
      </c>
      <c r="BP131" t="s">
        <v>1</v>
      </c>
      <c r="BQ131" t="s">
        <v>1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3382</v>
      </c>
      <c r="CD131" t="str" cm="1">
        <f t="array" aca="1" ref="CD131" ca="1">eConcatenar(A131:CB131,"|")</f>
        <v>7CRo1AvhwgzaJwn6|CAR2022-0813|3|MEMORIAL|TABASCO|CUNDUACAN|CUNDUACAN|2022-02-05|14800|0|200|50|1|0|0|0|0|0|0|0|0|0|0||0|0|0|LOPEZ|VELA|FLORENCIO|SOLTERO|X|X|CALLE PRINCIPAL SIN NUMERO|LIBERTAD QUINTA SECCION|X|X|X|X|X|CALLE PRINCIPAL SIN NUMERO|X|LUNES|x|x|x|x|x|DOMICILIO |200|14600|X|X|X|2022-02-09|2022-02-16|x|x|x|x|x|INFHQSH0B2NMACS|x|HOMBRE|X|14800|X|X|X|X|X|X|X|X|CARDENAS|X|X|X|X|FINAL</v>
      </c>
    </row>
    <row r="132" spans="1:82" x14ac:dyDescent="0.25">
      <c r="A132" t="s">
        <v>388</v>
      </c>
      <c r="B132" t="s">
        <v>389</v>
      </c>
      <c r="C132">
        <v>3</v>
      </c>
      <c r="D132" t="s">
        <v>1369</v>
      </c>
      <c r="E132" t="s">
        <v>1380</v>
      </c>
      <c r="F132" t="s">
        <v>0</v>
      </c>
      <c r="G132" t="s">
        <v>0</v>
      </c>
      <c r="H132" t="s">
        <v>1402</v>
      </c>
      <c r="I132">
        <v>14800</v>
      </c>
      <c r="J132">
        <v>0</v>
      </c>
      <c r="K132">
        <v>200</v>
      </c>
      <c r="L132">
        <v>50</v>
      </c>
      <c r="M132">
        <v>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Y132">
        <v>0</v>
      </c>
      <c r="Z132">
        <v>0</v>
      </c>
      <c r="AA132">
        <v>0</v>
      </c>
      <c r="AB132" t="s">
        <v>1713</v>
      </c>
      <c r="AC132" t="s">
        <v>1711</v>
      </c>
      <c r="AD132" s="18" t="s">
        <v>1902</v>
      </c>
      <c r="AE132" t="s">
        <v>4</v>
      </c>
      <c r="AF132" t="s">
        <v>1</v>
      </c>
      <c r="AG132" t="s">
        <v>1</v>
      </c>
      <c r="AH132" t="s">
        <v>2555</v>
      </c>
      <c r="AI132" t="s">
        <v>3030</v>
      </c>
      <c r="AJ132" t="s">
        <v>1</v>
      </c>
      <c r="AK132" t="s">
        <v>1</v>
      </c>
      <c r="AL132" t="s">
        <v>1</v>
      </c>
      <c r="AM132" t="s">
        <v>1</v>
      </c>
      <c r="AN132" t="s">
        <v>1</v>
      </c>
      <c r="AO132" t="s">
        <v>2555</v>
      </c>
      <c r="AP132" t="s">
        <v>1</v>
      </c>
      <c r="AQ132" t="s">
        <v>2</v>
      </c>
      <c r="AR132" t="s">
        <v>3</v>
      </c>
      <c r="AS132" t="s">
        <v>3</v>
      </c>
      <c r="AT132" t="s">
        <v>3</v>
      </c>
      <c r="AU132" t="s">
        <v>3</v>
      </c>
      <c r="AV132" t="s">
        <v>3</v>
      </c>
      <c r="AW132" t="s">
        <v>11</v>
      </c>
      <c r="AX132">
        <f>Tabla1[[#This Row],[precio del paquete]]-Tabla1[[#This Row],[Saldo_Deudor]]</f>
        <v>200</v>
      </c>
      <c r="AY132">
        <v>14600</v>
      </c>
      <c r="AZ132" t="s">
        <v>1</v>
      </c>
      <c r="BA132" t="s">
        <v>1</v>
      </c>
      <c r="BB132" t="s">
        <v>1</v>
      </c>
      <c r="BC132" t="s">
        <v>1402</v>
      </c>
      <c r="BD132" t="s">
        <v>1405</v>
      </c>
      <c r="BE132" t="s">
        <v>3</v>
      </c>
      <c r="BF132" t="s">
        <v>3</v>
      </c>
      <c r="BG132" t="s">
        <v>3</v>
      </c>
      <c r="BH132" t="s">
        <v>3</v>
      </c>
      <c r="BI132" t="s">
        <v>3</v>
      </c>
      <c r="BJ132" t="s">
        <v>3353</v>
      </c>
      <c r="BK132" t="s">
        <v>3</v>
      </c>
      <c r="BL132" t="s">
        <v>132</v>
      </c>
      <c r="BM132" t="s">
        <v>1</v>
      </c>
      <c r="BN132">
        <f>Tabla1[[#This Row],[precio del paquete]]</f>
        <v>14800</v>
      </c>
      <c r="BO132" t="s">
        <v>1</v>
      </c>
      <c r="BP132" t="s">
        <v>1</v>
      </c>
      <c r="BQ132" t="s">
        <v>1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3382</v>
      </c>
      <c r="CD132" t="str" cm="1">
        <f t="array" aca="1" ref="CD132" ca="1">eConcatenar(A132:CB132,"|")</f>
        <v>mC3LLoiWmwslR3Hq|CAR2022-0838|3|MEMORIAL|TABASCO|CARDENAS|CARDENAS|2022-02-08|14800|0|200|50|2|0|0|0|0|0|0|0|0|0|0||0|0|0|DE LA CRUZ|HERNANDEZ|VIRGINIA|SOLTERO|X|X|CALLE UNO CASA NUMERO 2|C-10 LAZARO CARDENAS|X|X|X|X|X|CALLE UNO CASA NUMERO 2|X|LUNES|x|x|x|x|x|DOMICILIO |200|14600|X|X|X|2022-02-08|2022-02-15|x|x|x|x|x|TGYGIVCAZFPUVXE|x|HOMBRE|X|14800|X|X|X|X|X|X|X|X|CARDENAS|X|X|X|X|FINAL</v>
      </c>
    </row>
    <row r="133" spans="1:82" x14ac:dyDescent="0.25">
      <c r="A133" t="s">
        <v>390</v>
      </c>
      <c r="B133" t="s">
        <v>391</v>
      </c>
      <c r="C133">
        <v>3</v>
      </c>
      <c r="D133" t="s">
        <v>1369</v>
      </c>
      <c r="E133" t="s">
        <v>1380</v>
      </c>
      <c r="F133" t="s">
        <v>0</v>
      </c>
      <c r="G133" t="s">
        <v>0</v>
      </c>
      <c r="H133" t="s">
        <v>1388</v>
      </c>
      <c r="I133">
        <v>14800</v>
      </c>
      <c r="J133">
        <v>0</v>
      </c>
      <c r="K133">
        <v>100</v>
      </c>
      <c r="L133">
        <v>50</v>
      </c>
      <c r="M133">
        <v>2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Y133">
        <v>0</v>
      </c>
      <c r="Z133">
        <v>0</v>
      </c>
      <c r="AA133">
        <v>0</v>
      </c>
      <c r="AB133" t="s">
        <v>1713</v>
      </c>
      <c r="AC133" t="s">
        <v>1903</v>
      </c>
      <c r="AD133" s="18" t="s">
        <v>1904</v>
      </c>
      <c r="AE133" t="s">
        <v>4</v>
      </c>
      <c r="AF133" t="s">
        <v>1</v>
      </c>
      <c r="AG133" t="s">
        <v>1</v>
      </c>
      <c r="AH133" t="s">
        <v>2556</v>
      </c>
      <c r="AI133" t="s">
        <v>3031</v>
      </c>
      <c r="AJ133" t="s">
        <v>1</v>
      </c>
      <c r="AK133" t="s">
        <v>1</v>
      </c>
      <c r="AL133" t="s">
        <v>1</v>
      </c>
      <c r="AM133" t="s">
        <v>1</v>
      </c>
      <c r="AN133" t="s">
        <v>1</v>
      </c>
      <c r="AO133" t="s">
        <v>2556</v>
      </c>
      <c r="AP133" t="s">
        <v>1</v>
      </c>
      <c r="AQ133" t="s">
        <v>2</v>
      </c>
      <c r="AR133" t="s">
        <v>3</v>
      </c>
      <c r="AS133" t="s">
        <v>3</v>
      </c>
      <c r="AT133" t="s">
        <v>3</v>
      </c>
      <c r="AU133" t="s">
        <v>3</v>
      </c>
      <c r="AV133" t="s">
        <v>3</v>
      </c>
      <c r="AW133" t="s">
        <v>11</v>
      </c>
      <c r="AX133">
        <f>Tabla1[[#This Row],[precio del paquete]]-Tabla1[[#This Row],[Saldo_Deudor]]</f>
        <v>100</v>
      </c>
      <c r="AY133">
        <v>14700</v>
      </c>
      <c r="AZ133" t="s">
        <v>1</v>
      </c>
      <c r="BA133" t="s">
        <v>1</v>
      </c>
      <c r="BB133" t="s">
        <v>1</v>
      </c>
      <c r="BC133" t="s">
        <v>1388</v>
      </c>
      <c r="BD133" t="s">
        <v>1398</v>
      </c>
      <c r="BE133" t="s">
        <v>3</v>
      </c>
      <c r="BF133" t="s">
        <v>3</v>
      </c>
      <c r="BG133" t="s">
        <v>3</v>
      </c>
      <c r="BH133" t="s">
        <v>3</v>
      </c>
      <c r="BI133" t="s">
        <v>3</v>
      </c>
      <c r="BJ133" t="s">
        <v>3351</v>
      </c>
      <c r="BK133" t="s">
        <v>3</v>
      </c>
      <c r="BL133" t="s">
        <v>132</v>
      </c>
      <c r="BM133" t="s">
        <v>1</v>
      </c>
      <c r="BN133">
        <f>Tabla1[[#This Row],[precio del paquete]]</f>
        <v>14800</v>
      </c>
      <c r="BO133" t="s">
        <v>1</v>
      </c>
      <c r="BP133" t="s">
        <v>1</v>
      </c>
      <c r="BQ133" t="s">
        <v>1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3382</v>
      </c>
      <c r="CD133" t="str" cm="1">
        <f t="array" aca="1" ref="CD133" ca="1">eConcatenar(A133:CB133,"|")</f>
        <v>oKvt9Ns3pH4ORLeT|CAR2022-0804|3|MEMORIAL|TABASCO|CARDENAS|CARDENAS|2022-02-05|14800|0|100|50|2|0|0|0|0|0|0|0|0|0|0||0|0|0|DE LA CRUZ|LUNA|KELITA|SOLTERO|X|X|CALLE MIGUEL HIDALGO Y COSTILLA |MELCHOR OCAMPO |X|X|X|X|X|CALLE MIGUEL HIDALGO Y COSTILLA |X|LUNES|x|x|x|x|x|DOMICILIO |100|14700|X|X|X|2022-02-05|2022-02-12|x|x|x|x|x|QWZHGJ0U9KVTQO|x|HOMBRE|X|14800|X|X|X|X|X|X|X|X|CARDENAS|X|X|X|X|FINAL</v>
      </c>
    </row>
    <row r="134" spans="1:82" x14ac:dyDescent="0.25">
      <c r="A134" t="s">
        <v>392</v>
      </c>
      <c r="B134" t="s">
        <v>393</v>
      </c>
      <c r="C134">
        <v>3</v>
      </c>
      <c r="D134" t="s">
        <v>1369</v>
      </c>
      <c r="E134" t="s">
        <v>1380</v>
      </c>
      <c r="F134" t="s">
        <v>0</v>
      </c>
      <c r="G134" t="s">
        <v>0</v>
      </c>
      <c r="H134" t="s">
        <v>1388</v>
      </c>
      <c r="I134">
        <v>14800</v>
      </c>
      <c r="J134">
        <v>0</v>
      </c>
      <c r="K134">
        <v>100</v>
      </c>
      <c r="L134">
        <v>50</v>
      </c>
      <c r="M134">
        <v>2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Y134">
        <v>0</v>
      </c>
      <c r="Z134">
        <v>0</v>
      </c>
      <c r="AA134">
        <v>0</v>
      </c>
      <c r="AB134" t="s">
        <v>1713</v>
      </c>
      <c r="AC134" t="s">
        <v>1731</v>
      </c>
      <c r="AD134" s="18" t="s">
        <v>1905</v>
      </c>
      <c r="AE134" t="s">
        <v>4</v>
      </c>
      <c r="AF134" t="s">
        <v>1</v>
      </c>
      <c r="AG134" t="s">
        <v>1</v>
      </c>
      <c r="AH134" t="s">
        <v>2557</v>
      </c>
      <c r="AI134" t="s">
        <v>3032</v>
      </c>
      <c r="AJ134" t="s">
        <v>1</v>
      </c>
      <c r="AK134" t="s">
        <v>1</v>
      </c>
      <c r="AL134" t="s">
        <v>1</v>
      </c>
      <c r="AM134" t="s">
        <v>1</v>
      </c>
      <c r="AN134" t="s">
        <v>1</v>
      </c>
      <c r="AO134" t="s">
        <v>2557</v>
      </c>
      <c r="AP134" t="s">
        <v>1</v>
      </c>
      <c r="AQ134" t="s">
        <v>2</v>
      </c>
      <c r="AR134" t="s">
        <v>3</v>
      </c>
      <c r="AS134" t="s">
        <v>3</v>
      </c>
      <c r="AT134" t="s">
        <v>3</v>
      </c>
      <c r="AU134" t="s">
        <v>3</v>
      </c>
      <c r="AV134" t="s">
        <v>3</v>
      </c>
      <c r="AW134" t="s">
        <v>11</v>
      </c>
      <c r="AX134">
        <f>Tabla1[[#This Row],[precio del paquete]]-Tabla1[[#This Row],[Saldo_Deudor]]</f>
        <v>100</v>
      </c>
      <c r="AY134">
        <v>14700</v>
      </c>
      <c r="AZ134" t="s">
        <v>1</v>
      </c>
      <c r="BA134" t="s">
        <v>1</v>
      </c>
      <c r="BB134" t="s">
        <v>1</v>
      </c>
      <c r="BC134" t="s">
        <v>1388</v>
      </c>
      <c r="BD134" t="s">
        <v>1398</v>
      </c>
      <c r="BE134" t="s">
        <v>3</v>
      </c>
      <c r="BF134" t="s">
        <v>3</v>
      </c>
      <c r="BG134" t="s">
        <v>3</v>
      </c>
      <c r="BH134" t="s">
        <v>3</v>
      </c>
      <c r="BI134" t="s">
        <v>3</v>
      </c>
      <c r="BJ134" t="s">
        <v>3351</v>
      </c>
      <c r="BK134" t="s">
        <v>3</v>
      </c>
      <c r="BL134" t="s">
        <v>132</v>
      </c>
      <c r="BM134" t="s">
        <v>1</v>
      </c>
      <c r="BN134">
        <f>Tabla1[[#This Row],[precio del paquete]]</f>
        <v>14800</v>
      </c>
      <c r="BO134" t="s">
        <v>1</v>
      </c>
      <c r="BP134" t="s">
        <v>1</v>
      </c>
      <c r="BQ134" t="s">
        <v>1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3382</v>
      </c>
      <c r="CD134" t="str" cm="1">
        <f t="array" aca="1" ref="CD134" ca="1">eConcatenar(A134:CB134,"|")</f>
        <v>AZU1HYvAH3pfVz1s|CAR2022-0807|3|MEMORIAL|TABASCO|CARDENAS|CARDENAS|2022-02-05|14800|0|100|50|2|0|0|0|0|0|0|0|0|0|0||0|0|0|DE LA CRUZ|GARCIA|LADY DIANA|SOLTERO|X|X|CALLE JOSEFA ORTIZ DE DOMINGUEZ CASA NUMERO 296|LAZARO CARDENAS|X|X|X|X|X|CALLE JOSEFA ORTIZ DE DOMINGUEZ CASA NUMERO 296|X|LUNES|x|x|x|x|x|DOMICILIO |100|14700|X|X|X|2022-02-05|2022-02-12|x|x|x|x|x|QWZHGJ0U9KVTQO|x|HOMBRE|X|14800|X|X|X|X|X|X|X|X|CARDENAS|X|X|X|X|FINAL</v>
      </c>
    </row>
    <row r="135" spans="1:82" x14ac:dyDescent="0.25">
      <c r="A135" t="s">
        <v>394</v>
      </c>
      <c r="B135" t="s">
        <v>395</v>
      </c>
      <c r="C135">
        <v>3</v>
      </c>
      <c r="D135" t="s">
        <v>1369</v>
      </c>
      <c r="E135" t="s">
        <v>1380</v>
      </c>
      <c r="F135" t="s">
        <v>0</v>
      </c>
      <c r="G135" t="s">
        <v>0</v>
      </c>
      <c r="H135" t="s">
        <v>1388</v>
      </c>
      <c r="I135">
        <v>14800</v>
      </c>
      <c r="J135">
        <v>0</v>
      </c>
      <c r="K135">
        <v>400</v>
      </c>
      <c r="L135">
        <v>50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Y135">
        <v>0</v>
      </c>
      <c r="Z135">
        <v>0</v>
      </c>
      <c r="AA135">
        <v>0</v>
      </c>
      <c r="AB135" t="s">
        <v>1906</v>
      </c>
      <c r="AC135" t="s">
        <v>1769</v>
      </c>
      <c r="AD135" s="18" t="s">
        <v>1907</v>
      </c>
      <c r="AE135" t="s">
        <v>4</v>
      </c>
      <c r="AF135" t="s">
        <v>1</v>
      </c>
      <c r="AG135" t="s">
        <v>1</v>
      </c>
      <c r="AH135" t="s">
        <v>2465</v>
      </c>
      <c r="AI135" t="s">
        <v>3033</v>
      </c>
      <c r="AJ135" t="s">
        <v>1</v>
      </c>
      <c r="AK135" t="s">
        <v>1</v>
      </c>
      <c r="AL135" t="s">
        <v>1</v>
      </c>
      <c r="AM135" t="s">
        <v>1</v>
      </c>
      <c r="AN135" t="s">
        <v>1</v>
      </c>
      <c r="AO135" t="s">
        <v>2465</v>
      </c>
      <c r="AP135" t="s">
        <v>1</v>
      </c>
      <c r="AQ135" t="s">
        <v>2</v>
      </c>
      <c r="AR135" t="s">
        <v>3</v>
      </c>
      <c r="AS135" t="s">
        <v>3</v>
      </c>
      <c r="AT135" t="s">
        <v>3</v>
      </c>
      <c r="AU135" t="s">
        <v>3</v>
      </c>
      <c r="AV135" t="s">
        <v>3</v>
      </c>
      <c r="AW135" t="s">
        <v>11</v>
      </c>
      <c r="AX135">
        <f>Tabla1[[#This Row],[precio del paquete]]-Tabla1[[#This Row],[Saldo_Deudor]]</f>
        <v>400</v>
      </c>
      <c r="AY135">
        <v>14400</v>
      </c>
      <c r="AZ135" t="s">
        <v>1</v>
      </c>
      <c r="BA135" t="s">
        <v>1</v>
      </c>
      <c r="BB135" t="s">
        <v>1</v>
      </c>
      <c r="BC135" t="s">
        <v>1388</v>
      </c>
      <c r="BD135" t="s">
        <v>1398</v>
      </c>
      <c r="BE135" t="s">
        <v>3</v>
      </c>
      <c r="BF135" t="s">
        <v>3</v>
      </c>
      <c r="BG135" t="s">
        <v>3</v>
      </c>
      <c r="BH135" t="s">
        <v>3</v>
      </c>
      <c r="BI135" t="s">
        <v>3</v>
      </c>
      <c r="BJ135" t="s">
        <v>3351</v>
      </c>
      <c r="BK135" t="s">
        <v>3</v>
      </c>
      <c r="BL135" t="s">
        <v>132</v>
      </c>
      <c r="BM135" t="s">
        <v>1</v>
      </c>
      <c r="BN135">
        <f>Tabla1[[#This Row],[precio del paquete]]</f>
        <v>14800</v>
      </c>
      <c r="BO135" t="s">
        <v>1</v>
      </c>
      <c r="BP135" t="s">
        <v>1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3382</v>
      </c>
      <c r="CD135" t="str" cm="1">
        <f t="array" aca="1" ref="CD135" ca="1">eConcatenar(A135:CB135,"|")</f>
        <v>AzSVlyZRfqPLXweI|CAR2022-0805|3|MEMORIAL|TABASCO|CARDENAS|CARDENAS|2022-02-05|14800|0|400|50|2|0|0|0|0|0|0|0|0|0|0||0|0|0|JERONIMO|TORRES|SAMUEL|SOLTERO|X|X|CARRETERA PRINCIPAL SIN NUMERO|EL PORVENIR|X|X|X|X|X|CARRETERA PRINCIPAL SIN NUMERO|X|LUNES|x|x|x|x|x|DOMICILIO |400|14400|X|X|X|2022-02-05|2022-02-12|x|x|x|x|x|QWZHGJ0U9KVTQO|x|HOMBRE|X|14800|X|X|X|X|X|X|X|X|CARDENAS|X|X|X|X|FINAL</v>
      </c>
    </row>
    <row r="136" spans="1:82" x14ac:dyDescent="0.25">
      <c r="A136" t="s">
        <v>396</v>
      </c>
      <c r="B136" t="s">
        <v>397</v>
      </c>
      <c r="C136">
        <v>3</v>
      </c>
      <c r="D136" t="s">
        <v>1369</v>
      </c>
      <c r="E136" t="s">
        <v>1380</v>
      </c>
      <c r="F136" t="s">
        <v>0</v>
      </c>
      <c r="G136" t="s">
        <v>0</v>
      </c>
      <c r="H136" t="s">
        <v>1397</v>
      </c>
      <c r="I136">
        <v>14800</v>
      </c>
      <c r="J136">
        <v>0</v>
      </c>
      <c r="K136">
        <v>200</v>
      </c>
      <c r="L136">
        <v>50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Y136">
        <v>0</v>
      </c>
      <c r="Z136">
        <v>0</v>
      </c>
      <c r="AA136">
        <v>0</v>
      </c>
      <c r="AB136" t="s">
        <v>1713</v>
      </c>
      <c r="AC136" t="s">
        <v>1711</v>
      </c>
      <c r="AD136" s="18" t="s">
        <v>1796</v>
      </c>
      <c r="AE136" t="s">
        <v>4</v>
      </c>
      <c r="AF136" t="s">
        <v>1</v>
      </c>
      <c r="AG136" t="s">
        <v>1</v>
      </c>
      <c r="AH136" t="s">
        <v>2558</v>
      </c>
      <c r="AI136" t="s">
        <v>2981</v>
      </c>
      <c r="AJ136" t="s">
        <v>1</v>
      </c>
      <c r="AK136" t="s">
        <v>1</v>
      </c>
      <c r="AL136" t="s">
        <v>1</v>
      </c>
      <c r="AM136" t="s">
        <v>1</v>
      </c>
      <c r="AN136" t="s">
        <v>1</v>
      </c>
      <c r="AO136" t="s">
        <v>2558</v>
      </c>
      <c r="AP136" t="s">
        <v>1</v>
      </c>
      <c r="AQ136" t="s">
        <v>2</v>
      </c>
      <c r="AR136" t="s">
        <v>3</v>
      </c>
      <c r="AS136" t="s">
        <v>3</v>
      </c>
      <c r="AT136" t="s">
        <v>3</v>
      </c>
      <c r="AU136" t="s">
        <v>3</v>
      </c>
      <c r="AV136" t="s">
        <v>3</v>
      </c>
      <c r="AW136" t="s">
        <v>11</v>
      </c>
      <c r="AX136">
        <f>Tabla1[[#This Row],[precio del paquete]]-Tabla1[[#This Row],[Saldo_Deudor]]</f>
        <v>400</v>
      </c>
      <c r="AY136">
        <v>14400</v>
      </c>
      <c r="AZ136" t="s">
        <v>1</v>
      </c>
      <c r="BA136" t="s">
        <v>1</v>
      </c>
      <c r="BB136" t="s">
        <v>1</v>
      </c>
      <c r="BC136" t="s">
        <v>1397</v>
      </c>
      <c r="BD136" t="s">
        <v>3255</v>
      </c>
      <c r="BE136" t="s">
        <v>3</v>
      </c>
      <c r="BF136" t="s">
        <v>3</v>
      </c>
      <c r="BG136" t="s">
        <v>3</v>
      </c>
      <c r="BH136" t="s">
        <v>3</v>
      </c>
      <c r="BI136" t="s">
        <v>3</v>
      </c>
      <c r="BJ136" t="s">
        <v>3364</v>
      </c>
      <c r="BK136" t="s">
        <v>3</v>
      </c>
      <c r="BL136" t="s">
        <v>132</v>
      </c>
      <c r="BM136" t="s">
        <v>1</v>
      </c>
      <c r="BN136">
        <f>Tabla1[[#This Row],[precio del paquete]]</f>
        <v>14800</v>
      </c>
      <c r="BO136" t="s">
        <v>1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3382</v>
      </c>
      <c r="CD136" t="str" cm="1">
        <f t="array" aca="1" ref="CD136" ca="1">eConcatenar(A136:CB136,"|")</f>
        <v>IaQuJZspCHE4uT0X|CAR2022-0818|3|MEMORIAL|TABASCO|CARDENAS|CARDENAS|2022-02-07|14800|0|200|50|0|0|0|0|0|0|0|0|0|0|0||0|0|0|DE LA CRUZ|HERNANDEZ|MARIANA|SOLTERO|X|X|CALLE NUMERO 2 LOTE NUMERO 84|ALAMEDA|X|X|X|X|X|CALLE NUMERO 2 LOTE NUMERO 84|X|LUNES|x|x|x|x|x|DOMICILIO |400|14400|X|X|X|2022-02-07|2022-02-14|x|x|x|x|x|QX002L6W9KVTQO|x|HOMBRE|X|14800|X|X|X|X|X|X|X|X|CARDENAS|X|X|X|X|FINAL</v>
      </c>
    </row>
    <row r="137" spans="1:82" x14ac:dyDescent="0.25">
      <c r="A137" t="s">
        <v>398</v>
      </c>
      <c r="B137" t="s">
        <v>399</v>
      </c>
      <c r="C137">
        <v>3</v>
      </c>
      <c r="D137" t="s">
        <v>1368</v>
      </c>
      <c r="E137" t="s">
        <v>1380</v>
      </c>
      <c r="F137" t="s">
        <v>0</v>
      </c>
      <c r="G137" t="s">
        <v>0</v>
      </c>
      <c r="H137" t="s">
        <v>1402</v>
      </c>
      <c r="I137">
        <v>24500</v>
      </c>
      <c r="J137">
        <v>0</v>
      </c>
      <c r="K137">
        <v>100</v>
      </c>
      <c r="L137">
        <v>50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Y137">
        <v>0</v>
      </c>
      <c r="Z137">
        <v>0</v>
      </c>
      <c r="AA137">
        <v>0</v>
      </c>
      <c r="AB137" t="s">
        <v>7</v>
      </c>
      <c r="AC137" t="s">
        <v>1703</v>
      </c>
      <c r="AD137" s="18" t="s">
        <v>1908</v>
      </c>
      <c r="AE137" t="s">
        <v>4</v>
      </c>
      <c r="AF137" t="s">
        <v>1</v>
      </c>
      <c r="AG137" t="s">
        <v>1</v>
      </c>
      <c r="AH137" t="s">
        <v>2559</v>
      </c>
      <c r="AI137" t="s">
        <v>3002</v>
      </c>
      <c r="AJ137" t="s">
        <v>1</v>
      </c>
      <c r="AK137" t="s">
        <v>1</v>
      </c>
      <c r="AL137" t="s">
        <v>1</v>
      </c>
      <c r="AM137" t="s">
        <v>1</v>
      </c>
      <c r="AN137" t="s">
        <v>1</v>
      </c>
      <c r="AO137" t="s">
        <v>2559</v>
      </c>
      <c r="AP137" t="s">
        <v>1</v>
      </c>
      <c r="AQ137" t="s">
        <v>2</v>
      </c>
      <c r="AR137" t="s">
        <v>3</v>
      </c>
      <c r="AS137" t="s">
        <v>3</v>
      </c>
      <c r="AT137" t="s">
        <v>3</v>
      </c>
      <c r="AU137" t="s">
        <v>3</v>
      </c>
      <c r="AV137" t="s">
        <v>3</v>
      </c>
      <c r="AW137" t="s">
        <v>11</v>
      </c>
      <c r="AX137">
        <f>Tabla1[[#This Row],[precio del paquete]]-Tabla1[[#This Row],[Saldo_Deudor]]</f>
        <v>100</v>
      </c>
      <c r="AY137">
        <v>24400</v>
      </c>
      <c r="AZ137" t="s">
        <v>1</v>
      </c>
      <c r="BA137" t="s">
        <v>1</v>
      </c>
      <c r="BB137" t="s">
        <v>1</v>
      </c>
      <c r="BC137" t="s">
        <v>1402</v>
      </c>
      <c r="BD137" t="s">
        <v>1405</v>
      </c>
      <c r="BE137" t="s">
        <v>3</v>
      </c>
      <c r="BF137" t="s">
        <v>3</v>
      </c>
      <c r="BG137" t="s">
        <v>3</v>
      </c>
      <c r="BH137" t="s">
        <v>3</v>
      </c>
      <c r="BI137" t="s">
        <v>3</v>
      </c>
      <c r="BJ137" t="s">
        <v>3369</v>
      </c>
      <c r="BK137" t="s">
        <v>3</v>
      </c>
      <c r="BL137" t="s">
        <v>132</v>
      </c>
      <c r="BM137" t="s">
        <v>1</v>
      </c>
      <c r="BN137">
        <f>Tabla1[[#This Row],[precio del paquete]]</f>
        <v>24500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3382</v>
      </c>
      <c r="CD137" t="str" cm="1">
        <f t="array" aca="1" ref="CD137" ca="1">eConcatenar(A137:CB137,"|")</f>
        <v>MUEYJTPK27rQUZIw|CAR2022-0828|3|DIGNITY|TABASCO|CARDENAS|CARDENAS|2022-02-08|24500|0|100|50|1|0|0|0|0|0|0|0|0|0|0||0|0|0|LOPEZ|RAMOS|SOFIA|SOLTERO|X|X|CALLE GREGORIO MENDEZ NUMERO 207 INTERIOR 3|NUEVO PROGRESO|X|X|X|X|X|CALLE GREGORIO MENDEZ NUMERO 207 INTERIOR 3|X|LUNES|x|x|x|x|x|DOMICILIO |100|24400|X|X|X|2022-02-08|2022-02-15|x|x|x|x|x|QWYNRBIY9KVZQO|x|HOMBRE|X|24500|X|X|X|X|X|X|X|X|CARDENAS|X|X|X|X|FINAL</v>
      </c>
    </row>
    <row r="138" spans="1:82" x14ac:dyDescent="0.25">
      <c r="A138" t="s">
        <v>400</v>
      </c>
      <c r="B138" t="s">
        <v>401</v>
      </c>
      <c r="C138">
        <v>3</v>
      </c>
      <c r="D138" t="s">
        <v>1368</v>
      </c>
      <c r="E138" t="s">
        <v>1380</v>
      </c>
      <c r="F138" t="s">
        <v>0</v>
      </c>
      <c r="G138" t="s">
        <v>0</v>
      </c>
      <c r="H138" t="s">
        <v>1391</v>
      </c>
      <c r="I138">
        <v>24000</v>
      </c>
      <c r="J138">
        <v>0</v>
      </c>
      <c r="K138">
        <v>500</v>
      </c>
      <c r="L138">
        <v>50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Y138">
        <v>0</v>
      </c>
      <c r="Z138">
        <v>0</v>
      </c>
      <c r="AA138">
        <v>0</v>
      </c>
      <c r="AB138" t="s">
        <v>1909</v>
      </c>
      <c r="AC138" t="s">
        <v>1910</v>
      </c>
      <c r="AD138" s="18" t="s">
        <v>1911</v>
      </c>
      <c r="AE138" t="s">
        <v>4</v>
      </c>
      <c r="AF138" t="s">
        <v>1</v>
      </c>
      <c r="AG138" t="s">
        <v>1</v>
      </c>
      <c r="AH138" t="s">
        <v>2560</v>
      </c>
      <c r="AI138" t="s">
        <v>5</v>
      </c>
      <c r="AJ138" t="s">
        <v>1</v>
      </c>
      <c r="AK138" t="s">
        <v>1</v>
      </c>
      <c r="AL138" t="s">
        <v>1</v>
      </c>
      <c r="AM138" t="s">
        <v>1</v>
      </c>
      <c r="AN138" t="s">
        <v>1</v>
      </c>
      <c r="AO138" t="s">
        <v>2560</v>
      </c>
      <c r="AP138" t="s">
        <v>1</v>
      </c>
      <c r="AQ138" t="s">
        <v>2</v>
      </c>
      <c r="AR138" t="s">
        <v>3</v>
      </c>
      <c r="AS138" t="s">
        <v>3</v>
      </c>
      <c r="AT138" t="s">
        <v>3</v>
      </c>
      <c r="AU138" t="s">
        <v>3</v>
      </c>
      <c r="AV138" t="s">
        <v>3</v>
      </c>
      <c r="AW138" t="s">
        <v>11</v>
      </c>
      <c r="AX138">
        <f>Tabla1[[#This Row],[precio del paquete]]-Tabla1[[#This Row],[Saldo_Deudor]]</f>
        <v>0</v>
      </c>
      <c r="AY138">
        <v>24000</v>
      </c>
      <c r="AZ138" t="s">
        <v>1</v>
      </c>
      <c r="BA138" t="s">
        <v>1</v>
      </c>
      <c r="BB138" t="s">
        <v>1</v>
      </c>
      <c r="BC138" t="s">
        <v>1391</v>
      </c>
      <c r="BD138" t="s">
        <v>1399</v>
      </c>
      <c r="BE138" t="s">
        <v>3</v>
      </c>
      <c r="BF138" t="s">
        <v>3</v>
      </c>
      <c r="BG138" t="s">
        <v>3</v>
      </c>
      <c r="BH138" t="s">
        <v>3</v>
      </c>
      <c r="BI138" t="s">
        <v>3</v>
      </c>
      <c r="BJ138" t="s">
        <v>3369</v>
      </c>
      <c r="BK138" t="s">
        <v>3</v>
      </c>
      <c r="BL138" t="s">
        <v>132</v>
      </c>
      <c r="BM138" t="s">
        <v>1</v>
      </c>
      <c r="BN138">
        <f>Tabla1[[#This Row],[precio del paquete]]</f>
        <v>24000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3382</v>
      </c>
      <c r="CD138" t="str" cm="1">
        <f t="array" aca="1" ref="CD138" ca="1">eConcatenar(A138:CB138,"|")</f>
        <v>XIzj9SRWFxU4Nyfu|CAR2022-0697|3|DIGNITY|TABASCO|CARDENAS|CARDENAS|2022-02-04|24000|0|500|50|1|0|0|0|0|0|0|0|0|0|0||0|0|0|ALEJO|ORAMAS|LEONOR ESPERANZA|SOLTERO|X|X|CALLE CUAUHTEMOC NUMERO 808 A|CENTRO|X|X|X|X|X|CALLE CUAUHTEMOC NUMERO 808 A|X|LUNES|x|x|x|x|x|DOMICILIO |0|24000|X|X|X|2022-02-04|2022-02-11|x|x|x|x|x|QWYNRBIY9KVZQO|x|HOMBRE|X|24000|X|X|X|X|X|X|X|X|CARDENAS|X|X|X|X|FINAL</v>
      </c>
    </row>
    <row r="139" spans="1:82" x14ac:dyDescent="0.25">
      <c r="A139" t="s">
        <v>402</v>
      </c>
      <c r="B139" t="s">
        <v>403</v>
      </c>
      <c r="C139">
        <v>3</v>
      </c>
      <c r="D139" t="s">
        <v>1369</v>
      </c>
      <c r="E139" t="s">
        <v>1380</v>
      </c>
      <c r="F139" t="s">
        <v>0</v>
      </c>
      <c r="G139" t="s">
        <v>0</v>
      </c>
      <c r="H139" t="s">
        <v>1397</v>
      </c>
      <c r="I139">
        <v>14800</v>
      </c>
      <c r="J139">
        <v>0</v>
      </c>
      <c r="K139">
        <v>200</v>
      </c>
      <c r="L139">
        <v>50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Y139">
        <v>0</v>
      </c>
      <c r="Z139">
        <v>0</v>
      </c>
      <c r="AA139">
        <v>0</v>
      </c>
      <c r="AB139" t="s">
        <v>1912</v>
      </c>
      <c r="AC139" t="s">
        <v>1812</v>
      </c>
      <c r="AD139" s="18" t="s">
        <v>1913</v>
      </c>
      <c r="AE139" t="s">
        <v>4</v>
      </c>
      <c r="AF139" t="s">
        <v>1</v>
      </c>
      <c r="AG139" t="s">
        <v>1</v>
      </c>
      <c r="AH139" t="s">
        <v>2561</v>
      </c>
      <c r="AI139" t="s">
        <v>2990</v>
      </c>
      <c r="AJ139" t="s">
        <v>1</v>
      </c>
      <c r="AK139" t="s">
        <v>1</v>
      </c>
      <c r="AL139" t="s">
        <v>1</v>
      </c>
      <c r="AM139" t="s">
        <v>1</v>
      </c>
      <c r="AN139" t="s">
        <v>1</v>
      </c>
      <c r="AO139" t="s">
        <v>2561</v>
      </c>
      <c r="AP139" t="s">
        <v>1</v>
      </c>
      <c r="AQ139" t="s">
        <v>2</v>
      </c>
      <c r="AR139" t="s">
        <v>3</v>
      </c>
      <c r="AS139" t="s">
        <v>3</v>
      </c>
      <c r="AT139" t="s">
        <v>3</v>
      </c>
      <c r="AU139" t="s">
        <v>3</v>
      </c>
      <c r="AV139" t="s">
        <v>3</v>
      </c>
      <c r="AW139" t="s">
        <v>11</v>
      </c>
      <c r="AX139">
        <f>Tabla1[[#This Row],[precio del paquete]]-Tabla1[[#This Row],[Saldo_Deudor]]</f>
        <v>200</v>
      </c>
      <c r="AY139">
        <v>14600</v>
      </c>
      <c r="AZ139" t="s">
        <v>1</v>
      </c>
      <c r="BA139" t="s">
        <v>1</v>
      </c>
      <c r="BB139" t="s">
        <v>1</v>
      </c>
      <c r="BC139" t="s">
        <v>1397</v>
      </c>
      <c r="BD139" t="s">
        <v>3255</v>
      </c>
      <c r="BE139" t="s">
        <v>3</v>
      </c>
      <c r="BF139" t="s">
        <v>3</v>
      </c>
      <c r="BG139" t="s">
        <v>3</v>
      </c>
      <c r="BH139" t="s">
        <v>3</v>
      </c>
      <c r="BI139" t="s">
        <v>3</v>
      </c>
      <c r="BJ139" t="s">
        <v>3369</v>
      </c>
      <c r="BK139" t="s">
        <v>3</v>
      </c>
      <c r="BL139" t="s">
        <v>132</v>
      </c>
      <c r="BM139" t="s">
        <v>1</v>
      </c>
      <c r="BN139">
        <f>Tabla1[[#This Row],[precio del paquete]]</f>
        <v>14800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3382</v>
      </c>
      <c r="CD139" t="str" cm="1">
        <f t="array" aca="1" ref="CD139" ca="1">eConcatenar(A139:CB139,"|")</f>
        <v>77FsHhqdOPZ7G5lP|CAR2022-02819|3|MEMORIAL|TABASCO|CARDENAS|CARDENAS|2022-02-07|14800|0|200|50|2|0|0|0|0|0|0|0|0|0|0||0|0|0|VIDAL|SANCHEZ|RIGOBERTO|SOLTERO|X|X|1RA CERRADA VICENTE GUERRERO |EL TOLOQUE|X|X|X|X|X|1RA CERRADA VICENTE GUERRERO |X|LUNES|x|x|x|x|x|DOMICILIO |200|14600|X|X|X|2022-02-07|2022-02-14|x|x|x|x|x|QWYNRBIY9KVZQO|x|HOMBRE|X|14800|X|X|X|X|X|X|X|X|CARDENAS|X|X|X|X|FINAL</v>
      </c>
    </row>
    <row r="140" spans="1:82" x14ac:dyDescent="0.25">
      <c r="A140" t="s">
        <v>404</v>
      </c>
      <c r="B140" t="s">
        <v>405</v>
      </c>
      <c r="C140">
        <v>3</v>
      </c>
      <c r="D140" t="s">
        <v>1369</v>
      </c>
      <c r="E140" t="s">
        <v>1380</v>
      </c>
      <c r="F140" t="s">
        <v>0</v>
      </c>
      <c r="G140" t="s">
        <v>0</v>
      </c>
      <c r="H140" t="s">
        <v>1390</v>
      </c>
      <c r="I140">
        <v>14800</v>
      </c>
      <c r="J140">
        <v>0</v>
      </c>
      <c r="K140">
        <v>500</v>
      </c>
      <c r="L140">
        <v>50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Y140">
        <v>0</v>
      </c>
      <c r="Z140">
        <v>0</v>
      </c>
      <c r="AA140">
        <v>0</v>
      </c>
      <c r="AB140" t="s">
        <v>1711</v>
      </c>
      <c r="AC140" t="s">
        <v>1914</v>
      </c>
      <c r="AD140" s="18" t="s">
        <v>1915</v>
      </c>
      <c r="AE140" t="s">
        <v>4</v>
      </c>
      <c r="AF140" t="s">
        <v>1</v>
      </c>
      <c r="AG140" t="s">
        <v>1</v>
      </c>
      <c r="AH140" t="s">
        <v>2562</v>
      </c>
      <c r="AI140" t="s">
        <v>2979</v>
      </c>
      <c r="AJ140" t="s">
        <v>1</v>
      </c>
      <c r="AK140" t="s">
        <v>1</v>
      </c>
      <c r="AL140" t="s">
        <v>1</v>
      </c>
      <c r="AM140" t="s">
        <v>1</v>
      </c>
      <c r="AN140" t="s">
        <v>1</v>
      </c>
      <c r="AO140" t="s">
        <v>2562</v>
      </c>
      <c r="AP140" t="s">
        <v>1</v>
      </c>
      <c r="AQ140" t="s">
        <v>2</v>
      </c>
      <c r="AR140" t="s">
        <v>3</v>
      </c>
      <c r="AS140" t="s">
        <v>3</v>
      </c>
      <c r="AT140" t="s">
        <v>3</v>
      </c>
      <c r="AU140" t="s">
        <v>3</v>
      </c>
      <c r="AV140" t="s">
        <v>3</v>
      </c>
      <c r="AW140" t="s">
        <v>11</v>
      </c>
      <c r="AX140">
        <f>Tabla1[[#This Row],[precio del paquete]]-Tabla1[[#This Row],[Saldo_Deudor]]</f>
        <v>500</v>
      </c>
      <c r="AY140">
        <v>14300</v>
      </c>
      <c r="AZ140" t="s">
        <v>1</v>
      </c>
      <c r="BA140" t="s">
        <v>1</v>
      </c>
      <c r="BB140" t="s">
        <v>1</v>
      </c>
      <c r="BC140" t="s">
        <v>1390</v>
      </c>
      <c r="BD140" t="s">
        <v>1401</v>
      </c>
      <c r="BE140" t="s">
        <v>3</v>
      </c>
      <c r="BF140" t="s">
        <v>3</v>
      </c>
      <c r="BG140" t="s">
        <v>3</v>
      </c>
      <c r="BH140" t="s">
        <v>3</v>
      </c>
      <c r="BI140" t="s">
        <v>3</v>
      </c>
      <c r="BJ140" t="s">
        <v>3369</v>
      </c>
      <c r="BK140" t="s">
        <v>3</v>
      </c>
      <c r="BL140" t="s">
        <v>132</v>
      </c>
      <c r="BM140" t="s">
        <v>1</v>
      </c>
      <c r="BN140">
        <f>Tabla1[[#This Row],[precio del paquete]]</f>
        <v>14800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3382</v>
      </c>
      <c r="CD140" t="str" cm="1">
        <f t="array" aca="1" ref="CD140" ca="1">eConcatenar(A140:CB140,"|")</f>
        <v>SwDE9MKrH6LGhEB8|CAR2022-0652|3|MEMORIAL|TABASCO|CARDENAS|CARDENAS|2022-02-02|14800|0|500|50|2|0|0|0|0|0|0|0|0|0|0||0|0|0|HERNANDEZ|OLSIN|ANGELA|SOLTERO|X|X|CALLE ARGENTINA CASA NUMERO 5|PUEBLO NUEVO|X|X|X|X|X|CALLE ARGENTINA CASA NUMERO 5|X|LUNES|x|x|x|x|x|DOMICILIO |500|14300|X|X|X|2022-02-02|2022-02-09|x|x|x|x|x|QWYNRBIY9KVZQO|x|HOMBRE|X|14800|X|X|X|X|X|X|X|X|CARDENAS|X|X|X|X|FINAL</v>
      </c>
    </row>
    <row r="141" spans="1:82" x14ac:dyDescent="0.25">
      <c r="A141" t="s">
        <v>406</v>
      </c>
      <c r="B141" t="s">
        <v>407</v>
      </c>
      <c r="C141">
        <v>3</v>
      </c>
      <c r="D141" t="s">
        <v>1369</v>
      </c>
      <c r="E141" t="s">
        <v>1380</v>
      </c>
      <c r="F141" t="s">
        <v>0</v>
      </c>
      <c r="G141" t="s">
        <v>0</v>
      </c>
      <c r="H141" t="s">
        <v>1400</v>
      </c>
      <c r="I141">
        <v>14800</v>
      </c>
      <c r="J141">
        <v>0</v>
      </c>
      <c r="K141">
        <v>100</v>
      </c>
      <c r="L141">
        <v>50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Y141">
        <v>0</v>
      </c>
      <c r="Z141">
        <v>0</v>
      </c>
      <c r="AA141">
        <v>0</v>
      </c>
      <c r="AB141" t="s">
        <v>1739</v>
      </c>
      <c r="AC141" t="s">
        <v>1727</v>
      </c>
      <c r="AD141" s="18" t="s">
        <v>1916</v>
      </c>
      <c r="AE141" t="s">
        <v>4</v>
      </c>
      <c r="AF141" t="s">
        <v>1</v>
      </c>
      <c r="AG141" t="s">
        <v>1</v>
      </c>
      <c r="AH141" t="s">
        <v>2563</v>
      </c>
      <c r="AI141" t="s">
        <v>3011</v>
      </c>
      <c r="AJ141" t="s">
        <v>1</v>
      </c>
      <c r="AK141" t="s">
        <v>3</v>
      </c>
      <c r="AL141" t="s">
        <v>1</v>
      </c>
      <c r="AM141" t="s">
        <v>1</v>
      </c>
      <c r="AN141" t="s">
        <v>1</v>
      </c>
      <c r="AO141" t="s">
        <v>2563</v>
      </c>
      <c r="AP141" t="s">
        <v>1</v>
      </c>
      <c r="AQ141" t="s">
        <v>2</v>
      </c>
      <c r="AR141" t="s">
        <v>3</v>
      </c>
      <c r="AS141" t="s">
        <v>3</v>
      </c>
      <c r="AT141" t="s">
        <v>3</v>
      </c>
      <c r="AU141" t="s">
        <v>3</v>
      </c>
      <c r="AV141" t="s">
        <v>3</v>
      </c>
      <c r="AW141" t="s">
        <v>11</v>
      </c>
      <c r="AX141">
        <f>Tabla1[[#This Row],[precio del paquete]]-Tabla1[[#This Row],[Saldo_Deudor]]</f>
        <v>100</v>
      </c>
      <c r="AY141">
        <v>14700</v>
      </c>
      <c r="AZ141" t="s">
        <v>1</v>
      </c>
      <c r="BA141" t="s">
        <v>1</v>
      </c>
      <c r="BB141" t="s">
        <v>1</v>
      </c>
      <c r="BC141" t="s">
        <v>1400</v>
      </c>
      <c r="BD141" t="s">
        <v>3277</v>
      </c>
      <c r="BE141" t="s">
        <v>3</v>
      </c>
      <c r="BF141" t="s">
        <v>3</v>
      </c>
      <c r="BG141" t="s">
        <v>3</v>
      </c>
      <c r="BH141" t="s">
        <v>3</v>
      </c>
      <c r="BI141" t="s">
        <v>3</v>
      </c>
      <c r="BJ141" t="s">
        <v>3355</v>
      </c>
      <c r="BK141" t="s">
        <v>3</v>
      </c>
      <c r="BL141" t="s">
        <v>132</v>
      </c>
      <c r="BM141" t="s">
        <v>1</v>
      </c>
      <c r="BN141">
        <f>Tabla1[[#This Row],[precio del paquete]]</f>
        <v>14800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3382</v>
      </c>
      <c r="CD141" t="str" cm="1">
        <f t="array" aca="1" ref="CD141" ca="1">eConcatenar(A141:CB141,"|")</f>
        <v>CtBrL7jM8IjPC2v8|CAR2022-0868|3|MEMORIAL|TABASCO|CARDENAS|CARDENAS|2022-02-10|14800|0|100|50|0|0|0|0|0|0|0|0|0|0|0||0|0|0|DE LOS SANTOS|RIVERA|ARMANDO|SOLTERO|X|X|CALLE CHACALA SIN NUMERO|CSAT|X|x|X|X|X|CALLE CHACALA SIN NUMERO|X|LUNES|x|x|x|x|x|DOMICILIO |100|14700|X|X|X|2022-02-10|2022-02-17|x|x|x|x|x|OQGRX80BMUHQJ2X|x|HOMBRE|X|14800|X|X|X|X|X|X|X|X|CARDENAS|X|X|X|X|FINAL</v>
      </c>
    </row>
    <row r="142" spans="1:82" x14ac:dyDescent="0.25">
      <c r="A142" t="s">
        <v>408</v>
      </c>
      <c r="B142" t="s">
        <v>409</v>
      </c>
      <c r="C142">
        <v>3</v>
      </c>
      <c r="D142" t="s">
        <v>1368</v>
      </c>
      <c r="E142" t="s">
        <v>1380</v>
      </c>
      <c r="F142" t="s">
        <v>0</v>
      </c>
      <c r="G142" t="s">
        <v>0</v>
      </c>
      <c r="H142" t="s">
        <v>1400</v>
      </c>
      <c r="I142">
        <v>24500</v>
      </c>
      <c r="J142">
        <v>0</v>
      </c>
      <c r="K142">
        <v>500</v>
      </c>
      <c r="L142">
        <v>50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Y142">
        <v>0</v>
      </c>
      <c r="Z142">
        <v>0</v>
      </c>
      <c r="AA142">
        <v>0</v>
      </c>
      <c r="AB142" t="s">
        <v>1711</v>
      </c>
      <c r="AC142" t="s">
        <v>1917</v>
      </c>
      <c r="AD142" s="18" t="s">
        <v>1918</v>
      </c>
      <c r="AE142" t="s">
        <v>4</v>
      </c>
      <c r="AF142" t="s">
        <v>1</v>
      </c>
      <c r="AG142" t="s">
        <v>1</v>
      </c>
      <c r="AH142" t="s">
        <v>2564</v>
      </c>
      <c r="AI142" t="s">
        <v>3034</v>
      </c>
      <c r="AJ142" t="s">
        <v>1</v>
      </c>
      <c r="AK142" t="s">
        <v>1</v>
      </c>
      <c r="AL142" t="s">
        <v>1</v>
      </c>
      <c r="AM142" t="s">
        <v>1</v>
      </c>
      <c r="AN142" t="s">
        <v>1</v>
      </c>
      <c r="AO142" t="s">
        <v>2564</v>
      </c>
      <c r="AP142" t="s">
        <v>1</v>
      </c>
      <c r="AQ142" t="s">
        <v>2</v>
      </c>
      <c r="AR142" t="s">
        <v>3</v>
      </c>
      <c r="AS142" t="s">
        <v>3</v>
      </c>
      <c r="AT142" t="s">
        <v>3</v>
      </c>
      <c r="AU142" t="s">
        <v>3</v>
      </c>
      <c r="AV142" t="s">
        <v>3</v>
      </c>
      <c r="AW142" t="s">
        <v>11</v>
      </c>
      <c r="AX142">
        <f>Tabla1[[#This Row],[precio del paquete]]-Tabla1[[#This Row],[Saldo_Deudor]]</f>
        <v>200</v>
      </c>
      <c r="AY142">
        <v>24300</v>
      </c>
      <c r="AZ142" t="s">
        <v>1</v>
      </c>
      <c r="BA142" t="s">
        <v>1</v>
      </c>
      <c r="BB142" t="s">
        <v>1</v>
      </c>
      <c r="BC142" t="s">
        <v>1400</v>
      </c>
      <c r="BD142" t="s">
        <v>3277</v>
      </c>
      <c r="BE142" t="s">
        <v>3</v>
      </c>
      <c r="BF142" t="s">
        <v>3</v>
      </c>
      <c r="BG142" t="s">
        <v>3</v>
      </c>
      <c r="BH142" t="s">
        <v>3</v>
      </c>
      <c r="BI142" t="s">
        <v>3</v>
      </c>
      <c r="BJ142" t="s">
        <v>3369</v>
      </c>
      <c r="BK142" t="s">
        <v>3</v>
      </c>
      <c r="BL142" t="s">
        <v>132</v>
      </c>
      <c r="BM142" t="s">
        <v>1</v>
      </c>
      <c r="BN142">
        <f>Tabla1[[#This Row],[precio del paquete]]</f>
        <v>24500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3382</v>
      </c>
      <c r="CD142" t="str" cm="1">
        <f t="array" aca="1" ref="CD142" ca="1">eConcatenar(A142:CB142,"|")</f>
        <v>HWgFt31AKLu7zlgU|CAR2022-0866|3|DIGNITY|TABASCO|CARDENAS|CARDENAS|2022-02-10|24500|0|500|50|1|0|0|0|0|0|0|0|0|0|0||0|0|0|HERNANDEZ|VERA|OMEL|SOLTERO|X|X|CALLE NARCISO MENDOZA|SANTANA MARIA DE GUADALUPE |X|X|X|X|X|CALLE NARCISO MENDOZA|X|LUNES|x|x|x|x|x|DOMICILIO |200|24300|X|X|X|2022-02-10|2022-02-17|x|x|x|x|x|QWYNRBIY9KVZQO|x|HOMBRE|X|24500|X|X|X|X|X|X|X|X|CARDENAS|X|X|X|X|FINAL</v>
      </c>
    </row>
    <row r="143" spans="1:82" x14ac:dyDescent="0.25">
      <c r="A143" t="s">
        <v>410</v>
      </c>
      <c r="B143" t="s">
        <v>411</v>
      </c>
      <c r="C143">
        <v>3</v>
      </c>
      <c r="D143" t="s">
        <v>1368</v>
      </c>
      <c r="E143" t="s">
        <v>1380</v>
      </c>
      <c r="F143" t="s">
        <v>0</v>
      </c>
      <c r="G143" t="s">
        <v>0</v>
      </c>
      <c r="H143" t="s">
        <v>1400</v>
      </c>
      <c r="I143">
        <v>24500</v>
      </c>
      <c r="J143">
        <v>0</v>
      </c>
      <c r="K143">
        <v>500</v>
      </c>
      <c r="L143">
        <v>50</v>
      </c>
      <c r="M143">
        <v>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Y143">
        <v>0</v>
      </c>
      <c r="Z143">
        <v>0</v>
      </c>
      <c r="AA143">
        <v>0</v>
      </c>
      <c r="AB143" t="s">
        <v>1695</v>
      </c>
      <c r="AC143" t="s">
        <v>1919</v>
      </c>
      <c r="AD143" s="18" t="s">
        <v>1920</v>
      </c>
      <c r="AE143" t="s">
        <v>4</v>
      </c>
      <c r="AF143" t="s">
        <v>1</v>
      </c>
      <c r="AG143" t="s">
        <v>1</v>
      </c>
      <c r="AH143" t="s">
        <v>2565</v>
      </c>
      <c r="AI143" t="s">
        <v>2990</v>
      </c>
      <c r="AJ143" t="s">
        <v>1</v>
      </c>
      <c r="AK143" t="s">
        <v>1</v>
      </c>
      <c r="AL143" t="s">
        <v>1</v>
      </c>
      <c r="AM143" t="s">
        <v>1</v>
      </c>
      <c r="AN143" t="s">
        <v>1</v>
      </c>
      <c r="AO143" t="s">
        <v>2565</v>
      </c>
      <c r="AP143" t="s">
        <v>1</v>
      </c>
      <c r="AQ143" t="s">
        <v>2</v>
      </c>
      <c r="AR143" t="s">
        <v>3</v>
      </c>
      <c r="AS143" t="s">
        <v>3</v>
      </c>
      <c r="AT143" t="s">
        <v>3</v>
      </c>
      <c r="AU143" t="s">
        <v>3</v>
      </c>
      <c r="AV143" t="s">
        <v>3</v>
      </c>
      <c r="AW143" t="s">
        <v>11</v>
      </c>
      <c r="AX143">
        <f>Tabla1[[#This Row],[precio del paquete]]-Tabla1[[#This Row],[Saldo_Deudor]]</f>
        <v>200</v>
      </c>
      <c r="AY143">
        <v>24300</v>
      </c>
      <c r="AZ143" t="s">
        <v>1</v>
      </c>
      <c r="BA143" t="s">
        <v>1</v>
      </c>
      <c r="BB143" t="s">
        <v>1</v>
      </c>
      <c r="BC143" t="s">
        <v>1400</v>
      </c>
      <c r="BD143" t="s">
        <v>3277</v>
      </c>
      <c r="BE143" t="s">
        <v>3</v>
      </c>
      <c r="BF143" t="s">
        <v>3</v>
      </c>
      <c r="BG143" t="s">
        <v>3</v>
      </c>
      <c r="BH143" t="s">
        <v>3</v>
      </c>
      <c r="BI143" t="s">
        <v>3</v>
      </c>
      <c r="BJ143" t="s">
        <v>3369</v>
      </c>
      <c r="BK143" t="s">
        <v>3</v>
      </c>
      <c r="BL143" t="s">
        <v>132</v>
      </c>
      <c r="BM143" t="s">
        <v>1</v>
      </c>
      <c r="BN143">
        <f>Tabla1[[#This Row],[precio del paquete]]</f>
        <v>24500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3382</v>
      </c>
      <c r="CD143" t="str" cm="1">
        <f t="array" aca="1" ref="CD143" ca="1">eConcatenar(A143:CB143,"|")</f>
        <v>nt0WEZPy1PF6eOaE|CAR2022-0871|3|DIGNITY|TABASCO|CARDENAS|CARDENAS|2022-02-10|24500|0|500|50|2|0|0|0|0|0|0|0|0|0|0||0|0|0|MORALES|RAMIREZ|HECTOR MARCELO|SOLTERO|X|X|CALLE SANTOS DEGOLLADO|EL TOLOQUE|X|X|X|X|X|CALLE SANTOS DEGOLLADO|X|LUNES|x|x|x|x|x|DOMICILIO |200|24300|X|X|X|2022-02-10|2022-02-17|x|x|x|x|x|QWYNRBIY9KVZQO|x|HOMBRE|X|24500|X|X|X|X|X|X|X|X|CARDENAS|X|X|X|X|FINAL</v>
      </c>
    </row>
    <row r="144" spans="1:82" x14ac:dyDescent="0.25">
      <c r="A144" t="s">
        <v>412</v>
      </c>
      <c r="B144" t="s">
        <v>413</v>
      </c>
      <c r="C144">
        <v>3</v>
      </c>
      <c r="D144" t="s">
        <v>1369</v>
      </c>
      <c r="E144" t="s">
        <v>1380</v>
      </c>
      <c r="F144" t="s">
        <v>0</v>
      </c>
      <c r="G144" t="s">
        <v>0</v>
      </c>
      <c r="H144" t="s">
        <v>1397</v>
      </c>
      <c r="I144">
        <v>14800</v>
      </c>
      <c r="J144">
        <v>0</v>
      </c>
      <c r="K144">
        <v>400</v>
      </c>
      <c r="L144">
        <v>50</v>
      </c>
      <c r="M144">
        <v>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Y144">
        <v>0</v>
      </c>
      <c r="Z144">
        <v>0</v>
      </c>
      <c r="AA144">
        <v>0</v>
      </c>
      <c r="AB144" t="s">
        <v>1921</v>
      </c>
      <c r="AC144" t="s">
        <v>1919</v>
      </c>
      <c r="AD144" s="18" t="s">
        <v>1922</v>
      </c>
      <c r="AE144" t="s">
        <v>4</v>
      </c>
      <c r="AF144" t="s">
        <v>1</v>
      </c>
      <c r="AG144" t="s">
        <v>1</v>
      </c>
      <c r="AH144" t="s">
        <v>2564</v>
      </c>
      <c r="AI144" t="s">
        <v>2987</v>
      </c>
      <c r="AJ144" t="s">
        <v>1</v>
      </c>
      <c r="AK144" t="s">
        <v>1</v>
      </c>
      <c r="AL144" t="s">
        <v>1</v>
      </c>
      <c r="AM144" t="s">
        <v>1</v>
      </c>
      <c r="AN144" t="s">
        <v>1</v>
      </c>
      <c r="AO144" t="s">
        <v>2564</v>
      </c>
      <c r="AP144" t="s">
        <v>1</v>
      </c>
      <c r="AQ144" t="s">
        <v>2</v>
      </c>
      <c r="AR144" t="s">
        <v>3</v>
      </c>
      <c r="AS144" t="s">
        <v>3</v>
      </c>
      <c r="AT144" t="s">
        <v>3</v>
      </c>
      <c r="AU144" t="s">
        <v>3</v>
      </c>
      <c r="AV144" t="s">
        <v>3</v>
      </c>
      <c r="AW144" t="s">
        <v>11</v>
      </c>
      <c r="AX144">
        <f>Tabla1[[#This Row],[precio del paquete]]-Tabla1[[#This Row],[Saldo_Deudor]]</f>
        <v>400</v>
      </c>
      <c r="AY144">
        <v>14400</v>
      </c>
      <c r="AZ144" t="s">
        <v>1</v>
      </c>
      <c r="BA144" t="s">
        <v>1</v>
      </c>
      <c r="BB144" t="s">
        <v>1</v>
      </c>
      <c r="BC144" t="s">
        <v>1397</v>
      </c>
      <c r="BD144" t="s">
        <v>3255</v>
      </c>
      <c r="BE144" t="s">
        <v>3</v>
      </c>
      <c r="BF144" t="s">
        <v>3</v>
      </c>
      <c r="BG144" t="s">
        <v>3</v>
      </c>
      <c r="BH144" t="s">
        <v>3</v>
      </c>
      <c r="BI144" t="s">
        <v>3</v>
      </c>
      <c r="BJ144" t="s">
        <v>3369</v>
      </c>
      <c r="BK144" t="s">
        <v>3</v>
      </c>
      <c r="BL144" t="s">
        <v>132</v>
      </c>
      <c r="BM144" t="s">
        <v>1</v>
      </c>
      <c r="BN144">
        <f>Tabla1[[#This Row],[precio del paquete]]</f>
        <v>14800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3382</v>
      </c>
      <c r="CD144" t="str" cm="1">
        <f t="array" aca="1" ref="CD144" ca="1">eConcatenar(A144:CB144,"|")</f>
        <v>SbMTaGMcEQnigX66|CAR2022-0825|3|MEMORIAL|TABASCO|CARDENAS|CARDENAS|2022-02-07|14800|0|400|50|2|0|0|0|0|0|0|0|0|0|0||0|0|0|DEL RIO|RAMIREZ|GUADALUPE|SOLTERO|X|X|CALLE NARCISO MENDOZA|SANTA MARIA DE GUADALUPE|X|X|X|X|X|CALLE NARCISO MENDOZA|X|LUNES|x|x|x|x|x|DOMICILIO |400|14400|X|X|X|2022-02-07|2022-02-14|x|x|x|x|x|QWYNRBIY9KVZQO|x|HOMBRE|X|14800|X|X|X|X|X|X|X|X|CARDENAS|X|X|X|X|FINAL</v>
      </c>
    </row>
    <row r="145" spans="1:82" x14ac:dyDescent="0.25">
      <c r="A145" t="s">
        <v>414</v>
      </c>
      <c r="B145" t="s">
        <v>415</v>
      </c>
      <c r="C145">
        <v>3</v>
      </c>
      <c r="D145" t="s">
        <v>1369</v>
      </c>
      <c r="E145" t="s">
        <v>1380</v>
      </c>
      <c r="F145" t="s">
        <v>0</v>
      </c>
      <c r="G145" t="s">
        <v>0</v>
      </c>
      <c r="H145" t="s">
        <v>1402</v>
      </c>
      <c r="I145">
        <v>14800</v>
      </c>
      <c r="J145">
        <v>0</v>
      </c>
      <c r="K145">
        <v>100</v>
      </c>
      <c r="L145">
        <v>50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Y145">
        <v>0</v>
      </c>
      <c r="Z145">
        <v>0</v>
      </c>
      <c r="AA145">
        <v>0</v>
      </c>
      <c r="AB145" t="s">
        <v>1769</v>
      </c>
      <c r="AC145" t="s">
        <v>1769</v>
      </c>
      <c r="AD145" s="18" t="s">
        <v>1923</v>
      </c>
      <c r="AE145" t="s">
        <v>4</v>
      </c>
      <c r="AF145" t="s">
        <v>1</v>
      </c>
      <c r="AG145" t="s">
        <v>1</v>
      </c>
      <c r="AH145" t="s">
        <v>2566</v>
      </c>
      <c r="AI145" t="s">
        <v>2979</v>
      </c>
      <c r="AJ145" t="s">
        <v>1</v>
      </c>
      <c r="AK145" t="s">
        <v>1</v>
      </c>
      <c r="AL145" t="s">
        <v>1</v>
      </c>
      <c r="AM145" t="s">
        <v>1</v>
      </c>
      <c r="AN145" t="s">
        <v>1</v>
      </c>
      <c r="AO145" t="s">
        <v>2566</v>
      </c>
      <c r="AP145" t="s">
        <v>1</v>
      </c>
      <c r="AQ145" t="s">
        <v>2</v>
      </c>
      <c r="AR145" t="s">
        <v>3</v>
      </c>
      <c r="AS145" t="s">
        <v>3</v>
      </c>
      <c r="AT145" t="s">
        <v>3</v>
      </c>
      <c r="AU145" t="s">
        <v>3</v>
      </c>
      <c r="AV145" t="s">
        <v>3</v>
      </c>
      <c r="AW145" t="s">
        <v>11</v>
      </c>
      <c r="AX145">
        <f>Tabla1[[#This Row],[precio del paquete]]-Tabla1[[#This Row],[Saldo_Deudor]]</f>
        <v>100</v>
      </c>
      <c r="AY145">
        <v>14700</v>
      </c>
      <c r="AZ145" t="s">
        <v>1</v>
      </c>
      <c r="BA145" t="s">
        <v>1</v>
      </c>
      <c r="BB145" t="s">
        <v>1</v>
      </c>
      <c r="BC145" t="s">
        <v>1402</v>
      </c>
      <c r="BD145" t="s">
        <v>1405</v>
      </c>
      <c r="BE145" t="s">
        <v>3</v>
      </c>
      <c r="BF145" t="s">
        <v>3</v>
      </c>
      <c r="BG145" t="s">
        <v>3</v>
      </c>
      <c r="BH145" t="s">
        <v>3</v>
      </c>
      <c r="BI145" t="s">
        <v>3</v>
      </c>
      <c r="BJ145" t="s">
        <v>3369</v>
      </c>
      <c r="BK145" t="s">
        <v>3</v>
      </c>
      <c r="BL145" t="s">
        <v>132</v>
      </c>
      <c r="BM145" t="s">
        <v>1</v>
      </c>
      <c r="BN145">
        <f>Tabla1[[#This Row],[precio del paquete]]</f>
        <v>14800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3382</v>
      </c>
      <c r="CD145" t="str" cm="1">
        <f t="array" aca="1" ref="CD145" ca="1">eConcatenar(A145:CB145,"|")</f>
        <v>8Z4tez6tpQf9JmRC|CAR2022-0835|3|MEMORIAL|TABASCO|CARDENAS|CARDENAS|2022-02-08|14800|0|100|50|0|0|0|0|0|0|0|0|0|0|0||0|0|0|TORRES|TORRES|MARTINA|SOLTERO|X|X|CARLOS MOLINA SIN NUMERO|PUEBLO NUEVO|X|X|X|X|X|CARLOS MOLINA SIN NUMERO|X|LUNES|x|x|x|x|x|DOMICILIO |100|14700|X|X|X|2022-02-08|2022-02-15|x|x|x|x|x|QWYNRBIY9KVZQO|x|HOMBRE|X|14800|X|X|X|X|X|X|X|X|CARDENAS|X|X|X|X|FINAL</v>
      </c>
    </row>
    <row r="146" spans="1:82" x14ac:dyDescent="0.25">
      <c r="A146" t="s">
        <v>416</v>
      </c>
      <c r="B146" t="s">
        <v>417</v>
      </c>
      <c r="C146">
        <v>3</v>
      </c>
      <c r="D146" t="s">
        <v>1369</v>
      </c>
      <c r="E146" t="s">
        <v>1380</v>
      </c>
      <c r="F146" t="s">
        <v>0</v>
      </c>
      <c r="G146" t="s">
        <v>0</v>
      </c>
      <c r="H146" t="s">
        <v>1401</v>
      </c>
      <c r="I146">
        <v>14800</v>
      </c>
      <c r="J146">
        <v>0</v>
      </c>
      <c r="K146">
        <v>100</v>
      </c>
      <c r="L146">
        <v>50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Y146">
        <v>0</v>
      </c>
      <c r="Z146">
        <v>0</v>
      </c>
      <c r="AA146">
        <v>0</v>
      </c>
      <c r="AB146" t="s">
        <v>1869</v>
      </c>
      <c r="AC146" t="s">
        <v>1731</v>
      </c>
      <c r="AD146" s="18" t="s">
        <v>1724</v>
      </c>
      <c r="AE146" t="s">
        <v>4</v>
      </c>
      <c r="AF146" t="s">
        <v>1</v>
      </c>
      <c r="AG146" t="s">
        <v>1</v>
      </c>
      <c r="AH146" t="s">
        <v>2567</v>
      </c>
      <c r="AI146" t="s">
        <v>3015</v>
      </c>
      <c r="AJ146" t="s">
        <v>1</v>
      </c>
      <c r="AK146" t="s">
        <v>1</v>
      </c>
      <c r="AL146" t="s">
        <v>1</v>
      </c>
      <c r="AM146" t="s">
        <v>1</v>
      </c>
      <c r="AN146" t="s">
        <v>1</v>
      </c>
      <c r="AO146" t="s">
        <v>2567</v>
      </c>
      <c r="AP146" t="s">
        <v>1</v>
      </c>
      <c r="AQ146" t="s">
        <v>2</v>
      </c>
      <c r="AR146" t="s">
        <v>3</v>
      </c>
      <c r="AS146" t="s">
        <v>3</v>
      </c>
      <c r="AT146" t="s">
        <v>3</v>
      </c>
      <c r="AU146" t="s">
        <v>3</v>
      </c>
      <c r="AV146" t="s">
        <v>3</v>
      </c>
      <c r="AW146" t="s">
        <v>11</v>
      </c>
      <c r="AX146">
        <f>Tabla1[[#This Row],[precio del paquete]]-Tabla1[[#This Row],[Saldo_Deudor]]</f>
        <v>100</v>
      </c>
      <c r="AY146">
        <v>14700</v>
      </c>
      <c r="AZ146" t="s">
        <v>1</v>
      </c>
      <c r="BA146" t="s">
        <v>1</v>
      </c>
      <c r="BB146" t="s">
        <v>1</v>
      </c>
      <c r="BC146" t="s">
        <v>1401</v>
      </c>
      <c r="BD146" t="s">
        <v>1406</v>
      </c>
      <c r="BE146" t="s">
        <v>3</v>
      </c>
      <c r="BF146" t="s">
        <v>3</v>
      </c>
      <c r="BG146" t="s">
        <v>3</v>
      </c>
      <c r="BH146" t="s">
        <v>3</v>
      </c>
      <c r="BI146" t="s">
        <v>3</v>
      </c>
      <c r="BJ146" t="s">
        <v>3361</v>
      </c>
      <c r="BK146" t="s">
        <v>3</v>
      </c>
      <c r="BL146" t="s">
        <v>132</v>
      </c>
      <c r="BM146" t="s">
        <v>1</v>
      </c>
      <c r="BN146">
        <f>Tabla1[[#This Row],[precio del paquete]]</f>
        <v>14800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3382</v>
      </c>
      <c r="CD146" t="str" cm="1">
        <f t="array" aca="1" ref="CD146" ca="1">eConcatenar(A146:CB146,"|")</f>
        <v>24gjOcZrpNsbYKM2|CAR2022-0848|3|MEMORIAL|TABASCO|CARDENAS|CARDENAS|2022-02-09|14800|0|100|50|0|0|0|0|0|0|0|0|0|0|0||0|0|0|REYES|GARCIA|JESUS|SOLTERO|X|X|COLONIA SANTA TERESA|ARROYO HONDO PRIMERA SECCION SANTA TERESA|X|X|X|X|X|COLONIA SANTA TERESA|X|LUNES|x|x|x|x|x|DOMICILIO |100|14700|X|X|X|2022-02-09|2022-02-16|x|x|x|x|x|QXTXF5PY9KVTQO|x|HOMBRE|X|14800|X|X|X|X|X|X|X|X|CARDENAS|X|X|X|X|FINAL</v>
      </c>
    </row>
    <row r="147" spans="1:82" x14ac:dyDescent="0.25">
      <c r="A147" t="s">
        <v>418</v>
      </c>
      <c r="B147" t="s">
        <v>419</v>
      </c>
      <c r="C147">
        <v>3</v>
      </c>
      <c r="D147" t="s">
        <v>1369</v>
      </c>
      <c r="E147" t="s">
        <v>1380</v>
      </c>
      <c r="F147" t="s">
        <v>1382</v>
      </c>
      <c r="G147" t="s">
        <v>1382</v>
      </c>
      <c r="H147" t="s">
        <v>1400</v>
      </c>
      <c r="I147">
        <v>14800</v>
      </c>
      <c r="J147">
        <v>0</v>
      </c>
      <c r="K147">
        <v>200</v>
      </c>
      <c r="L147">
        <v>50</v>
      </c>
      <c r="M147">
        <v>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Y147">
        <v>0</v>
      </c>
      <c r="Z147">
        <v>0</v>
      </c>
      <c r="AA147">
        <v>0</v>
      </c>
      <c r="AB147" t="s">
        <v>7</v>
      </c>
      <c r="AC147" t="s">
        <v>1812</v>
      </c>
      <c r="AD147" s="18" t="s">
        <v>1924</v>
      </c>
      <c r="AE147" t="s">
        <v>4</v>
      </c>
      <c r="AF147" t="s">
        <v>1</v>
      </c>
      <c r="AG147" t="s">
        <v>1</v>
      </c>
      <c r="AH147" t="s">
        <v>2568</v>
      </c>
      <c r="AI147" t="s">
        <v>3035</v>
      </c>
      <c r="AJ147" t="s">
        <v>1</v>
      </c>
      <c r="AK147" t="s">
        <v>1</v>
      </c>
      <c r="AL147" t="s">
        <v>1</v>
      </c>
      <c r="AM147" t="s">
        <v>1</v>
      </c>
      <c r="AN147" t="s">
        <v>1</v>
      </c>
      <c r="AO147" t="s">
        <v>2568</v>
      </c>
      <c r="AP147" t="s">
        <v>1</v>
      </c>
      <c r="AQ147" t="s">
        <v>2</v>
      </c>
      <c r="AR147" t="s">
        <v>3</v>
      </c>
      <c r="AS147" t="s">
        <v>3</v>
      </c>
      <c r="AT147" t="s">
        <v>3</v>
      </c>
      <c r="AU147" t="s">
        <v>3</v>
      </c>
      <c r="AV147" t="s">
        <v>3</v>
      </c>
      <c r="AW147" t="s">
        <v>11</v>
      </c>
      <c r="AX147">
        <f>Tabla1[[#This Row],[precio del paquete]]-Tabla1[[#This Row],[Saldo_Deudor]]</f>
        <v>200</v>
      </c>
      <c r="AY147">
        <v>14600</v>
      </c>
      <c r="AZ147" t="s">
        <v>1</v>
      </c>
      <c r="BA147" t="s">
        <v>1</v>
      </c>
      <c r="BB147" t="s">
        <v>1</v>
      </c>
      <c r="BC147" t="s">
        <v>1400</v>
      </c>
      <c r="BD147" t="s">
        <v>3277</v>
      </c>
      <c r="BE147" t="s">
        <v>3</v>
      </c>
      <c r="BF147" t="s">
        <v>3</v>
      </c>
      <c r="BG147" t="s">
        <v>3</v>
      </c>
      <c r="BH147" t="s">
        <v>3</v>
      </c>
      <c r="BI147" t="s">
        <v>3</v>
      </c>
      <c r="BJ147" t="s">
        <v>3367</v>
      </c>
      <c r="BK147" t="s">
        <v>3</v>
      </c>
      <c r="BL147" t="s">
        <v>132</v>
      </c>
      <c r="BM147" t="s">
        <v>1</v>
      </c>
      <c r="BN147">
        <f>Tabla1[[#This Row],[precio del paquete]]</f>
        <v>14800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3382</v>
      </c>
      <c r="CD147" t="str" cm="1">
        <f t="array" aca="1" ref="CD147" ca="1">eConcatenar(A147:CB147,"|")</f>
        <v>sMLUsQYwPzryLj0M|CAR2022-0869|3|MEMORIAL|TABASCO|HUIMANGUILLO|HUIMANGUILLO|2022-02-10|14800|0|200|50|2|0|0|0|0|0|0|0|0|0|0||0|0|0|LOPEZ|SANCHEZ|MARIA DEL SOCORRO|SOLTERO|X|X|CALLE LA CEIBA SIN NUMERO |EL SESECHO PRIMERA SECCION|X|X|X|X|X|CALLE LA CEIBA SIN NUMERO |X|LUNES|x|x|x|x|x|DOMICILIO |200|14600|X|X|X|2022-02-10|2022-02-17|x|x|x|x|x|QWZBUBTG9KVTQO|x|HOMBRE|X|14800|X|X|X|X|X|X|X|X|CARDENAS|X|X|X|X|FINAL</v>
      </c>
    </row>
    <row r="148" spans="1:82" x14ac:dyDescent="0.25">
      <c r="A148" t="s">
        <v>420</v>
      </c>
      <c r="B148" t="s">
        <v>421</v>
      </c>
      <c r="C148">
        <v>3</v>
      </c>
      <c r="D148" t="s">
        <v>1369</v>
      </c>
      <c r="E148" t="s">
        <v>1380</v>
      </c>
      <c r="F148" t="s">
        <v>0</v>
      </c>
      <c r="G148" t="s">
        <v>0</v>
      </c>
      <c r="H148" t="s">
        <v>1405</v>
      </c>
      <c r="I148">
        <v>14800</v>
      </c>
      <c r="J148">
        <v>0</v>
      </c>
      <c r="K148">
        <v>100</v>
      </c>
      <c r="L148">
        <v>50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Y148">
        <v>0</v>
      </c>
      <c r="Z148">
        <v>0</v>
      </c>
      <c r="AA148">
        <v>0</v>
      </c>
      <c r="AB148" t="s">
        <v>1774</v>
      </c>
      <c r="AC148" t="s">
        <v>1763</v>
      </c>
      <c r="AD148" s="18" t="s">
        <v>1925</v>
      </c>
      <c r="AE148" t="s">
        <v>4</v>
      </c>
      <c r="AF148" t="s">
        <v>1</v>
      </c>
      <c r="AG148" t="s">
        <v>1</v>
      </c>
      <c r="AH148" t="s">
        <v>2569</v>
      </c>
      <c r="AI148" t="s">
        <v>2977</v>
      </c>
      <c r="AJ148" t="s">
        <v>1</v>
      </c>
      <c r="AK148" t="s">
        <v>1</v>
      </c>
      <c r="AL148" t="s">
        <v>1</v>
      </c>
      <c r="AM148" t="s">
        <v>1</v>
      </c>
      <c r="AN148" t="s">
        <v>1</v>
      </c>
      <c r="AO148" t="s">
        <v>2569</v>
      </c>
      <c r="AP148" t="s">
        <v>1</v>
      </c>
      <c r="AQ148" t="s">
        <v>2</v>
      </c>
      <c r="AR148" t="s">
        <v>3</v>
      </c>
      <c r="AS148" t="s">
        <v>3</v>
      </c>
      <c r="AT148" t="s">
        <v>3</v>
      </c>
      <c r="AU148" t="s">
        <v>3</v>
      </c>
      <c r="AV148" t="s">
        <v>3</v>
      </c>
      <c r="AW148" t="s">
        <v>11</v>
      </c>
      <c r="AX148">
        <f>Tabla1[[#This Row],[precio del paquete]]-Tabla1[[#This Row],[Saldo_Deudor]]</f>
        <v>100</v>
      </c>
      <c r="AY148">
        <v>14700</v>
      </c>
      <c r="AZ148" t="s">
        <v>1</v>
      </c>
      <c r="BA148" t="s">
        <v>1</v>
      </c>
      <c r="BB148" t="s">
        <v>1</v>
      </c>
      <c r="BC148" t="s">
        <v>1405</v>
      </c>
      <c r="BD148" t="s">
        <v>3251</v>
      </c>
      <c r="BE148" t="s">
        <v>3</v>
      </c>
      <c r="BF148" t="s">
        <v>3</v>
      </c>
      <c r="BG148" t="s">
        <v>3</v>
      </c>
      <c r="BH148" t="s">
        <v>3</v>
      </c>
      <c r="BI148" t="s">
        <v>3</v>
      </c>
      <c r="BJ148" t="s">
        <v>3369</v>
      </c>
      <c r="BK148" t="s">
        <v>3</v>
      </c>
      <c r="BL148" t="s">
        <v>132</v>
      </c>
      <c r="BM148" t="s">
        <v>1</v>
      </c>
      <c r="BN148">
        <f>Tabla1[[#This Row],[precio del paquete]]</f>
        <v>14800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3382</v>
      </c>
      <c r="CD148" t="str" cm="1">
        <f t="array" aca="1" ref="CD148" ca="1">eConcatenar(A148:CB148,"|")</f>
        <v>23aF8gP20SSZOPp9|CAR2022-1016|3|MEMORIAL|TABASCO|CARDENAS|CARDENAS|2022-02-15|14800|0|100|50|0|0|0|0|0|0|0|0|0|0|0||0|0|0|GONZALEZ|DE LA O|ALBERTO|SOLTERO|X|X|CALLE PRINCIPAL NUMERO 25|HABANERO PRIMERA SECCION|X|X|X|X|X|CALLE PRINCIPAL NUMERO 25|X|LUNES|x|x|x|x|x|DOMICILIO |100|14700|X|X|X|2022-02-15|2022-02-22|x|x|x|x|x|QWYNRBIY9KVZQO|x|HOMBRE|X|14800|X|X|X|X|X|X|X|X|CARDENAS|X|X|X|X|FINAL</v>
      </c>
    </row>
    <row r="149" spans="1:82" x14ac:dyDescent="0.25">
      <c r="A149" t="s">
        <v>422</v>
      </c>
      <c r="B149" t="s">
        <v>423</v>
      </c>
      <c r="C149">
        <v>3</v>
      </c>
      <c r="D149" t="s">
        <v>1369</v>
      </c>
      <c r="E149" t="s">
        <v>1380</v>
      </c>
      <c r="F149" t="s">
        <v>0</v>
      </c>
      <c r="G149" t="s">
        <v>0</v>
      </c>
      <c r="H149" t="s">
        <v>1405</v>
      </c>
      <c r="I149">
        <v>14800</v>
      </c>
      <c r="J149">
        <v>0</v>
      </c>
      <c r="K149">
        <v>100</v>
      </c>
      <c r="L149">
        <v>50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Y149">
        <v>0</v>
      </c>
      <c r="Z149">
        <v>0</v>
      </c>
      <c r="AA149">
        <v>0</v>
      </c>
      <c r="AB149" t="s">
        <v>1774</v>
      </c>
      <c r="AC149" t="s">
        <v>7</v>
      </c>
      <c r="AD149" s="18" t="s">
        <v>1925</v>
      </c>
      <c r="AE149" t="s">
        <v>4</v>
      </c>
      <c r="AF149" t="s">
        <v>1</v>
      </c>
      <c r="AG149" t="s">
        <v>1</v>
      </c>
      <c r="AH149" t="s">
        <v>2570</v>
      </c>
      <c r="AI149" t="s">
        <v>3036</v>
      </c>
      <c r="AJ149" t="s">
        <v>1</v>
      </c>
      <c r="AK149" t="s">
        <v>1</v>
      </c>
      <c r="AL149" t="s">
        <v>1</v>
      </c>
      <c r="AM149" t="s">
        <v>1</v>
      </c>
      <c r="AN149" t="s">
        <v>1</v>
      </c>
      <c r="AO149" t="s">
        <v>2570</v>
      </c>
      <c r="AP149" t="s">
        <v>1</v>
      </c>
      <c r="AQ149" t="s">
        <v>2</v>
      </c>
      <c r="AR149" t="s">
        <v>3</v>
      </c>
      <c r="AS149" t="s">
        <v>3</v>
      </c>
      <c r="AT149" t="s">
        <v>3</v>
      </c>
      <c r="AU149" t="s">
        <v>3</v>
      </c>
      <c r="AV149" t="s">
        <v>3</v>
      </c>
      <c r="AW149" t="s">
        <v>11</v>
      </c>
      <c r="AX149">
        <f>Tabla1[[#This Row],[precio del paquete]]-Tabla1[[#This Row],[Saldo_Deudor]]</f>
        <v>100</v>
      </c>
      <c r="AY149">
        <v>14700</v>
      </c>
      <c r="AZ149" t="s">
        <v>1</v>
      </c>
      <c r="BA149" t="s">
        <v>1</v>
      </c>
      <c r="BB149" t="s">
        <v>1</v>
      </c>
      <c r="BC149" t="s">
        <v>1405</v>
      </c>
      <c r="BD149" t="s">
        <v>3251</v>
      </c>
      <c r="BE149" t="s">
        <v>3</v>
      </c>
      <c r="BF149" t="s">
        <v>3</v>
      </c>
      <c r="BG149" t="s">
        <v>3</v>
      </c>
      <c r="BH149" t="s">
        <v>3</v>
      </c>
      <c r="BI149" t="s">
        <v>3</v>
      </c>
      <c r="BJ149" t="s">
        <v>3369</v>
      </c>
      <c r="BK149" t="s">
        <v>3</v>
      </c>
      <c r="BL149" t="s">
        <v>132</v>
      </c>
      <c r="BM149" t="s">
        <v>1</v>
      </c>
      <c r="BN149">
        <f>Tabla1[[#This Row],[precio del paquete]]</f>
        <v>14800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3382</v>
      </c>
      <c r="CD149" t="str" cm="1">
        <f t="array" aca="1" ref="CD149" ca="1">eConcatenar(A149:CB149,"|")</f>
        <v>Opo6kA3F6B5dPTsQ|CAR2022-1017|3|MEMORIAL|TABASCO|CARDENAS|CARDENAS|2022-02-15|14800|0|100|50|0|0|0|0|0|0|0|0|0|0|0||0|0|0|GONZALEZ|LOPEZ|ALBERTO|SOLTERO|X|X|CARRETERA PERIFERICO CARLOS A MOLINA SIN NUMERO|PASO Y PALYA|X|X|X|X|X|CARRETERA PERIFERICO CARLOS A MOLINA SIN NUMERO|X|LUNES|x|x|x|x|x|DOMICILIO |100|14700|X|X|X|2022-02-15|2022-02-22|x|x|x|x|x|QWYNRBIY9KVZQO|x|HOMBRE|X|14800|X|X|X|X|X|X|X|X|CARDENAS|X|X|X|X|FINAL</v>
      </c>
    </row>
    <row r="150" spans="1:82" x14ac:dyDescent="0.25">
      <c r="A150" t="s">
        <v>424</v>
      </c>
      <c r="B150" t="s">
        <v>425</v>
      </c>
      <c r="C150">
        <v>3</v>
      </c>
      <c r="D150" t="s">
        <v>1369</v>
      </c>
      <c r="E150" t="s">
        <v>1380</v>
      </c>
      <c r="F150" t="s">
        <v>0</v>
      </c>
      <c r="G150" t="s">
        <v>0</v>
      </c>
      <c r="H150" t="s">
        <v>1405</v>
      </c>
      <c r="I150">
        <v>14800</v>
      </c>
      <c r="J150">
        <v>0</v>
      </c>
      <c r="K150">
        <v>100</v>
      </c>
      <c r="L150">
        <v>50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Y150">
        <v>0</v>
      </c>
      <c r="Z150">
        <v>0</v>
      </c>
      <c r="AA150">
        <v>0</v>
      </c>
      <c r="AB150" t="s">
        <v>1707</v>
      </c>
      <c r="AC150" t="s">
        <v>1711</v>
      </c>
      <c r="AD150" s="18" t="s">
        <v>1926</v>
      </c>
      <c r="AE150" t="s">
        <v>4</v>
      </c>
      <c r="AF150" t="s">
        <v>1</v>
      </c>
      <c r="AG150" t="s">
        <v>1</v>
      </c>
      <c r="AH150" t="s">
        <v>2571</v>
      </c>
      <c r="AI150" t="s">
        <v>2977</v>
      </c>
      <c r="AJ150" t="s">
        <v>1</v>
      </c>
      <c r="AK150" t="s">
        <v>1</v>
      </c>
      <c r="AL150" t="s">
        <v>1</v>
      </c>
      <c r="AM150" t="s">
        <v>1</v>
      </c>
      <c r="AN150" t="s">
        <v>1</v>
      </c>
      <c r="AO150" t="s">
        <v>2571</v>
      </c>
      <c r="AP150" t="s">
        <v>1</v>
      </c>
      <c r="AQ150" t="s">
        <v>2</v>
      </c>
      <c r="AR150" t="s">
        <v>3</v>
      </c>
      <c r="AS150" t="s">
        <v>3</v>
      </c>
      <c r="AT150" t="s">
        <v>3</v>
      </c>
      <c r="AU150" t="s">
        <v>3</v>
      </c>
      <c r="AV150" t="s">
        <v>3</v>
      </c>
      <c r="AW150" t="s">
        <v>11</v>
      </c>
      <c r="AX150">
        <f>Tabla1[[#This Row],[precio del paquete]]-Tabla1[[#This Row],[Saldo_Deudor]]</f>
        <v>100</v>
      </c>
      <c r="AY150">
        <v>14700</v>
      </c>
      <c r="AZ150" t="s">
        <v>1</v>
      </c>
      <c r="BA150" t="s">
        <v>1</v>
      </c>
      <c r="BB150" t="s">
        <v>1</v>
      </c>
      <c r="BC150" t="s">
        <v>1405</v>
      </c>
      <c r="BD150" t="s">
        <v>3251</v>
      </c>
      <c r="BE150" t="s">
        <v>3</v>
      </c>
      <c r="BF150" t="s">
        <v>3</v>
      </c>
      <c r="BG150" t="s">
        <v>3</v>
      </c>
      <c r="BH150" t="s">
        <v>3</v>
      </c>
      <c r="BI150" t="s">
        <v>3</v>
      </c>
      <c r="BJ150" t="s">
        <v>3369</v>
      </c>
      <c r="BK150" t="s">
        <v>3</v>
      </c>
      <c r="BL150" t="s">
        <v>132</v>
      </c>
      <c r="BM150" t="s">
        <v>1</v>
      </c>
      <c r="BN150">
        <f>Tabla1[[#This Row],[precio del paquete]]</f>
        <v>14800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3382</v>
      </c>
      <c r="CD150" t="str" cm="1">
        <f t="array" aca="1" ref="CD150" ca="1">eConcatenar(A150:CB150,"|")</f>
        <v>V3MJtGfwvVHPuxt2|CAR2022-1015|3|MEMORIAL|TABASCO|CARDENAS|CARDENAS|2022-02-15|14800|0|100|50|0|0|0|0|0|0|0|0|0|0|0||0|0|0|OLAN|HERNANDEZ|JUAN PABLO|SOLTERO|X|X|CALLLE NUMERO 2 CASA NUMERO 36|HABANERO PRIMERA SECCION|X|X|X|X|X|CALLLE NUMERO 2 CASA NUMERO 36|X|LUNES|x|x|x|x|x|DOMICILIO |100|14700|X|X|X|2022-02-15|2022-02-22|x|x|x|x|x|QWYNRBIY9KVZQO|x|HOMBRE|X|14800|X|X|X|X|X|X|X|X|CARDENAS|X|X|X|X|FINAL</v>
      </c>
    </row>
    <row r="151" spans="1:82" x14ac:dyDescent="0.25">
      <c r="A151" t="s">
        <v>426</v>
      </c>
      <c r="B151" t="s">
        <v>427</v>
      </c>
      <c r="C151">
        <v>3</v>
      </c>
      <c r="D151" t="s">
        <v>1368</v>
      </c>
      <c r="E151" t="s">
        <v>1380</v>
      </c>
      <c r="F151" t="s">
        <v>0</v>
      </c>
      <c r="G151" t="s">
        <v>0</v>
      </c>
      <c r="H151" t="s">
        <v>1405</v>
      </c>
      <c r="I151">
        <v>24500</v>
      </c>
      <c r="J151">
        <v>0</v>
      </c>
      <c r="K151">
        <v>200</v>
      </c>
      <c r="L151">
        <v>50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Y151">
        <v>0</v>
      </c>
      <c r="Z151">
        <v>0</v>
      </c>
      <c r="AA151">
        <v>0</v>
      </c>
      <c r="AB151" t="s">
        <v>1927</v>
      </c>
      <c r="AC151" t="s">
        <v>1812</v>
      </c>
      <c r="AD151" s="18" t="s">
        <v>1928</v>
      </c>
      <c r="AE151" t="s">
        <v>4</v>
      </c>
      <c r="AF151" t="s">
        <v>1</v>
      </c>
      <c r="AG151" t="s">
        <v>1</v>
      </c>
      <c r="AH151" t="s">
        <v>2572</v>
      </c>
      <c r="AI151" t="s">
        <v>2995</v>
      </c>
      <c r="AJ151" t="s">
        <v>1</v>
      </c>
      <c r="AK151" t="s">
        <v>1</v>
      </c>
      <c r="AL151" t="s">
        <v>1</v>
      </c>
      <c r="AM151" t="s">
        <v>1</v>
      </c>
      <c r="AN151" t="s">
        <v>1</v>
      </c>
      <c r="AO151" t="s">
        <v>2572</v>
      </c>
      <c r="AP151" t="s">
        <v>1</v>
      </c>
      <c r="AQ151" t="s">
        <v>2</v>
      </c>
      <c r="AR151" t="s">
        <v>3</v>
      </c>
      <c r="AS151" t="s">
        <v>3</v>
      </c>
      <c r="AT151" t="s">
        <v>3</v>
      </c>
      <c r="AU151" t="s">
        <v>3</v>
      </c>
      <c r="AV151" t="s">
        <v>3</v>
      </c>
      <c r="AW151" t="s">
        <v>11</v>
      </c>
      <c r="AX151">
        <f>Tabla1[[#This Row],[precio del paquete]]-Tabla1[[#This Row],[Saldo_Deudor]]</f>
        <v>200</v>
      </c>
      <c r="AY151">
        <v>24300</v>
      </c>
      <c r="AZ151" t="s">
        <v>1</v>
      </c>
      <c r="BA151" t="s">
        <v>1</v>
      </c>
      <c r="BB151" t="s">
        <v>1</v>
      </c>
      <c r="BC151" t="s">
        <v>1405</v>
      </c>
      <c r="BD151" t="s">
        <v>3251</v>
      </c>
      <c r="BE151" t="s">
        <v>3</v>
      </c>
      <c r="BF151" t="s">
        <v>3</v>
      </c>
      <c r="BG151" t="s">
        <v>3</v>
      </c>
      <c r="BH151" t="s">
        <v>3</v>
      </c>
      <c r="BI151" t="s">
        <v>3</v>
      </c>
      <c r="BJ151" t="s">
        <v>3369</v>
      </c>
      <c r="BK151" t="s">
        <v>3</v>
      </c>
      <c r="BL151" t="s">
        <v>132</v>
      </c>
      <c r="BM151" t="s">
        <v>1</v>
      </c>
      <c r="BN151">
        <f>Tabla1[[#This Row],[precio del paquete]]</f>
        <v>24500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3382</v>
      </c>
      <c r="CD151" t="str" cm="1">
        <f t="array" aca="1" ref="CD151" ca="1">eConcatenar(A151:CB151,"|")</f>
        <v>vswtzpzc1QpdXrvu|CAR2022-1012|3|DIGNITY|TABASCO|CARDENAS|CARDENAS|2022-02-15|24500|0|200|50|1|0|0|0|0|0|0|0|0|0|0||0|0|0|GUILAR|SANCHEZ|SONIA|SOLTERO|X|X|CALLE DANIEL GAMAS CASA NUMERO 51|OBRERA|X|X|X|X|X|CALLE DANIEL GAMAS CASA NUMERO 51|X|LUNES|x|x|x|x|x|DOMICILIO |200|24300|X|X|X|2022-02-15|2022-02-22|x|x|x|x|x|QWYNRBIY9KVZQO|x|HOMBRE|X|24500|X|X|X|X|X|X|X|X|CARDENAS|X|X|X|X|FINAL</v>
      </c>
    </row>
    <row r="152" spans="1:82" x14ac:dyDescent="0.25">
      <c r="A152" t="s">
        <v>428</v>
      </c>
      <c r="B152" t="s">
        <v>429</v>
      </c>
      <c r="C152">
        <v>3</v>
      </c>
      <c r="D152" t="s">
        <v>1368</v>
      </c>
      <c r="E152" t="s">
        <v>1380</v>
      </c>
      <c r="F152" t="s">
        <v>0</v>
      </c>
      <c r="G152" t="s">
        <v>0</v>
      </c>
      <c r="H152" t="s">
        <v>1405</v>
      </c>
      <c r="I152">
        <v>24500</v>
      </c>
      <c r="J152">
        <v>0</v>
      </c>
      <c r="K152">
        <v>500</v>
      </c>
      <c r="L152">
        <v>50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Y152">
        <v>0</v>
      </c>
      <c r="Z152">
        <v>0</v>
      </c>
      <c r="AA152">
        <v>0</v>
      </c>
      <c r="AB152" t="s">
        <v>1792</v>
      </c>
      <c r="AC152" t="s">
        <v>1708</v>
      </c>
      <c r="AD152" s="18" t="s">
        <v>1929</v>
      </c>
      <c r="AE152" t="s">
        <v>4</v>
      </c>
      <c r="AF152" t="s">
        <v>1</v>
      </c>
      <c r="AG152" t="s">
        <v>1</v>
      </c>
      <c r="AH152" t="s">
        <v>2573</v>
      </c>
      <c r="AI152" t="s">
        <v>3037</v>
      </c>
      <c r="AJ152" t="s">
        <v>1</v>
      </c>
      <c r="AK152" t="s">
        <v>1</v>
      </c>
      <c r="AL152" t="s">
        <v>1</v>
      </c>
      <c r="AM152" t="s">
        <v>1</v>
      </c>
      <c r="AN152" t="s">
        <v>1</v>
      </c>
      <c r="AO152" t="s">
        <v>2573</v>
      </c>
      <c r="AP152" t="s">
        <v>1</v>
      </c>
      <c r="AQ152" t="s">
        <v>2</v>
      </c>
      <c r="AR152" t="s">
        <v>3</v>
      </c>
      <c r="AS152" t="s">
        <v>3</v>
      </c>
      <c r="AT152" t="s">
        <v>3</v>
      </c>
      <c r="AU152" t="s">
        <v>3</v>
      </c>
      <c r="AV152" t="s">
        <v>3</v>
      </c>
      <c r="AW152" t="s">
        <v>11</v>
      </c>
      <c r="AX152">
        <f>Tabla1[[#This Row],[precio del paquete]]-Tabla1[[#This Row],[Saldo_Deudor]]</f>
        <v>500</v>
      </c>
      <c r="AY152">
        <v>24000</v>
      </c>
      <c r="AZ152" t="s">
        <v>1</v>
      </c>
      <c r="BA152" t="s">
        <v>1</v>
      </c>
      <c r="BB152" t="s">
        <v>1</v>
      </c>
      <c r="BC152" t="s">
        <v>1405</v>
      </c>
      <c r="BD152" t="s">
        <v>3251</v>
      </c>
      <c r="BE152" t="s">
        <v>3</v>
      </c>
      <c r="BF152" t="s">
        <v>3</v>
      </c>
      <c r="BG152" t="s">
        <v>3</v>
      </c>
      <c r="BH152" t="s">
        <v>3</v>
      </c>
      <c r="BI152" t="s">
        <v>3</v>
      </c>
      <c r="BJ152" t="s">
        <v>3369</v>
      </c>
      <c r="BK152" t="s">
        <v>3</v>
      </c>
      <c r="BL152" t="s">
        <v>132</v>
      </c>
      <c r="BM152" t="s">
        <v>1</v>
      </c>
      <c r="BN152">
        <f>Tabla1[[#This Row],[precio del paquete]]</f>
        <v>24500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3382</v>
      </c>
      <c r="CD152" t="str" cm="1">
        <f t="array" aca="1" ref="CD152" ca="1">eConcatenar(A152:CB152,"|")</f>
        <v>MKtkn70mMfdQ2xK3|CAR2022-1023|3|DIGNITY|TABASCO|CARDENAS|CARDENAS|2022-02-15|24500|0|500|50|1|0|0|0|0|0|0|0|0|0|0||0|0|0|MARIN||ROSA IZQUIERDO|SOLTERO|X|X|CALLE RIO CUXCUCHAPA CASA NUMERO 120|SARH|X|X|X|X|X|CALLE RIO CUXCUCHAPA CASA NUMERO 120|X|LUNES|x|x|x|x|x|DOMICILIO |500|24000|X|X|X|2022-02-15|2022-02-22|x|x|x|x|x|QWYNRBIY9KVZQO|x|HOMBRE|X|24500|X|X|X|X|X|X|X|X|CARDENAS|X|X|X|X|FINAL</v>
      </c>
    </row>
    <row r="153" spans="1:82" x14ac:dyDescent="0.25">
      <c r="A153" t="s">
        <v>430</v>
      </c>
      <c r="B153" t="s">
        <v>431</v>
      </c>
      <c r="C153">
        <v>3</v>
      </c>
      <c r="D153" t="s">
        <v>1369</v>
      </c>
      <c r="E153" t="s">
        <v>1380</v>
      </c>
      <c r="F153" t="s">
        <v>0</v>
      </c>
      <c r="G153" t="s">
        <v>0</v>
      </c>
      <c r="H153" t="s">
        <v>1405</v>
      </c>
      <c r="I153">
        <v>14800</v>
      </c>
      <c r="J153">
        <v>0</v>
      </c>
      <c r="K153">
        <v>100</v>
      </c>
      <c r="L153">
        <v>50</v>
      </c>
      <c r="M153">
        <v>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Y153">
        <v>0</v>
      </c>
      <c r="Z153">
        <v>0</v>
      </c>
      <c r="AA153">
        <v>0</v>
      </c>
      <c r="AB153" t="s">
        <v>1703</v>
      </c>
      <c r="AC153" t="s">
        <v>1772</v>
      </c>
      <c r="AD153" s="18" t="s">
        <v>1723</v>
      </c>
      <c r="AE153" t="s">
        <v>4</v>
      </c>
      <c r="AF153" t="s">
        <v>1</v>
      </c>
      <c r="AG153" t="s">
        <v>1</v>
      </c>
      <c r="AH153" t="s">
        <v>2574</v>
      </c>
      <c r="AI153" t="s">
        <v>2992</v>
      </c>
      <c r="AJ153" t="s">
        <v>1</v>
      </c>
      <c r="AK153" t="s">
        <v>1</v>
      </c>
      <c r="AL153" t="s">
        <v>1</v>
      </c>
      <c r="AM153" t="s">
        <v>1</v>
      </c>
      <c r="AN153" t="s">
        <v>1</v>
      </c>
      <c r="AO153" t="s">
        <v>2574</v>
      </c>
      <c r="AP153" t="s">
        <v>1</v>
      </c>
      <c r="AQ153" t="s">
        <v>2</v>
      </c>
      <c r="AR153" t="s">
        <v>3</v>
      </c>
      <c r="AS153" t="s">
        <v>3</v>
      </c>
      <c r="AT153" t="s">
        <v>3</v>
      </c>
      <c r="AU153" t="s">
        <v>3</v>
      </c>
      <c r="AV153" t="s">
        <v>3</v>
      </c>
      <c r="AW153" t="s">
        <v>11</v>
      </c>
      <c r="AX153">
        <f>Tabla1[[#This Row],[precio del paquete]]-Tabla1[[#This Row],[Saldo_Deudor]]</f>
        <v>100</v>
      </c>
      <c r="AY153">
        <v>14700</v>
      </c>
      <c r="AZ153" t="s">
        <v>1</v>
      </c>
      <c r="BA153" t="s">
        <v>1</v>
      </c>
      <c r="BB153" t="s">
        <v>1</v>
      </c>
      <c r="BC153" t="s">
        <v>1405</v>
      </c>
      <c r="BD153" t="s">
        <v>3251</v>
      </c>
      <c r="BE153" t="s">
        <v>3</v>
      </c>
      <c r="BF153" t="s">
        <v>3</v>
      </c>
      <c r="BG153" t="s">
        <v>3</v>
      </c>
      <c r="BH153" t="s">
        <v>3</v>
      </c>
      <c r="BI153" t="s">
        <v>3</v>
      </c>
      <c r="BJ153" t="s">
        <v>3369</v>
      </c>
      <c r="BK153" t="s">
        <v>3</v>
      </c>
      <c r="BL153" t="s">
        <v>132</v>
      </c>
      <c r="BM153" t="s">
        <v>1</v>
      </c>
      <c r="BN153">
        <f>Tabla1[[#This Row],[precio del paquete]]</f>
        <v>14800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3382</v>
      </c>
      <c r="CD153" t="str" cm="1">
        <f t="array" aca="1" ref="CD153" ca="1">eConcatenar(A153:CB153,"|")</f>
        <v>Cv5J2fNWsflWvKeP|CAR2022-1020|3|MEMORIAL|TABASCO|CARDENAS|CARDENAS|2022-02-15|14800|0|100|50|2|0|0|0|0|0|0|0|0|0|0||0|0|0|RAMOS|LANDERO|DORILIAN|SOLTERO|X|X|CALLE ROSALES CASA NUMERO 8 |BAJIO SEGUNDA SECCION|X|X|X|X|X|CALLE ROSALES CASA NUMERO 8 |X|LUNES|x|x|x|x|x|DOMICILIO |100|14700|X|X|X|2022-02-15|2022-02-22|x|x|x|x|x|QWYNRBIY9KVZQO|x|HOMBRE|X|14800|X|X|X|X|X|X|X|X|CARDENAS|X|X|X|X|FINAL</v>
      </c>
    </row>
    <row r="154" spans="1:82" x14ac:dyDescent="0.25">
      <c r="A154" t="s">
        <v>432</v>
      </c>
      <c r="B154" t="s">
        <v>433</v>
      </c>
      <c r="C154">
        <v>3</v>
      </c>
      <c r="D154" t="s">
        <v>1369</v>
      </c>
      <c r="E154" t="s">
        <v>1380</v>
      </c>
      <c r="F154" t="s">
        <v>0</v>
      </c>
      <c r="G154" t="s">
        <v>0</v>
      </c>
      <c r="H154" t="s">
        <v>1405</v>
      </c>
      <c r="I154">
        <v>14800</v>
      </c>
      <c r="J154">
        <v>0</v>
      </c>
      <c r="K154">
        <v>100</v>
      </c>
      <c r="L154">
        <v>50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Y154">
        <v>0</v>
      </c>
      <c r="Z154">
        <v>0</v>
      </c>
      <c r="AA154">
        <v>0</v>
      </c>
      <c r="AB154" t="s">
        <v>1763</v>
      </c>
      <c r="AC154" t="s">
        <v>7</v>
      </c>
      <c r="AD154" s="18" t="s">
        <v>1930</v>
      </c>
      <c r="AE154" t="s">
        <v>4</v>
      </c>
      <c r="AF154" t="s">
        <v>1</v>
      </c>
      <c r="AG154" t="s">
        <v>1</v>
      </c>
      <c r="AH154" t="s">
        <v>2558</v>
      </c>
      <c r="AI154" t="s">
        <v>2977</v>
      </c>
      <c r="AJ154" t="s">
        <v>1</v>
      </c>
      <c r="AK154" t="s">
        <v>1</v>
      </c>
      <c r="AL154" t="s">
        <v>1</v>
      </c>
      <c r="AM154" t="s">
        <v>1</v>
      </c>
      <c r="AN154" t="s">
        <v>1</v>
      </c>
      <c r="AO154" t="s">
        <v>2558</v>
      </c>
      <c r="AP154" t="s">
        <v>1</v>
      </c>
      <c r="AQ154" t="s">
        <v>2</v>
      </c>
      <c r="AR154" t="s">
        <v>3</v>
      </c>
      <c r="AS154" t="s">
        <v>3</v>
      </c>
      <c r="AT154" t="s">
        <v>3</v>
      </c>
      <c r="AU154" t="s">
        <v>3</v>
      </c>
      <c r="AV154" t="s">
        <v>3</v>
      </c>
      <c r="AW154" t="s">
        <v>11</v>
      </c>
      <c r="AX154">
        <f>Tabla1[[#This Row],[precio del paquete]]-Tabla1[[#This Row],[Saldo_Deudor]]</f>
        <v>100</v>
      </c>
      <c r="AY154">
        <v>14700</v>
      </c>
      <c r="AZ154" t="s">
        <v>1</v>
      </c>
      <c r="BA154" t="s">
        <v>1</v>
      </c>
      <c r="BB154" t="s">
        <v>1</v>
      </c>
      <c r="BC154" t="s">
        <v>1405</v>
      </c>
      <c r="BD154" t="s">
        <v>3251</v>
      </c>
      <c r="BE154" t="s">
        <v>3</v>
      </c>
      <c r="BF154" t="s">
        <v>3</v>
      </c>
      <c r="BG154" t="s">
        <v>3</v>
      </c>
      <c r="BH154" t="s">
        <v>3</v>
      </c>
      <c r="BI154" t="s">
        <v>3</v>
      </c>
      <c r="BJ154" t="s">
        <v>3369</v>
      </c>
      <c r="BK154" t="s">
        <v>3</v>
      </c>
      <c r="BL154" t="s">
        <v>132</v>
      </c>
      <c r="BM154" t="s">
        <v>1</v>
      </c>
      <c r="BN154">
        <f>Tabla1[[#This Row],[precio del paquete]]</f>
        <v>14800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3382</v>
      </c>
      <c r="CD154" t="str" cm="1">
        <f t="array" aca="1" ref="CD154" ca="1">eConcatenar(A154:CB154,"|")</f>
        <v>55v8CIvqbSCCszEj|CAR2022-1014|3|MEMORIAL|TABASCO|CARDENAS|CARDENAS|2022-02-15|14800|0|100|50|1|0|0|0|0|0|0|0|0|0|0||0|0|0|DE LA O|LOPEZ|NAHUM|SOLTERO|X|X|CALLE NUMERO 2 LOTE NUMERO 84|HABANERO PRIMERA SECCION|X|X|X|X|X|CALLE NUMERO 2 LOTE NUMERO 84|X|LUNES|x|x|x|x|x|DOMICILIO |100|14700|X|X|X|2022-02-15|2022-02-22|x|x|x|x|x|QWYNRBIY9KVZQO|x|HOMBRE|X|14800|X|X|X|X|X|X|X|X|CARDENAS|X|X|X|X|FINAL</v>
      </c>
    </row>
    <row r="155" spans="1:82" x14ac:dyDescent="0.25">
      <c r="A155" t="s">
        <v>434</v>
      </c>
      <c r="B155" t="s">
        <v>435</v>
      </c>
      <c r="C155">
        <v>3</v>
      </c>
      <c r="D155" t="s">
        <v>1369</v>
      </c>
      <c r="E155" t="s">
        <v>1380</v>
      </c>
      <c r="F155" t="s">
        <v>0</v>
      </c>
      <c r="G155" t="s">
        <v>0</v>
      </c>
      <c r="H155" t="s">
        <v>1398</v>
      </c>
      <c r="I155">
        <v>14800</v>
      </c>
      <c r="J155">
        <v>0</v>
      </c>
      <c r="K155">
        <v>100</v>
      </c>
      <c r="L155">
        <v>50</v>
      </c>
      <c r="M155">
        <v>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Y155">
        <v>0</v>
      </c>
      <c r="Z155">
        <v>0</v>
      </c>
      <c r="AA155">
        <v>0</v>
      </c>
      <c r="AB155" t="s">
        <v>1774</v>
      </c>
      <c r="AC155" t="s">
        <v>1731</v>
      </c>
      <c r="AD155" s="18" t="s">
        <v>1931</v>
      </c>
      <c r="AE155" t="s">
        <v>4</v>
      </c>
      <c r="AF155" t="s">
        <v>1</v>
      </c>
      <c r="AG155" t="s">
        <v>1</v>
      </c>
      <c r="AH155" t="s">
        <v>2575</v>
      </c>
      <c r="AI155" t="s">
        <v>2977</v>
      </c>
      <c r="AJ155" t="s">
        <v>1</v>
      </c>
      <c r="AK155" t="s">
        <v>1</v>
      </c>
      <c r="AL155" t="s">
        <v>1</v>
      </c>
      <c r="AM155" t="s">
        <v>1</v>
      </c>
      <c r="AN155" t="s">
        <v>1</v>
      </c>
      <c r="AO155" t="s">
        <v>2575</v>
      </c>
      <c r="AP155" t="s">
        <v>1</v>
      </c>
      <c r="AQ155" t="s">
        <v>2</v>
      </c>
      <c r="AR155" t="s">
        <v>3</v>
      </c>
      <c r="AS155" t="s">
        <v>3</v>
      </c>
      <c r="AT155" t="s">
        <v>3</v>
      </c>
      <c r="AU155" t="s">
        <v>3</v>
      </c>
      <c r="AV155" t="s">
        <v>3</v>
      </c>
      <c r="AW155" t="s">
        <v>11</v>
      </c>
      <c r="AX155">
        <f>Tabla1[[#This Row],[precio del paquete]]-Tabla1[[#This Row],[Saldo_Deudor]]</f>
        <v>100</v>
      </c>
      <c r="AY155">
        <v>14700</v>
      </c>
      <c r="AZ155" t="s">
        <v>1</v>
      </c>
      <c r="BA155" t="s">
        <v>1</v>
      </c>
      <c r="BB155" t="s">
        <v>1</v>
      </c>
      <c r="BC155" t="s">
        <v>1398</v>
      </c>
      <c r="BD155" t="s">
        <v>3252</v>
      </c>
      <c r="BE155" t="s">
        <v>3</v>
      </c>
      <c r="BF155" t="s">
        <v>3</v>
      </c>
      <c r="BG155" t="s">
        <v>3</v>
      </c>
      <c r="BH155" t="s">
        <v>3</v>
      </c>
      <c r="BI155" t="s">
        <v>3</v>
      </c>
      <c r="BJ155" t="s">
        <v>3369</v>
      </c>
      <c r="BK155" t="s">
        <v>3</v>
      </c>
      <c r="BL155" t="s">
        <v>132</v>
      </c>
      <c r="BM155" t="s">
        <v>1</v>
      </c>
      <c r="BN155">
        <f>Tabla1[[#This Row],[precio del paquete]]</f>
        <v>14800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3382</v>
      </c>
      <c r="CD155" t="str" cm="1">
        <f t="array" aca="1" ref="CD155" ca="1">eConcatenar(A155:CB155,"|")</f>
        <v>JEUaL8RV6BU1eskV|CAR2022-0895|3|MEMORIAL|TABASCO|CARDENAS|CARDENAS|2022-02-12|14800|0|100|50|2|0|0|0|0|0|0|0|0|0|0||0|0|0|GONZALEZ|GARCIA|PABLO|SOLTERO|X|X|CALLE NUMERO 4 CASA NUMERO 66|HABANERO PRIMERA SECCION|X|X|X|X|X|CALLE NUMERO 4 CASA NUMERO 66|X|LUNES|x|x|x|x|x|DOMICILIO |100|14700|X|X|X|2022-02-12|2022-02-19|x|x|x|x|x|QWYNRBIY9KVZQO|x|HOMBRE|X|14800|X|X|X|X|X|X|X|X|CARDENAS|X|X|X|X|FINAL</v>
      </c>
    </row>
    <row r="156" spans="1:82" x14ac:dyDescent="0.25">
      <c r="A156" t="s">
        <v>436</v>
      </c>
      <c r="B156" t="s">
        <v>437</v>
      </c>
      <c r="C156">
        <v>3</v>
      </c>
      <c r="D156" t="s">
        <v>1369</v>
      </c>
      <c r="E156" t="s">
        <v>1380</v>
      </c>
      <c r="F156" t="s">
        <v>0</v>
      </c>
      <c r="G156" t="s">
        <v>0</v>
      </c>
      <c r="H156" t="s">
        <v>1387</v>
      </c>
      <c r="I156">
        <v>14800</v>
      </c>
      <c r="J156">
        <v>0</v>
      </c>
      <c r="K156">
        <v>200</v>
      </c>
      <c r="L156">
        <v>50</v>
      </c>
      <c r="M156">
        <v>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Y156">
        <v>0</v>
      </c>
      <c r="Z156">
        <v>0</v>
      </c>
      <c r="AA156">
        <v>0</v>
      </c>
      <c r="AB156" t="s">
        <v>1695</v>
      </c>
      <c r="AC156" t="s">
        <v>1783</v>
      </c>
      <c r="AD156" s="18" t="s">
        <v>1932</v>
      </c>
      <c r="AE156" t="s">
        <v>4</v>
      </c>
      <c r="AF156" t="s">
        <v>1</v>
      </c>
      <c r="AG156" t="s">
        <v>1</v>
      </c>
      <c r="AH156" t="s">
        <v>2576</v>
      </c>
      <c r="AI156" t="s">
        <v>3038</v>
      </c>
      <c r="AJ156" t="s">
        <v>1</v>
      </c>
      <c r="AK156" t="s">
        <v>1</v>
      </c>
      <c r="AL156" t="s">
        <v>1</v>
      </c>
      <c r="AM156" t="s">
        <v>1</v>
      </c>
      <c r="AN156" t="s">
        <v>1</v>
      </c>
      <c r="AO156" t="s">
        <v>2576</v>
      </c>
      <c r="AP156" t="s">
        <v>1</v>
      </c>
      <c r="AQ156" t="s">
        <v>2</v>
      </c>
      <c r="AR156" t="s">
        <v>3</v>
      </c>
      <c r="AS156" t="s">
        <v>3</v>
      </c>
      <c r="AT156" t="s">
        <v>3</v>
      </c>
      <c r="AU156" t="s">
        <v>3</v>
      </c>
      <c r="AV156" t="s">
        <v>3</v>
      </c>
      <c r="AW156" t="s">
        <v>11</v>
      </c>
      <c r="AX156">
        <f>Tabla1[[#This Row],[precio del paquete]]-Tabla1[[#This Row],[Saldo_Deudor]]</f>
        <v>200</v>
      </c>
      <c r="AY156">
        <v>14600</v>
      </c>
      <c r="AZ156" t="s">
        <v>1</v>
      </c>
      <c r="BA156" t="s">
        <v>1</v>
      </c>
      <c r="BB156" t="s">
        <v>1</v>
      </c>
      <c r="BC156" t="s">
        <v>1387</v>
      </c>
      <c r="BD156" t="s">
        <v>1397</v>
      </c>
      <c r="BE156" t="s">
        <v>3</v>
      </c>
      <c r="BF156" t="s">
        <v>3</v>
      </c>
      <c r="BG156" t="s">
        <v>3</v>
      </c>
      <c r="BH156" t="s">
        <v>3</v>
      </c>
      <c r="BI156" t="s">
        <v>3</v>
      </c>
      <c r="BJ156" t="s">
        <v>3369</v>
      </c>
      <c r="BK156" t="s">
        <v>3</v>
      </c>
      <c r="BL156" t="s">
        <v>132</v>
      </c>
      <c r="BM156" t="s">
        <v>1</v>
      </c>
      <c r="BN156">
        <f>Tabla1[[#This Row],[precio del paquete]]</f>
        <v>14800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3382</v>
      </c>
      <c r="CD156" t="str" cm="1">
        <f t="array" aca="1" ref="CD156" ca="1">eConcatenar(A156:CB156,"|")</f>
        <v>wvcND1ifKYC2oZcO|CAR2022-0617|3|MEMORIAL|TABASCO|CARDENAS|CARDENAS|2022-01-31|14800|0|200|50|2|0|0|0|0|0|0|0|0|0|0||0|0|0|MORALES|MENDEZ|JULIANA|SOLTERO|X|X|CALLE BONIFACIO OLVERA SANCHEZ SIN NUMERO|CARLOS A. WILSON GOMEZ|X|X|X|X|X|CALLE BONIFACIO OLVERA SANCHEZ SIN NUMERO|X|LUNES|x|x|x|x|x|DOMICILIO |200|14600|X|X|X|2022-01-31|2022-02-07|x|x|x|x|x|QWYNRBIY9KVZQO|x|HOMBRE|X|14800|X|X|X|X|X|X|X|X|CARDENAS|X|X|X|X|FINAL</v>
      </c>
    </row>
    <row r="157" spans="1:82" x14ac:dyDescent="0.25">
      <c r="A157" t="s">
        <v>438</v>
      </c>
      <c r="B157" t="s">
        <v>439</v>
      </c>
      <c r="C157">
        <v>3</v>
      </c>
      <c r="D157" t="s">
        <v>1369</v>
      </c>
      <c r="E157" t="s">
        <v>1380</v>
      </c>
      <c r="F157" t="s">
        <v>0</v>
      </c>
      <c r="G157" t="s">
        <v>0</v>
      </c>
      <c r="H157" t="s">
        <v>1405</v>
      </c>
      <c r="I157">
        <v>14800</v>
      </c>
      <c r="J157">
        <v>0</v>
      </c>
      <c r="K157">
        <v>200</v>
      </c>
      <c r="L157">
        <v>50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Y157">
        <v>0</v>
      </c>
      <c r="Z157">
        <v>0</v>
      </c>
      <c r="AA157">
        <v>0</v>
      </c>
      <c r="AB157" t="s">
        <v>1933</v>
      </c>
      <c r="AC157" t="s">
        <v>1708</v>
      </c>
      <c r="AD157" s="18" t="s">
        <v>1934</v>
      </c>
      <c r="AE157" t="s">
        <v>4</v>
      </c>
      <c r="AF157" t="s">
        <v>1</v>
      </c>
      <c r="AG157" t="s">
        <v>1</v>
      </c>
      <c r="AH157" t="s">
        <v>2577</v>
      </c>
      <c r="AI157" t="s">
        <v>3031</v>
      </c>
      <c r="AJ157" t="s">
        <v>1</v>
      </c>
      <c r="AK157" t="s">
        <v>1</v>
      </c>
      <c r="AL157" t="s">
        <v>1</v>
      </c>
      <c r="AM157" t="s">
        <v>1</v>
      </c>
      <c r="AN157" t="s">
        <v>1</v>
      </c>
      <c r="AO157" t="s">
        <v>2577</v>
      </c>
      <c r="AP157" t="s">
        <v>1</v>
      </c>
      <c r="AQ157" t="s">
        <v>2</v>
      </c>
      <c r="AR157" t="s">
        <v>3</v>
      </c>
      <c r="AS157" t="s">
        <v>3</v>
      </c>
      <c r="AT157" t="s">
        <v>3</v>
      </c>
      <c r="AU157" t="s">
        <v>3</v>
      </c>
      <c r="AV157" t="s">
        <v>3</v>
      </c>
      <c r="AW157" t="s">
        <v>11</v>
      </c>
      <c r="AX157">
        <f>Tabla1[[#This Row],[precio del paquete]]-Tabla1[[#This Row],[Saldo_Deudor]]</f>
        <v>200</v>
      </c>
      <c r="AY157">
        <v>14600</v>
      </c>
      <c r="AZ157" t="s">
        <v>1</v>
      </c>
      <c r="BA157" t="s">
        <v>1</v>
      </c>
      <c r="BB157" t="s">
        <v>1</v>
      </c>
      <c r="BC157" t="s">
        <v>1405</v>
      </c>
      <c r="BD157" t="s">
        <v>3251</v>
      </c>
      <c r="BE157" t="s">
        <v>3</v>
      </c>
      <c r="BF157" t="s">
        <v>3</v>
      </c>
      <c r="BG157" t="s">
        <v>3</v>
      </c>
      <c r="BH157" t="s">
        <v>3</v>
      </c>
      <c r="BI157" t="s">
        <v>3</v>
      </c>
      <c r="BJ157" t="s">
        <v>3364</v>
      </c>
      <c r="BK157" t="s">
        <v>3</v>
      </c>
      <c r="BL157" t="s">
        <v>132</v>
      </c>
      <c r="BM157" t="s">
        <v>1</v>
      </c>
      <c r="BN157">
        <f>Tabla1[[#This Row],[precio del paquete]]</f>
        <v>14800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3382</v>
      </c>
      <c r="CD157" t="str" cm="1">
        <f t="array" aca="1" ref="CD157" ca="1">eConcatenar(A157:CB157,"|")</f>
        <v>9VsVVkDAyd1DETdQ|CAR2022-0629|3|MEMORIAL|TABASCO|CARDENAS|CARDENAS|2022-02-15|14800|0|200|50|1|0|0|0|0|0|0|0|0|0|0||0|0|0|LOPES||MOISES AGUILAR|SOLTERO|X|X|1RA CERRADA DE OCAMPO|MELCHOR OCAMPO |X|X|X|X|X|1RA CERRADA DE OCAMPO|X|LUNES|x|x|x|x|x|DOMICILIO |200|14600|X|X|X|2022-02-15|2022-02-22|x|x|x|x|x|QX002L6W9KVTQO|x|HOMBRE|X|14800|X|X|X|X|X|X|X|X|CARDENAS|X|X|X|X|FINAL</v>
      </c>
    </row>
    <row r="158" spans="1:82" x14ac:dyDescent="0.25">
      <c r="A158" t="s">
        <v>440</v>
      </c>
      <c r="B158" t="s">
        <v>441</v>
      </c>
      <c r="C158">
        <v>3</v>
      </c>
      <c r="D158" t="s">
        <v>1369</v>
      </c>
      <c r="E158" t="s">
        <v>1380</v>
      </c>
      <c r="F158" t="s">
        <v>1381</v>
      </c>
      <c r="G158" t="s">
        <v>1381</v>
      </c>
      <c r="H158" t="s">
        <v>1397</v>
      </c>
      <c r="I158">
        <v>14800</v>
      </c>
      <c r="J158">
        <v>0</v>
      </c>
      <c r="K158">
        <v>100</v>
      </c>
      <c r="L158">
        <v>50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Y158">
        <v>0</v>
      </c>
      <c r="Z158">
        <v>0</v>
      </c>
      <c r="AA158">
        <v>0</v>
      </c>
      <c r="AB158" t="s">
        <v>1903</v>
      </c>
      <c r="AC158" t="s">
        <v>1855</v>
      </c>
      <c r="AD158" s="18" t="s">
        <v>1935</v>
      </c>
      <c r="AE158" t="s">
        <v>4</v>
      </c>
      <c r="AF158" t="s">
        <v>1</v>
      </c>
      <c r="AG158" t="s">
        <v>1</v>
      </c>
      <c r="AH158" t="s">
        <v>2578</v>
      </c>
      <c r="AI158" t="s">
        <v>3017</v>
      </c>
      <c r="AJ158" t="s">
        <v>1</v>
      </c>
      <c r="AK158" t="s">
        <v>1</v>
      </c>
      <c r="AL158" t="s">
        <v>1</v>
      </c>
      <c r="AM158" t="s">
        <v>1</v>
      </c>
      <c r="AN158" t="s">
        <v>1</v>
      </c>
      <c r="AO158" t="s">
        <v>2578</v>
      </c>
      <c r="AP158" t="s">
        <v>1</v>
      </c>
      <c r="AQ158" t="s">
        <v>2</v>
      </c>
      <c r="AR158" t="s">
        <v>3</v>
      </c>
      <c r="AS158" t="s">
        <v>3</v>
      </c>
      <c r="AT158" t="s">
        <v>3</v>
      </c>
      <c r="AU158" t="s">
        <v>3</v>
      </c>
      <c r="AV158" t="s">
        <v>3</v>
      </c>
      <c r="AW158" t="s">
        <v>11</v>
      </c>
      <c r="AX158">
        <f>Tabla1[[#This Row],[precio del paquete]]-Tabla1[[#This Row],[Saldo_Deudor]]</f>
        <v>100</v>
      </c>
      <c r="AY158">
        <v>14700</v>
      </c>
      <c r="AZ158" t="s">
        <v>1</v>
      </c>
      <c r="BA158" t="s">
        <v>1</v>
      </c>
      <c r="BB158" t="s">
        <v>1</v>
      </c>
      <c r="BC158" t="s">
        <v>1397</v>
      </c>
      <c r="BD158" t="s">
        <v>3255</v>
      </c>
      <c r="BE158" t="s">
        <v>3</v>
      </c>
      <c r="BF158" t="s">
        <v>3</v>
      </c>
      <c r="BG158" t="s">
        <v>3</v>
      </c>
      <c r="BH158" t="s">
        <v>3</v>
      </c>
      <c r="BI158" t="s">
        <v>3</v>
      </c>
      <c r="BJ158" t="s">
        <v>3371</v>
      </c>
      <c r="BK158" t="s">
        <v>3</v>
      </c>
      <c r="BL158" t="s">
        <v>132</v>
      </c>
      <c r="BM158" t="s">
        <v>1</v>
      </c>
      <c r="BN158">
        <f>Tabla1[[#This Row],[precio del paquete]]</f>
        <v>14800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3382</v>
      </c>
      <c r="CD158" t="str" cm="1">
        <f t="array" aca="1" ref="CD158" ca="1">eConcatenar(A158:CB158,"|")</f>
        <v>8H7yuIskUgqyhp7r|CAR2022-0817|3|MEMORIAL|TABASCO|CUNDUACAN|CUNDUACAN|2022-02-07|14800|0|100|50|1|0|0|0|0|0|0|0|0|0|0||0|0|0|LUNA|NARANJO|MATEA|SOLTERO|X|X|CARRETERA A CALZADA SIN NUMERO|YOLOXOCHILT SEGUNDA SECCION|X|X|X|X|X|CARRETERA A CALZADA SIN NUMERO|X|LUNES|x|x|x|x|x|DOMICILIO |100|14700|X|X|X|2022-02-07|2022-02-14|x|x|x|x|x|W5OV8PESRAEJZYS|x|HOMBRE|X|14800|X|X|X|X|X|X|X|X|CARDENAS|X|X|X|X|FINAL</v>
      </c>
    </row>
    <row r="159" spans="1:82" x14ac:dyDescent="0.25">
      <c r="A159" t="s">
        <v>442</v>
      </c>
      <c r="B159" t="s">
        <v>443</v>
      </c>
      <c r="C159">
        <v>3</v>
      </c>
      <c r="D159" t="s">
        <v>1369</v>
      </c>
      <c r="E159" t="s">
        <v>1380</v>
      </c>
      <c r="F159" t="s">
        <v>0</v>
      </c>
      <c r="G159" t="s">
        <v>0</v>
      </c>
      <c r="H159" t="s">
        <v>1405</v>
      </c>
      <c r="I159">
        <v>14800</v>
      </c>
      <c r="J159">
        <v>0</v>
      </c>
      <c r="K159">
        <v>500</v>
      </c>
      <c r="L159">
        <v>50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Y159">
        <v>0</v>
      </c>
      <c r="Z159">
        <v>0</v>
      </c>
      <c r="AA159">
        <v>0</v>
      </c>
      <c r="AB159" t="s">
        <v>1936</v>
      </c>
      <c r="AC159" t="s">
        <v>1703</v>
      </c>
      <c r="AD159" s="18" t="s">
        <v>1937</v>
      </c>
      <c r="AE159" t="s">
        <v>4</v>
      </c>
      <c r="AF159" t="s">
        <v>1</v>
      </c>
      <c r="AG159" t="s">
        <v>1</v>
      </c>
      <c r="AH159" t="s">
        <v>2579</v>
      </c>
      <c r="AI159" t="s">
        <v>3039</v>
      </c>
      <c r="AJ159" t="s">
        <v>1</v>
      </c>
      <c r="AK159" t="s">
        <v>1</v>
      </c>
      <c r="AL159" t="s">
        <v>1</v>
      </c>
      <c r="AM159" t="s">
        <v>1</v>
      </c>
      <c r="AN159" t="s">
        <v>1</v>
      </c>
      <c r="AO159" t="s">
        <v>2579</v>
      </c>
      <c r="AP159" t="s">
        <v>1</v>
      </c>
      <c r="AQ159" t="s">
        <v>2</v>
      </c>
      <c r="AR159" t="s">
        <v>3</v>
      </c>
      <c r="AS159" t="s">
        <v>3</v>
      </c>
      <c r="AT159" t="s">
        <v>3</v>
      </c>
      <c r="AU159" t="s">
        <v>3</v>
      </c>
      <c r="AV159" t="s">
        <v>3</v>
      </c>
      <c r="AW159" t="s">
        <v>11</v>
      </c>
      <c r="AX159">
        <f>Tabla1[[#This Row],[precio del paquete]]-Tabla1[[#This Row],[Saldo_Deudor]]</f>
        <v>500</v>
      </c>
      <c r="AY159">
        <v>14300</v>
      </c>
      <c r="AZ159" t="s">
        <v>1</v>
      </c>
      <c r="BA159" t="s">
        <v>1</v>
      </c>
      <c r="BB159" t="s">
        <v>1</v>
      </c>
      <c r="BC159" t="s">
        <v>1405</v>
      </c>
      <c r="BD159" t="s">
        <v>3251</v>
      </c>
      <c r="BE159" t="s">
        <v>3</v>
      </c>
      <c r="BF159" t="s">
        <v>3</v>
      </c>
      <c r="BG159" t="s">
        <v>3</v>
      </c>
      <c r="BH159" t="s">
        <v>3</v>
      </c>
      <c r="BI159" t="s">
        <v>3</v>
      </c>
      <c r="BJ159" t="s">
        <v>3350</v>
      </c>
      <c r="BK159" t="s">
        <v>3</v>
      </c>
      <c r="BL159" t="s">
        <v>132</v>
      </c>
      <c r="BM159" t="s">
        <v>1</v>
      </c>
      <c r="BN159">
        <f>Tabla1[[#This Row],[precio del paquete]]</f>
        <v>14800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3382</v>
      </c>
      <c r="CD159" t="str" cm="1">
        <f t="array" aca="1" ref="CD159" ca="1">eConcatenar(A159:CB159,"|")</f>
        <v>q5ifL9sgi0nEENPf|CAR2022-1026|3|MEMORIAL|TABASCO|CARDENAS|CARDENAS|2022-02-15|14800|0|500|50|1|0|0|0|0|0|0|0|0|0|0||0|0|0|LEYVA|RAMOS|YOLIDAVEY|SOLTERO|X|X|CARRETERA PRINCIPAL CASA NUMERO 39|POZA REDONDA TERCERA SECCION|X|X|X|X|X|CARRETERA PRINCIPAL CASA NUMERO 39|X|LUNES|x|x|x|x|x|DOMICILIO |500|14300|X|X|X|2022-02-15|2022-02-22|x|x|x|x|x|QWYNRBIY9KVXQO|x|HOMBRE|X|14800|X|X|X|X|X|X|X|X|CARDENAS|X|X|X|X|FINAL</v>
      </c>
    </row>
    <row r="160" spans="1:82" x14ac:dyDescent="0.25">
      <c r="A160" t="s">
        <v>444</v>
      </c>
      <c r="B160" t="s">
        <v>445</v>
      </c>
      <c r="C160">
        <v>3</v>
      </c>
      <c r="D160" t="s">
        <v>1369</v>
      </c>
      <c r="E160" t="s">
        <v>1380</v>
      </c>
      <c r="F160" t="s">
        <v>0</v>
      </c>
      <c r="G160" t="s">
        <v>0</v>
      </c>
      <c r="H160" t="s">
        <v>1405</v>
      </c>
      <c r="I160">
        <v>14800</v>
      </c>
      <c r="J160">
        <v>0</v>
      </c>
      <c r="K160">
        <v>100</v>
      </c>
      <c r="L160">
        <v>50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Y160">
        <v>0</v>
      </c>
      <c r="Z160">
        <v>0</v>
      </c>
      <c r="AA160">
        <v>0</v>
      </c>
      <c r="AB160" t="s">
        <v>1786</v>
      </c>
      <c r="AC160" t="s">
        <v>1699</v>
      </c>
      <c r="AD160" s="18" t="s">
        <v>1938</v>
      </c>
      <c r="AE160" t="s">
        <v>4</v>
      </c>
      <c r="AF160" t="s">
        <v>1</v>
      </c>
      <c r="AG160" t="s">
        <v>1</v>
      </c>
      <c r="AH160" t="s">
        <v>2465</v>
      </c>
      <c r="AI160" t="s">
        <v>3039</v>
      </c>
      <c r="AJ160" t="s">
        <v>1</v>
      </c>
      <c r="AK160" t="s">
        <v>1</v>
      </c>
      <c r="AL160" t="s">
        <v>1</v>
      </c>
      <c r="AM160" t="s">
        <v>1</v>
      </c>
      <c r="AN160" t="s">
        <v>1</v>
      </c>
      <c r="AO160" t="s">
        <v>2465</v>
      </c>
      <c r="AP160" t="s">
        <v>1</v>
      </c>
      <c r="AQ160" t="s">
        <v>2</v>
      </c>
      <c r="AR160" t="s">
        <v>3</v>
      </c>
      <c r="AS160" t="s">
        <v>3</v>
      </c>
      <c r="AT160" t="s">
        <v>3</v>
      </c>
      <c r="AU160" t="s">
        <v>3</v>
      </c>
      <c r="AV160" t="s">
        <v>3</v>
      </c>
      <c r="AW160" t="s">
        <v>11</v>
      </c>
      <c r="AX160">
        <f>Tabla1[[#This Row],[precio del paquete]]-Tabla1[[#This Row],[Saldo_Deudor]]</f>
        <v>100</v>
      </c>
      <c r="AY160">
        <v>14700</v>
      </c>
      <c r="AZ160" t="s">
        <v>1</v>
      </c>
      <c r="BA160" t="s">
        <v>1</v>
      </c>
      <c r="BB160" t="s">
        <v>1</v>
      </c>
      <c r="BC160" t="s">
        <v>1405</v>
      </c>
      <c r="BD160" t="s">
        <v>3251</v>
      </c>
      <c r="BE160" t="s">
        <v>3</v>
      </c>
      <c r="BF160" t="s">
        <v>3</v>
      </c>
      <c r="BG160" t="s">
        <v>3</v>
      </c>
      <c r="BH160" t="s">
        <v>3</v>
      </c>
      <c r="BI160" t="s">
        <v>3</v>
      </c>
      <c r="BJ160" t="s">
        <v>3350</v>
      </c>
      <c r="BK160" t="s">
        <v>3</v>
      </c>
      <c r="BL160" t="s">
        <v>132</v>
      </c>
      <c r="BM160" t="s">
        <v>1</v>
      </c>
      <c r="BN160">
        <f>Tabla1[[#This Row],[precio del paquete]]</f>
        <v>14800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3382</v>
      </c>
      <c r="CD160" t="str" cm="1">
        <f t="array" aca="1" ref="CD160" ca="1">eConcatenar(A160:CB160,"|")</f>
        <v>2XSf2CZD70vtXhi4|CAR2022-1019|3|MEMORIAL|TABASCO|CARDENAS|CARDENAS|2022-02-15|14800|0|100|50|1|0|0|0|0|0|0|0|0|0|0||0|0|0|MARTINEZ|CORDOVA|AMILCAR|SOLTERO|X|X|CARRETERA PRINCIPAL SIN NUMERO|POZA REDONDA TERCERA SECCION|X|X|X|X|X|CARRETERA PRINCIPAL SIN NUMERO|X|LUNES|x|x|x|x|x|DOMICILIO |100|14700|X|X|X|2022-02-15|2022-02-22|x|x|x|x|x|QWYNRBIY9KVXQO|x|HOMBRE|X|14800|X|X|X|X|X|X|X|X|CARDENAS|X|X|X|X|FINAL</v>
      </c>
    </row>
    <row r="161" spans="1:82" x14ac:dyDescent="0.25">
      <c r="A161" t="s">
        <v>446</v>
      </c>
      <c r="B161" t="s">
        <v>447</v>
      </c>
      <c r="C161">
        <v>3</v>
      </c>
      <c r="D161" t="s">
        <v>1369</v>
      </c>
      <c r="E161" t="s">
        <v>1380</v>
      </c>
      <c r="F161" t="s">
        <v>0</v>
      </c>
      <c r="G161" t="s">
        <v>0</v>
      </c>
      <c r="H161" t="s">
        <v>1405</v>
      </c>
      <c r="I161">
        <v>14800</v>
      </c>
      <c r="J161">
        <v>0</v>
      </c>
      <c r="K161">
        <v>100</v>
      </c>
      <c r="L161">
        <v>50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Y161">
        <v>0</v>
      </c>
      <c r="Z161">
        <v>0</v>
      </c>
      <c r="AA161">
        <v>0</v>
      </c>
      <c r="AB161" t="s">
        <v>7</v>
      </c>
      <c r="AC161" t="s">
        <v>1727</v>
      </c>
      <c r="AD161" s="18" t="s">
        <v>1939</v>
      </c>
      <c r="AE161" t="s">
        <v>4</v>
      </c>
      <c r="AF161" t="s">
        <v>1</v>
      </c>
      <c r="AG161" t="s">
        <v>1</v>
      </c>
      <c r="AH161" t="s">
        <v>2578</v>
      </c>
      <c r="AI161" t="s">
        <v>3040</v>
      </c>
      <c r="AJ161" t="s">
        <v>1</v>
      </c>
      <c r="AK161" t="s">
        <v>1</v>
      </c>
      <c r="AL161" t="s">
        <v>1</v>
      </c>
      <c r="AM161" t="s">
        <v>1</v>
      </c>
      <c r="AN161" t="s">
        <v>1</v>
      </c>
      <c r="AO161" t="s">
        <v>2578</v>
      </c>
      <c r="AP161" t="s">
        <v>1</v>
      </c>
      <c r="AQ161" t="s">
        <v>2</v>
      </c>
      <c r="AR161" t="s">
        <v>3</v>
      </c>
      <c r="AS161" t="s">
        <v>3</v>
      </c>
      <c r="AT161" t="s">
        <v>3</v>
      </c>
      <c r="AU161" t="s">
        <v>3</v>
      </c>
      <c r="AV161" t="s">
        <v>3</v>
      </c>
      <c r="AW161" t="s">
        <v>11</v>
      </c>
      <c r="AX161">
        <f>Tabla1[[#This Row],[precio del paquete]]-Tabla1[[#This Row],[Saldo_Deudor]]</f>
        <v>100</v>
      </c>
      <c r="AY161">
        <v>14700</v>
      </c>
      <c r="AZ161" t="s">
        <v>1</v>
      </c>
      <c r="BA161" t="s">
        <v>1</v>
      </c>
      <c r="BB161" t="s">
        <v>1</v>
      </c>
      <c r="BC161" t="s">
        <v>1405</v>
      </c>
      <c r="BD161" t="s">
        <v>3251</v>
      </c>
      <c r="BE161" t="s">
        <v>3</v>
      </c>
      <c r="BF161" t="s">
        <v>3</v>
      </c>
      <c r="BG161" t="s">
        <v>3</v>
      </c>
      <c r="BH161" t="s">
        <v>3</v>
      </c>
      <c r="BI161" t="s">
        <v>3</v>
      </c>
      <c r="BJ161" t="s">
        <v>3353</v>
      </c>
      <c r="BK161" t="s">
        <v>3</v>
      </c>
      <c r="BL161" t="s">
        <v>132</v>
      </c>
      <c r="BM161" t="s">
        <v>1</v>
      </c>
      <c r="BN161">
        <f>Tabla1[[#This Row],[precio del paquete]]</f>
        <v>14800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3382</v>
      </c>
      <c r="CD161" t="str" cm="1">
        <f t="array" aca="1" ref="CD161" ca="1">eConcatenar(A161:CB161,"|")</f>
        <v>apL0c5WnWLxT20J6|CAR2022-1011|3|MEMORIAL|TABASCO|CARDENAS|CARDENAS|2022-02-15|14800|0|100|50|0|0|0|0|0|0|0|0|0|0|0||0|0|0|LOPEZ|RIVERA|LEIDI OLIVA|SOLTERO|X|X|CARRETERA A CALZADA SIN NUMERO|SANTUARIO PRIMERA SECCION |X|X|X|X|X|CARRETERA A CALZADA SIN NUMERO|X|LUNES|x|x|x|x|x|DOMICILIO |100|14700|X|X|X|2022-02-15|2022-02-22|x|x|x|x|x|TGYGIVCAZFPUVXE|x|HOMBRE|X|14800|X|X|X|X|X|X|X|X|CARDENAS|X|X|X|X|FINAL</v>
      </c>
    </row>
    <row r="162" spans="1:82" x14ac:dyDescent="0.25">
      <c r="A162" t="s">
        <v>448</v>
      </c>
      <c r="B162" t="s">
        <v>449</v>
      </c>
      <c r="C162">
        <v>3</v>
      </c>
      <c r="D162" t="s">
        <v>1369</v>
      </c>
      <c r="E162" t="s">
        <v>1380</v>
      </c>
      <c r="F162" t="s">
        <v>0</v>
      </c>
      <c r="G162" t="s">
        <v>0</v>
      </c>
      <c r="H162" t="s">
        <v>1405</v>
      </c>
      <c r="I162">
        <v>14800</v>
      </c>
      <c r="J162">
        <v>0</v>
      </c>
      <c r="K162">
        <v>100</v>
      </c>
      <c r="L162">
        <v>50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Y162">
        <v>0</v>
      </c>
      <c r="Z162">
        <v>0</v>
      </c>
      <c r="AA162">
        <v>0</v>
      </c>
      <c r="AB162" t="s">
        <v>1711</v>
      </c>
      <c r="AC162" t="s">
        <v>1744</v>
      </c>
      <c r="AD162" s="18" t="s">
        <v>1940</v>
      </c>
      <c r="AE162" t="s">
        <v>4</v>
      </c>
      <c r="AF162" t="s">
        <v>1</v>
      </c>
      <c r="AG162" t="s">
        <v>1</v>
      </c>
      <c r="AH162" t="s">
        <v>2465</v>
      </c>
      <c r="AI162" t="s">
        <v>2992</v>
      </c>
      <c r="AJ162" t="s">
        <v>1</v>
      </c>
      <c r="AK162" t="s">
        <v>1</v>
      </c>
      <c r="AL162" t="s">
        <v>1</v>
      </c>
      <c r="AM162" t="s">
        <v>1</v>
      </c>
      <c r="AN162" t="s">
        <v>1</v>
      </c>
      <c r="AO162" t="s">
        <v>2465</v>
      </c>
      <c r="AP162" t="s">
        <v>1</v>
      </c>
      <c r="AQ162" t="s">
        <v>2</v>
      </c>
      <c r="AR162" t="s">
        <v>3</v>
      </c>
      <c r="AS162" t="s">
        <v>3</v>
      </c>
      <c r="AT162" t="s">
        <v>3</v>
      </c>
      <c r="AU162" t="s">
        <v>3</v>
      </c>
      <c r="AV162" t="s">
        <v>3</v>
      </c>
      <c r="AW162" t="s">
        <v>11</v>
      </c>
      <c r="AX162">
        <f>Tabla1[[#This Row],[precio del paquete]]-Tabla1[[#This Row],[Saldo_Deudor]]</f>
        <v>100</v>
      </c>
      <c r="AY162">
        <v>14700</v>
      </c>
      <c r="AZ162" t="s">
        <v>1</v>
      </c>
      <c r="BA162" t="s">
        <v>1</v>
      </c>
      <c r="BB162" t="s">
        <v>1</v>
      </c>
      <c r="BC162" t="s">
        <v>1405</v>
      </c>
      <c r="BD162" t="s">
        <v>3251</v>
      </c>
      <c r="BE162" t="s">
        <v>3</v>
      </c>
      <c r="BF162" t="s">
        <v>3</v>
      </c>
      <c r="BG162" t="s">
        <v>3</v>
      </c>
      <c r="BH162" t="s">
        <v>3</v>
      </c>
      <c r="BI162" t="s">
        <v>3</v>
      </c>
      <c r="BJ162" t="s">
        <v>3369</v>
      </c>
      <c r="BK162" t="s">
        <v>3</v>
      </c>
      <c r="BL162" t="s">
        <v>132</v>
      </c>
      <c r="BM162" t="s">
        <v>1</v>
      </c>
      <c r="BN162">
        <f>Tabla1[[#This Row],[precio del paquete]]</f>
        <v>14800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3382</v>
      </c>
      <c r="CD162" t="str" cm="1">
        <f t="array" aca="1" ref="CD162" ca="1">eConcatenar(A162:CB162,"|")</f>
        <v>FXiyRVoDyb4URjyG|CAR2022-1021|3|MEMORIAL|TABASCO|CARDENAS|CARDENAS|2022-02-15|14800|0|100|50|0|0|0|0|0|0|0|0|0|0|0||0|0|0|HERNANDEZ|PEREZ|LUCINDA|SOLTERO|X|X|CARRETERA PRINCIPAL SIN NUMERO|BAJIO SEGUNDA SECCION|X|X|X|X|X|CARRETERA PRINCIPAL SIN NUMERO|X|LUNES|x|x|x|x|x|DOMICILIO |100|14700|X|X|X|2022-02-15|2022-02-22|x|x|x|x|x|QWYNRBIY9KVZQO|x|HOMBRE|X|14800|X|X|X|X|X|X|X|X|CARDENAS|X|X|X|X|FINAL</v>
      </c>
    </row>
    <row r="163" spans="1:82" x14ac:dyDescent="0.25">
      <c r="A163" t="s">
        <v>450</v>
      </c>
      <c r="B163" t="s">
        <v>451</v>
      </c>
      <c r="C163">
        <v>3</v>
      </c>
      <c r="D163" t="s">
        <v>1369</v>
      </c>
      <c r="E163" t="s">
        <v>1380</v>
      </c>
      <c r="F163" t="s">
        <v>0</v>
      </c>
      <c r="G163" t="s">
        <v>0</v>
      </c>
      <c r="H163" t="s">
        <v>1405</v>
      </c>
      <c r="I163">
        <v>14800</v>
      </c>
      <c r="J163">
        <v>0</v>
      </c>
      <c r="K163">
        <v>500</v>
      </c>
      <c r="L163">
        <v>50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Y163">
        <v>0</v>
      </c>
      <c r="Z163">
        <v>0</v>
      </c>
      <c r="AA163">
        <v>0</v>
      </c>
      <c r="AB163" t="s">
        <v>1695</v>
      </c>
      <c r="AC163" t="s">
        <v>1743</v>
      </c>
      <c r="AD163" s="18" t="s">
        <v>1941</v>
      </c>
      <c r="AE163" t="s">
        <v>4</v>
      </c>
      <c r="AF163" t="s">
        <v>1</v>
      </c>
      <c r="AG163" t="s">
        <v>1</v>
      </c>
      <c r="AH163" t="s">
        <v>2580</v>
      </c>
      <c r="AI163" t="s">
        <v>3037</v>
      </c>
      <c r="AJ163" t="s">
        <v>1</v>
      </c>
      <c r="AK163" t="s">
        <v>1</v>
      </c>
      <c r="AL163" t="s">
        <v>1</v>
      </c>
      <c r="AM163" t="s">
        <v>1</v>
      </c>
      <c r="AN163" t="s">
        <v>1</v>
      </c>
      <c r="AO163" t="s">
        <v>2580</v>
      </c>
      <c r="AP163" t="s">
        <v>1</v>
      </c>
      <c r="AQ163" t="s">
        <v>2</v>
      </c>
      <c r="AR163" t="s">
        <v>3</v>
      </c>
      <c r="AS163" t="s">
        <v>3</v>
      </c>
      <c r="AT163" t="s">
        <v>3</v>
      </c>
      <c r="AU163" t="s">
        <v>3</v>
      </c>
      <c r="AV163" t="s">
        <v>3</v>
      </c>
      <c r="AW163" t="s">
        <v>11</v>
      </c>
      <c r="AX163">
        <f>Tabla1[[#This Row],[precio del paquete]]-Tabla1[[#This Row],[Saldo_Deudor]]</f>
        <v>500</v>
      </c>
      <c r="AY163">
        <v>14300</v>
      </c>
      <c r="AZ163" t="s">
        <v>1</v>
      </c>
      <c r="BA163" t="s">
        <v>1</v>
      </c>
      <c r="BB163" t="s">
        <v>1</v>
      </c>
      <c r="BC163" t="s">
        <v>1405</v>
      </c>
      <c r="BD163" t="s">
        <v>3251</v>
      </c>
      <c r="BE163" t="s">
        <v>3</v>
      </c>
      <c r="BF163" t="s">
        <v>3</v>
      </c>
      <c r="BG163" t="s">
        <v>3</v>
      </c>
      <c r="BH163" t="s">
        <v>3</v>
      </c>
      <c r="BI163" t="s">
        <v>3</v>
      </c>
      <c r="BJ163" t="s">
        <v>3369</v>
      </c>
      <c r="BK163" t="s">
        <v>3</v>
      </c>
      <c r="BL163" t="s">
        <v>132</v>
      </c>
      <c r="BM163" t="s">
        <v>1</v>
      </c>
      <c r="BN163">
        <f>Tabla1[[#This Row],[precio del paquete]]</f>
        <v>14800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3382</v>
      </c>
      <c r="CD163" t="str" cm="1">
        <f t="array" aca="1" ref="CD163" ca="1">eConcatenar(A163:CB163,"|")</f>
        <v>XWt34KvJWBIyqa0l|CAR2022-1024|3|MEMORIAL|TABASCO|CARDENAS|CARDENAS|2022-02-15|14800|0|500|50|2|0|0|0|0|0|0|0|0|0|0||0|0|0|MORALES|DIAZ|ANDRES|SOLTERO|X|X|CALLE USUMACINTA |SARH|X|X|X|X|X|CALLE USUMACINTA |X|LUNES|x|x|x|x|x|DOMICILIO |500|14300|X|X|X|2022-02-15|2022-02-22|x|x|x|x|x|QWYNRBIY9KVZQO|x|HOMBRE|X|14800|X|X|X|X|X|X|X|X|CARDENAS|X|X|X|X|FINAL</v>
      </c>
    </row>
    <row r="164" spans="1:82" x14ac:dyDescent="0.25">
      <c r="A164" t="s">
        <v>452</v>
      </c>
      <c r="B164" t="s">
        <v>453</v>
      </c>
      <c r="C164">
        <v>3</v>
      </c>
      <c r="D164" t="s">
        <v>1369</v>
      </c>
      <c r="E164" t="s">
        <v>1380</v>
      </c>
      <c r="F164" t="s">
        <v>1381</v>
      </c>
      <c r="G164" t="s">
        <v>1381</v>
      </c>
      <c r="H164" t="s">
        <v>1398</v>
      </c>
      <c r="I164">
        <v>14800</v>
      </c>
      <c r="J164">
        <v>0</v>
      </c>
      <c r="K164">
        <v>200</v>
      </c>
      <c r="L164">
        <v>50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Y164">
        <v>0</v>
      </c>
      <c r="Z164">
        <v>0</v>
      </c>
      <c r="AA164">
        <v>0</v>
      </c>
      <c r="AB164" t="s">
        <v>1942</v>
      </c>
      <c r="AC164" t="s">
        <v>1820</v>
      </c>
      <c r="AD164" s="18" t="s">
        <v>1943</v>
      </c>
      <c r="AE164" t="s">
        <v>4</v>
      </c>
      <c r="AF164" t="s">
        <v>1</v>
      </c>
      <c r="AG164" t="s">
        <v>1</v>
      </c>
      <c r="AH164" t="s">
        <v>2581</v>
      </c>
      <c r="AI164" t="s">
        <v>3041</v>
      </c>
      <c r="AJ164" t="s">
        <v>1</v>
      </c>
      <c r="AK164" t="s">
        <v>1</v>
      </c>
      <c r="AL164" t="s">
        <v>1</v>
      </c>
      <c r="AM164" t="s">
        <v>1</v>
      </c>
      <c r="AN164" t="s">
        <v>1</v>
      </c>
      <c r="AO164" t="s">
        <v>2581</v>
      </c>
      <c r="AP164" t="s">
        <v>1</v>
      </c>
      <c r="AQ164" t="s">
        <v>2</v>
      </c>
      <c r="AR164" t="s">
        <v>3</v>
      </c>
      <c r="AS164" t="s">
        <v>3</v>
      </c>
      <c r="AT164" t="s">
        <v>3</v>
      </c>
      <c r="AU164" t="s">
        <v>3</v>
      </c>
      <c r="AV164" t="s">
        <v>3</v>
      </c>
      <c r="AW164" t="s">
        <v>11</v>
      </c>
      <c r="AX164">
        <f>Tabla1[[#This Row],[precio del paquete]]-Tabla1[[#This Row],[Saldo_Deudor]]</f>
        <v>100</v>
      </c>
      <c r="AY164">
        <v>14700</v>
      </c>
      <c r="AZ164" t="s">
        <v>1</v>
      </c>
      <c r="BA164" t="s">
        <v>1</v>
      </c>
      <c r="BB164" t="s">
        <v>1</v>
      </c>
      <c r="BC164" t="s">
        <v>1398</v>
      </c>
      <c r="BD164" t="s">
        <v>3252</v>
      </c>
      <c r="BE164" t="s">
        <v>3</v>
      </c>
      <c r="BF164" t="s">
        <v>3</v>
      </c>
      <c r="BG164" t="s">
        <v>3</v>
      </c>
      <c r="BH164" t="s">
        <v>3</v>
      </c>
      <c r="BI164" t="s">
        <v>3</v>
      </c>
      <c r="BJ164" t="s">
        <v>3369</v>
      </c>
      <c r="BK164" t="s">
        <v>3</v>
      </c>
      <c r="BL164" t="s">
        <v>132</v>
      </c>
      <c r="BM164" t="s">
        <v>1</v>
      </c>
      <c r="BN164">
        <f>Tabla1[[#This Row],[precio del paquete]]</f>
        <v>14800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3382</v>
      </c>
      <c r="CD164" t="str" cm="1">
        <f t="array" aca="1" ref="CD164" ca="1">eConcatenar(A164:CB164,"|")</f>
        <v>SjkIQRBLxTJkvKrw|CAR2022-0890|3|MEMORIAL|TABASCO|CUNDUACAN|CUNDUACAN|2022-02-12|14800|0|200|50|1|0|0|0|0|0|0|0|0|0|0||0|0|0|ACOPA|MONTEJO|VICTOR MANUEL|SOLTERO|X|X|CARRETERA PRINCIPAL A MANTILLA|MANTILLA|X|X|X|X|X|CARRETERA PRINCIPAL A MANTILLA|X|LUNES|x|x|x|x|x|DOMICILIO |100|14700|X|X|X|2022-02-12|2022-02-19|x|x|x|x|x|QWYNRBIY9KVZQO|x|HOMBRE|X|14800|X|X|X|X|X|X|X|X|CARDENAS|X|X|X|X|FINAL</v>
      </c>
    </row>
    <row r="165" spans="1:82" x14ac:dyDescent="0.25">
      <c r="A165" t="s">
        <v>454</v>
      </c>
      <c r="B165" t="s">
        <v>455</v>
      </c>
      <c r="C165">
        <v>3</v>
      </c>
      <c r="D165" t="s">
        <v>1369</v>
      </c>
      <c r="E165" t="s">
        <v>1380</v>
      </c>
      <c r="F165" t="s">
        <v>0</v>
      </c>
      <c r="G165" t="s">
        <v>0</v>
      </c>
      <c r="H165" t="s">
        <v>1406</v>
      </c>
      <c r="I165">
        <v>14800</v>
      </c>
      <c r="J165">
        <v>0</v>
      </c>
      <c r="K165">
        <v>200</v>
      </c>
      <c r="L165">
        <v>50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Y165">
        <v>0</v>
      </c>
      <c r="Z165">
        <v>0</v>
      </c>
      <c r="AA165">
        <v>0</v>
      </c>
      <c r="AB165" t="s">
        <v>1736</v>
      </c>
      <c r="AC165" t="s">
        <v>1783</v>
      </c>
      <c r="AD165" s="18" t="s">
        <v>1943</v>
      </c>
      <c r="AE165" t="s">
        <v>4</v>
      </c>
      <c r="AF165" t="s">
        <v>1</v>
      </c>
      <c r="AG165" t="s">
        <v>1</v>
      </c>
      <c r="AH165" t="s">
        <v>2582</v>
      </c>
      <c r="AI165" t="s">
        <v>3042</v>
      </c>
      <c r="AJ165" t="s">
        <v>1</v>
      </c>
      <c r="AK165" t="s">
        <v>1</v>
      </c>
      <c r="AL165" t="s">
        <v>1</v>
      </c>
      <c r="AM165" t="s">
        <v>1</v>
      </c>
      <c r="AN165" t="s">
        <v>1</v>
      </c>
      <c r="AO165" t="s">
        <v>2582</v>
      </c>
      <c r="AP165" t="s">
        <v>1</v>
      </c>
      <c r="AQ165" t="s">
        <v>2</v>
      </c>
      <c r="AR165" t="s">
        <v>3</v>
      </c>
      <c r="AS165" t="s">
        <v>3</v>
      </c>
      <c r="AT165" t="s">
        <v>3</v>
      </c>
      <c r="AU165" t="s">
        <v>3</v>
      </c>
      <c r="AV165" t="s">
        <v>3</v>
      </c>
      <c r="AW165" t="s">
        <v>11</v>
      </c>
      <c r="AX165">
        <f>Tabla1[[#This Row],[precio del paquete]]-Tabla1[[#This Row],[Saldo_Deudor]]</f>
        <v>200</v>
      </c>
      <c r="AY165">
        <v>14600</v>
      </c>
      <c r="AZ165" t="s">
        <v>1</v>
      </c>
      <c r="BA165" t="s">
        <v>1</v>
      </c>
      <c r="BB165" t="s">
        <v>1</v>
      </c>
      <c r="BC165" t="s">
        <v>1406</v>
      </c>
      <c r="BD165" t="s">
        <v>3308</v>
      </c>
      <c r="BE165" t="s">
        <v>3</v>
      </c>
      <c r="BF165" t="s">
        <v>3</v>
      </c>
      <c r="BG165" t="s">
        <v>3</v>
      </c>
      <c r="BH165" t="s">
        <v>3</v>
      </c>
      <c r="BI165" t="s">
        <v>3</v>
      </c>
      <c r="BJ165" t="s">
        <v>3357</v>
      </c>
      <c r="BK165" t="s">
        <v>3</v>
      </c>
      <c r="BL165" t="s">
        <v>132</v>
      </c>
      <c r="BM165" t="s">
        <v>1</v>
      </c>
      <c r="BN165">
        <f>Tabla1[[#This Row],[precio del paquete]]</f>
        <v>14800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3382</v>
      </c>
      <c r="CD165" t="str" cm="1">
        <f t="array" aca="1" ref="CD165" ca="1">eConcatenar(A165:CB165,"|")</f>
        <v>jjPqfYwTA7315uk0|CAR2022-1040|3|MEMORIAL|TABASCO|CARDENAS|CARDENAS|2022-02-16|14800|0|200|50|0|0|0|0|0|0|0|0|0|0|0||0|0|0|AGUILAR|MENDEZ|VICTOR MANUEL|SOLTERO|X|X|CALLE NUMERO 8 CASA NUMERO 6|AMPLIACION ZAÑALES SEGUNDA ETAPA|X|X|X|X|X|CALLE NUMERO 8 CASA NUMERO 6|X|LUNES|x|x|x|x|x|DOMICILIO |200|14600|X|X|X|2022-02-16|2022-02-23|x|x|x|x|x|QWZBUES49KVTQO|x|HOMBRE|X|14800|X|X|X|X|X|X|X|X|CARDENAS|X|X|X|X|FINAL</v>
      </c>
    </row>
    <row r="166" spans="1:82" x14ac:dyDescent="0.25">
      <c r="A166" t="s">
        <v>456</v>
      </c>
      <c r="B166" t="s">
        <v>457</v>
      </c>
      <c r="C166">
        <v>3</v>
      </c>
      <c r="D166" t="s">
        <v>1369</v>
      </c>
      <c r="E166" t="s">
        <v>1380</v>
      </c>
      <c r="F166" t="s">
        <v>0</v>
      </c>
      <c r="G166" t="s">
        <v>0</v>
      </c>
      <c r="H166" t="s">
        <v>1407</v>
      </c>
      <c r="I166">
        <v>14800</v>
      </c>
      <c r="J166">
        <v>0</v>
      </c>
      <c r="K166">
        <v>200</v>
      </c>
      <c r="L166">
        <v>50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Y166">
        <v>0</v>
      </c>
      <c r="Z166">
        <v>0</v>
      </c>
      <c r="AA166">
        <v>0</v>
      </c>
      <c r="AB166" t="s">
        <v>1784</v>
      </c>
      <c r="AC166" t="s">
        <v>1748</v>
      </c>
      <c r="AD166" s="18" t="s">
        <v>1697</v>
      </c>
      <c r="AE166" t="s">
        <v>4</v>
      </c>
      <c r="AF166" t="s">
        <v>1</v>
      </c>
      <c r="AG166" t="s">
        <v>1</v>
      </c>
      <c r="AH166" t="s">
        <v>2583</v>
      </c>
      <c r="AI166" t="s">
        <v>3043</v>
      </c>
      <c r="AJ166" t="s">
        <v>1</v>
      </c>
      <c r="AK166" t="s">
        <v>1</v>
      </c>
      <c r="AL166" t="s">
        <v>1</v>
      </c>
      <c r="AM166" t="s">
        <v>1</v>
      </c>
      <c r="AN166" t="s">
        <v>1</v>
      </c>
      <c r="AO166" t="s">
        <v>2583</v>
      </c>
      <c r="AP166" t="s">
        <v>1</v>
      </c>
      <c r="AQ166" t="s">
        <v>2</v>
      </c>
      <c r="AR166" t="s">
        <v>3</v>
      </c>
      <c r="AS166" t="s">
        <v>3</v>
      </c>
      <c r="AT166" t="s">
        <v>3</v>
      </c>
      <c r="AU166" t="s">
        <v>3</v>
      </c>
      <c r="AV166" t="s">
        <v>3</v>
      </c>
      <c r="AW166" t="s">
        <v>11</v>
      </c>
      <c r="AX166">
        <f>Tabla1[[#This Row],[precio del paquete]]-Tabla1[[#This Row],[Saldo_Deudor]]</f>
        <v>200</v>
      </c>
      <c r="AY166">
        <v>14600</v>
      </c>
      <c r="AZ166" t="s">
        <v>1</v>
      </c>
      <c r="BA166" t="s">
        <v>1</v>
      </c>
      <c r="BB166" t="s">
        <v>1</v>
      </c>
      <c r="BC166" t="s">
        <v>1406</v>
      </c>
      <c r="BD166" t="s">
        <v>3308</v>
      </c>
      <c r="BE166" t="s">
        <v>3</v>
      </c>
      <c r="BF166" t="s">
        <v>3</v>
      </c>
      <c r="BG166" t="s">
        <v>3</v>
      </c>
      <c r="BH166" t="s">
        <v>3</v>
      </c>
      <c r="BI166" t="s">
        <v>3</v>
      </c>
      <c r="BJ166" t="s">
        <v>3352</v>
      </c>
      <c r="BK166" t="s">
        <v>3</v>
      </c>
      <c r="BL166" t="s">
        <v>132</v>
      </c>
      <c r="BM166" t="s">
        <v>1</v>
      </c>
      <c r="BN166">
        <f>Tabla1[[#This Row],[precio del paquete]]</f>
        <v>14800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3382</v>
      </c>
      <c r="CD166" t="str" cm="1">
        <f t="array" aca="1" ref="CD166" ca="1">eConcatenar(A166:CB166,"|")</f>
        <v>vSV9odZqKlacC9rP|CAR20222-1035|3|MEMORIAL|TABASCO|CARDENAS|CARDENAS|2022-02-18|14800|0|200|50|1|0|0|0|0|0|0|0|0|0|0||0|0|0|GAMAS|JIMENEZ|MARIA GUADALUPE|SOLTERO|X|X|CARRETERA AL PANTEON|ZAPOTAL SEGUNDA SECCION|X|X|X|X|X|CARRETERA AL PANTEON|X|LUNES|x|x|x|x|x|DOMICILIO |200|14600|X|X|X|2022-02-16|2022-02-23|x|x|x|x|x|INFHQSH0B2NMACS|x|HOMBRE|X|14800|X|X|X|X|X|X|X|X|CARDENAS|X|X|X|X|FINAL</v>
      </c>
    </row>
    <row r="167" spans="1:82" x14ac:dyDescent="0.25">
      <c r="A167" t="s">
        <v>458</v>
      </c>
      <c r="B167" t="s">
        <v>459</v>
      </c>
      <c r="C167">
        <v>3</v>
      </c>
      <c r="D167" t="s">
        <v>1369</v>
      </c>
      <c r="E167" t="s">
        <v>1380</v>
      </c>
      <c r="F167" t="s">
        <v>1381</v>
      </c>
      <c r="G167" t="s">
        <v>1381</v>
      </c>
      <c r="H167" t="s">
        <v>1406</v>
      </c>
      <c r="I167">
        <v>14800</v>
      </c>
      <c r="J167">
        <v>0</v>
      </c>
      <c r="K167">
        <v>100</v>
      </c>
      <c r="L167">
        <v>50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Y167">
        <v>0</v>
      </c>
      <c r="Z167">
        <v>0</v>
      </c>
      <c r="AA167">
        <v>0</v>
      </c>
      <c r="AB167" t="s">
        <v>1866</v>
      </c>
      <c r="AC167" t="s">
        <v>1866</v>
      </c>
      <c r="AD167" s="18" t="s">
        <v>1922</v>
      </c>
      <c r="AE167" t="s">
        <v>4</v>
      </c>
      <c r="AF167" t="s">
        <v>1</v>
      </c>
      <c r="AG167" t="s">
        <v>1</v>
      </c>
      <c r="AH167" t="s">
        <v>2584</v>
      </c>
      <c r="AI167" t="s">
        <v>2980</v>
      </c>
      <c r="AJ167" t="s">
        <v>1</v>
      </c>
      <c r="AK167" t="s">
        <v>1</v>
      </c>
      <c r="AL167" t="s">
        <v>1</v>
      </c>
      <c r="AM167" t="s">
        <v>1</v>
      </c>
      <c r="AN167" t="s">
        <v>1</v>
      </c>
      <c r="AO167" t="s">
        <v>2584</v>
      </c>
      <c r="AP167" t="s">
        <v>1</v>
      </c>
      <c r="AQ167" t="s">
        <v>2</v>
      </c>
      <c r="AR167" t="s">
        <v>3</v>
      </c>
      <c r="AS167" t="s">
        <v>3</v>
      </c>
      <c r="AT167" t="s">
        <v>3</v>
      </c>
      <c r="AU167" t="s">
        <v>3</v>
      </c>
      <c r="AV167" t="s">
        <v>3</v>
      </c>
      <c r="AW167" t="s">
        <v>11</v>
      </c>
      <c r="AX167">
        <f>Tabla1[[#This Row],[precio del paquete]]-Tabla1[[#This Row],[Saldo_Deudor]]</f>
        <v>100</v>
      </c>
      <c r="AY167">
        <v>14700</v>
      </c>
      <c r="AZ167" t="s">
        <v>1</v>
      </c>
      <c r="BA167" t="s">
        <v>1</v>
      </c>
      <c r="BB167" t="s">
        <v>1</v>
      </c>
      <c r="BC167" t="s">
        <v>1406</v>
      </c>
      <c r="BD167" t="s">
        <v>3308</v>
      </c>
      <c r="BE167" t="s">
        <v>3</v>
      </c>
      <c r="BF167" t="s">
        <v>3</v>
      </c>
      <c r="BG167" t="s">
        <v>3</v>
      </c>
      <c r="BH167" t="s">
        <v>3</v>
      </c>
      <c r="BI167" t="s">
        <v>3</v>
      </c>
      <c r="BJ167" t="s">
        <v>3351</v>
      </c>
      <c r="BK167" t="s">
        <v>3</v>
      </c>
      <c r="BL167" t="s">
        <v>132</v>
      </c>
      <c r="BM167" t="s">
        <v>1</v>
      </c>
      <c r="BN167">
        <f>Tabla1[[#This Row],[precio del paquete]]</f>
        <v>14800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3382</v>
      </c>
      <c r="CD167" t="str" cm="1">
        <f t="array" aca="1" ref="CD167" ca="1">eConcatenar(A167:CB167,"|")</f>
        <v>tkZijYycC82hvIND|CAR2022-1029|3|MEMORIAL|TABASCO|CUNDUACAN|CUNDUACAN|2022-02-16|14800|0|100|50|0|0|0|0|0|0|0|0|0|0|0||0|0|0|BAUTISTA|BAUTISTA|GUADALUPE|SOLTERO|X|X|CALLE JOSE ANGEL GOMEZ MAY SIN NUMERO|LIBERTAD|X|X|X|X|X|CALLE JOSE ANGEL GOMEZ MAY SIN NUMERO|X|LUNES|x|x|x|x|x|DOMICILIO |100|14700|X|X|X|2022-02-16|2022-02-23|x|x|x|x|x|QWZHGJ0U9KVTQO|x|HOMBRE|X|14800|X|X|X|X|X|X|X|X|CARDENAS|X|X|X|X|FINAL</v>
      </c>
    </row>
    <row r="168" spans="1:82" x14ac:dyDescent="0.25">
      <c r="A168" t="s">
        <v>460</v>
      </c>
      <c r="B168" t="s">
        <v>461</v>
      </c>
      <c r="C168">
        <v>3</v>
      </c>
      <c r="D168" t="s">
        <v>1369</v>
      </c>
      <c r="E168" t="s">
        <v>1380</v>
      </c>
      <c r="F168" t="s">
        <v>1381</v>
      </c>
      <c r="G168" t="s">
        <v>1381</v>
      </c>
      <c r="H168" t="s">
        <v>1406</v>
      </c>
      <c r="I168">
        <v>14800</v>
      </c>
      <c r="J168">
        <v>0</v>
      </c>
      <c r="K168">
        <v>200</v>
      </c>
      <c r="L168">
        <v>50</v>
      </c>
      <c r="M168">
        <v>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Y168">
        <v>0</v>
      </c>
      <c r="Z168">
        <v>0</v>
      </c>
      <c r="AA168">
        <v>0</v>
      </c>
      <c r="AB168" t="s">
        <v>1944</v>
      </c>
      <c r="AC168" t="s">
        <v>1945</v>
      </c>
      <c r="AD168" s="18" t="s">
        <v>1946</v>
      </c>
      <c r="AE168" t="s">
        <v>4</v>
      </c>
      <c r="AF168" t="s">
        <v>1</v>
      </c>
      <c r="AG168" t="s">
        <v>1</v>
      </c>
      <c r="AH168" t="s">
        <v>2585</v>
      </c>
      <c r="AI168" t="s">
        <v>3044</v>
      </c>
      <c r="AJ168" t="s">
        <v>1</v>
      </c>
      <c r="AK168" t="s">
        <v>1</v>
      </c>
      <c r="AL168" t="s">
        <v>1</v>
      </c>
      <c r="AM168" t="s">
        <v>1</v>
      </c>
      <c r="AN168" t="s">
        <v>1</v>
      </c>
      <c r="AO168" t="s">
        <v>2585</v>
      </c>
      <c r="AP168" t="s">
        <v>1</v>
      </c>
      <c r="AQ168" t="s">
        <v>2</v>
      </c>
      <c r="AR168" t="s">
        <v>3</v>
      </c>
      <c r="AS168" t="s">
        <v>3</v>
      </c>
      <c r="AT168" t="s">
        <v>3</v>
      </c>
      <c r="AU168" t="s">
        <v>3</v>
      </c>
      <c r="AV168" t="s">
        <v>3</v>
      </c>
      <c r="AW168" t="s">
        <v>11</v>
      </c>
      <c r="AX168">
        <f>Tabla1[[#This Row],[precio del paquete]]-Tabla1[[#This Row],[Saldo_Deudor]]</f>
        <v>200</v>
      </c>
      <c r="AY168">
        <v>14600</v>
      </c>
      <c r="AZ168" t="s">
        <v>1</v>
      </c>
      <c r="BA168" t="s">
        <v>1</v>
      </c>
      <c r="BB168" t="s">
        <v>1</v>
      </c>
      <c r="BC168" t="s">
        <v>1406</v>
      </c>
      <c r="BD168" t="s">
        <v>3308</v>
      </c>
      <c r="BE168" t="s">
        <v>3</v>
      </c>
      <c r="BF168" t="s">
        <v>3</v>
      </c>
      <c r="BG168" t="s">
        <v>3</v>
      </c>
      <c r="BH168" t="s">
        <v>3</v>
      </c>
      <c r="BI168" t="s">
        <v>3</v>
      </c>
      <c r="BJ168" t="s">
        <v>3351</v>
      </c>
      <c r="BK168" t="s">
        <v>3</v>
      </c>
      <c r="BL168" t="s">
        <v>132</v>
      </c>
      <c r="BM168" t="s">
        <v>1</v>
      </c>
      <c r="BN168">
        <f>Tabla1[[#This Row],[precio del paquete]]</f>
        <v>14800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3382</v>
      </c>
      <c r="CD168" t="str" cm="1">
        <f t="array" aca="1" ref="CD168" ca="1">eConcatenar(A168:CB168,"|")</f>
        <v>KA3O9htBfwtlUZEb|CAR2022-1042|3|MEMORIAL|TABASCO|CUNDUACAN|CUNDUACAN|2022-02-16|14800|0|200|50|2|0|0|0|0|0|0|0|0|0|0||0|0|0|OLA|RAYMUNDO|ANA LAURA|SOLTERO|X|X|CALLE NUMERO 2|TULIPAN |X|X|X|X|X|CALLE NUMERO 2|X|LUNES|x|x|x|x|x|DOMICILIO |200|14600|X|X|X|2022-02-16|2022-02-23|x|x|x|x|x|QWZHGJ0U9KVTQO|x|HOMBRE|X|14800|X|X|X|X|X|X|X|X|CARDENAS|X|X|X|X|FINAL</v>
      </c>
    </row>
    <row r="169" spans="1:82" x14ac:dyDescent="0.25">
      <c r="A169" t="s">
        <v>462</v>
      </c>
      <c r="B169" t="s">
        <v>463</v>
      </c>
      <c r="C169">
        <v>3</v>
      </c>
      <c r="D169" t="s">
        <v>1369</v>
      </c>
      <c r="E169" t="s">
        <v>1380</v>
      </c>
      <c r="F169" t="s">
        <v>0</v>
      </c>
      <c r="G169" t="s">
        <v>0</v>
      </c>
      <c r="H169" t="s">
        <v>1406</v>
      </c>
      <c r="I169">
        <v>14800</v>
      </c>
      <c r="J169">
        <v>0</v>
      </c>
      <c r="K169">
        <v>100</v>
      </c>
      <c r="L169">
        <v>50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Y169">
        <v>0</v>
      </c>
      <c r="Z169">
        <v>0</v>
      </c>
      <c r="AA169">
        <v>0</v>
      </c>
      <c r="AB169" t="s">
        <v>8</v>
      </c>
      <c r="AC169" t="s">
        <v>1741</v>
      </c>
      <c r="AD169" s="18" t="s">
        <v>1947</v>
      </c>
      <c r="AE169" t="s">
        <v>4</v>
      </c>
      <c r="AF169" t="s">
        <v>1</v>
      </c>
      <c r="AG169" t="s">
        <v>1</v>
      </c>
      <c r="AH169" t="s">
        <v>2586</v>
      </c>
      <c r="AI169" t="s">
        <v>3038</v>
      </c>
      <c r="AJ169" t="s">
        <v>1</v>
      </c>
      <c r="AK169">
        <v>9371399933</v>
      </c>
      <c r="AL169" t="s">
        <v>1</v>
      </c>
      <c r="AM169" t="s">
        <v>1</v>
      </c>
      <c r="AN169" t="s">
        <v>1</v>
      </c>
      <c r="AO169" t="s">
        <v>2586</v>
      </c>
      <c r="AP169" t="s">
        <v>1</v>
      </c>
      <c r="AQ169" t="s">
        <v>2</v>
      </c>
      <c r="AR169" t="s">
        <v>3</v>
      </c>
      <c r="AS169" t="s">
        <v>3</v>
      </c>
      <c r="AT169" t="s">
        <v>3</v>
      </c>
      <c r="AU169" t="s">
        <v>3</v>
      </c>
      <c r="AV169" t="s">
        <v>3</v>
      </c>
      <c r="AW169" t="s">
        <v>11</v>
      </c>
      <c r="AX169">
        <f>Tabla1[[#This Row],[precio del paquete]]-Tabla1[[#This Row],[Saldo_Deudor]]</f>
        <v>100</v>
      </c>
      <c r="AY169">
        <v>14700</v>
      </c>
      <c r="AZ169" t="s">
        <v>1</v>
      </c>
      <c r="BA169" t="s">
        <v>1</v>
      </c>
      <c r="BB169" t="s">
        <v>1</v>
      </c>
      <c r="BC169" t="s">
        <v>1406</v>
      </c>
      <c r="BD169" t="s">
        <v>3308</v>
      </c>
      <c r="BE169" t="s">
        <v>3</v>
      </c>
      <c r="BF169" t="s">
        <v>3</v>
      </c>
      <c r="BG169" t="s">
        <v>3</v>
      </c>
      <c r="BH169" t="s">
        <v>3</v>
      </c>
      <c r="BI169" t="s">
        <v>3</v>
      </c>
      <c r="BJ169" t="s">
        <v>3369</v>
      </c>
      <c r="BK169" t="s">
        <v>3</v>
      </c>
      <c r="BL169" t="s">
        <v>132</v>
      </c>
      <c r="BM169" t="s">
        <v>1</v>
      </c>
      <c r="BN169">
        <f>Tabla1[[#This Row],[precio del paquete]]</f>
        <v>14800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3382</v>
      </c>
      <c r="CD169" t="str" cm="1">
        <f t="array" aca="1" ref="CD169" ca="1">eConcatenar(A169:CB169,"|")</f>
        <v>K4dvMHdcxzYjr98E|CAR2022-1028|3|MEMORIAL|TABASCO|CARDENAS|CARDENAS|2022-02-16|14800|0|100|50|0|0|0|0|0|0|0|0|0|0|0||0|0|0|GOMEZ|CARRETA|MARIA ANGELA|SOLTERO|X|X|CALLE MANUEL LOPEZ|CARLOS A. WILSON GOMEZ|X|9371399933|X|X|X|CALLE MANUEL LOPEZ|X|LUNES|x|x|x|x|x|DOMICILIO |100|14700|X|X|X|2022-02-16|2022-02-23|x|x|x|x|x|QWYNRBIY9KVZQO|x|HOMBRE|X|14800|X|X|X|X|X|X|X|X|CARDENAS|X|X|X|X|FINAL</v>
      </c>
    </row>
    <row r="170" spans="1:82" x14ac:dyDescent="0.25">
      <c r="A170" t="s">
        <v>464</v>
      </c>
      <c r="B170" t="s">
        <v>465</v>
      </c>
      <c r="C170">
        <v>3</v>
      </c>
      <c r="D170" t="s">
        <v>1369</v>
      </c>
      <c r="E170" t="s">
        <v>1380</v>
      </c>
      <c r="F170" t="s">
        <v>0</v>
      </c>
      <c r="G170" t="s">
        <v>0</v>
      </c>
      <c r="H170" t="s">
        <v>1406</v>
      </c>
      <c r="I170">
        <v>14800</v>
      </c>
      <c r="J170">
        <v>0</v>
      </c>
      <c r="K170">
        <v>200</v>
      </c>
      <c r="L170">
        <v>50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Y170">
        <v>0</v>
      </c>
      <c r="Z170">
        <v>0</v>
      </c>
      <c r="AA170">
        <v>0</v>
      </c>
      <c r="AB170" t="s">
        <v>1731</v>
      </c>
      <c r="AC170" t="s">
        <v>1806</v>
      </c>
      <c r="AD170" s="18" t="s">
        <v>1916</v>
      </c>
      <c r="AE170" t="s">
        <v>4</v>
      </c>
      <c r="AF170" t="s">
        <v>1</v>
      </c>
      <c r="AG170" t="s">
        <v>1</v>
      </c>
      <c r="AH170" t="s">
        <v>2587</v>
      </c>
      <c r="AI170" t="s">
        <v>2986</v>
      </c>
      <c r="AJ170" t="s">
        <v>1</v>
      </c>
      <c r="AK170">
        <v>9371669374</v>
      </c>
      <c r="AL170" t="s">
        <v>1</v>
      </c>
      <c r="AM170" t="s">
        <v>1</v>
      </c>
      <c r="AN170" t="s">
        <v>1</v>
      </c>
      <c r="AO170" t="s">
        <v>2587</v>
      </c>
      <c r="AP170" t="s">
        <v>1</v>
      </c>
      <c r="AQ170" t="s">
        <v>2</v>
      </c>
      <c r="AR170" t="s">
        <v>3</v>
      </c>
      <c r="AS170" t="s">
        <v>3</v>
      </c>
      <c r="AT170" t="s">
        <v>3</v>
      </c>
      <c r="AU170" t="s">
        <v>3</v>
      </c>
      <c r="AV170" t="s">
        <v>3</v>
      </c>
      <c r="AW170" t="s">
        <v>11</v>
      </c>
      <c r="AX170">
        <f>Tabla1[[#This Row],[precio del paquete]]-Tabla1[[#This Row],[Saldo_Deudor]]</f>
        <v>200</v>
      </c>
      <c r="AY170">
        <v>14600</v>
      </c>
      <c r="AZ170" t="s">
        <v>1</v>
      </c>
      <c r="BA170" t="s">
        <v>1</v>
      </c>
      <c r="BB170" t="s">
        <v>1</v>
      </c>
      <c r="BC170" t="s">
        <v>1406</v>
      </c>
      <c r="BD170" t="s">
        <v>3308</v>
      </c>
      <c r="BE170" t="s">
        <v>3</v>
      </c>
      <c r="BF170" t="s">
        <v>3</v>
      </c>
      <c r="BG170" t="s">
        <v>3</v>
      </c>
      <c r="BH170" t="s">
        <v>3</v>
      </c>
      <c r="BI170" t="s">
        <v>3</v>
      </c>
      <c r="BJ170" t="s">
        <v>3369</v>
      </c>
      <c r="BK170" t="s">
        <v>3</v>
      </c>
      <c r="BL170" t="s">
        <v>132</v>
      </c>
      <c r="BM170" t="s">
        <v>1</v>
      </c>
      <c r="BN170">
        <f>Tabla1[[#This Row],[precio del paquete]]</f>
        <v>14800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3382</v>
      </c>
      <c r="CD170" t="str" cm="1">
        <f t="array" aca="1" ref="CD170" ca="1">eConcatenar(A170:CB170,"|")</f>
        <v>vJ1ySYagBvEZ6rZ3|CAR2022-1034|3|MEMORIAL|TABASCO|CARDENAS|CARDENAS|2022-02-16|14800|0|200|50|0|0|0|0|0|0|0|0|0|0|0||0|0|0|GARCIA|AVIAS|ARMANDO|SOLTERO|X|X|CALLE ROSALES SIN NUMERO|BAJIO PRIMERA SECCION|X|9371669374|X|X|X|CALLE ROSALES SIN NUMERO|X|LUNES|x|x|x|x|x|DOMICILIO |200|14600|X|X|X|2022-02-16|2022-02-23|x|x|x|x|x|QWYNRBIY9KVZQO|x|HOMBRE|X|14800|X|X|X|X|X|X|X|X|CARDENAS|X|X|X|X|FINAL</v>
      </c>
    </row>
    <row r="171" spans="1:82" x14ac:dyDescent="0.25">
      <c r="A171" t="s">
        <v>466</v>
      </c>
      <c r="B171" t="s">
        <v>467</v>
      </c>
      <c r="C171">
        <v>3</v>
      </c>
      <c r="D171" t="s">
        <v>1369</v>
      </c>
      <c r="E171" t="s">
        <v>1380</v>
      </c>
      <c r="F171" t="s">
        <v>1381</v>
      </c>
      <c r="G171" t="s">
        <v>1381</v>
      </c>
      <c r="H171" t="s">
        <v>1399</v>
      </c>
      <c r="I171">
        <v>14800</v>
      </c>
      <c r="J171">
        <v>0</v>
      </c>
      <c r="K171">
        <v>100</v>
      </c>
      <c r="L171">
        <v>50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Y171">
        <v>0</v>
      </c>
      <c r="Z171">
        <v>0</v>
      </c>
      <c r="AA171">
        <v>0</v>
      </c>
      <c r="AB171" t="s">
        <v>1715</v>
      </c>
      <c r="AC171" t="s">
        <v>1711</v>
      </c>
      <c r="AD171" s="18" t="s">
        <v>1948</v>
      </c>
      <c r="AE171" t="s">
        <v>4</v>
      </c>
      <c r="AF171" t="s">
        <v>1</v>
      </c>
      <c r="AG171" t="s">
        <v>1</v>
      </c>
      <c r="AH171" t="s">
        <v>2529</v>
      </c>
      <c r="AI171" t="s">
        <v>3041</v>
      </c>
      <c r="AJ171" t="s">
        <v>1</v>
      </c>
      <c r="AK171">
        <v>9933314276</v>
      </c>
      <c r="AL171" t="s">
        <v>1</v>
      </c>
      <c r="AM171" t="s">
        <v>1</v>
      </c>
      <c r="AN171" t="s">
        <v>1</v>
      </c>
      <c r="AO171" t="s">
        <v>2529</v>
      </c>
      <c r="AP171" t="s">
        <v>1</v>
      </c>
      <c r="AQ171" t="s">
        <v>2</v>
      </c>
      <c r="AR171" t="s">
        <v>3</v>
      </c>
      <c r="AS171" t="s">
        <v>3</v>
      </c>
      <c r="AT171" t="s">
        <v>3</v>
      </c>
      <c r="AU171" t="s">
        <v>3</v>
      </c>
      <c r="AV171" t="s">
        <v>3</v>
      </c>
      <c r="AW171" t="s">
        <v>11</v>
      </c>
      <c r="AX171">
        <f>Tabla1[[#This Row],[precio del paquete]]-Tabla1[[#This Row],[Saldo_Deudor]]</f>
        <v>100</v>
      </c>
      <c r="AY171">
        <v>14700</v>
      </c>
      <c r="AZ171" t="s">
        <v>1</v>
      </c>
      <c r="BA171" t="s">
        <v>1</v>
      </c>
      <c r="BB171" t="s">
        <v>1</v>
      </c>
      <c r="BC171" t="s">
        <v>1399</v>
      </c>
      <c r="BD171" t="s">
        <v>1407</v>
      </c>
      <c r="BE171" t="s">
        <v>3</v>
      </c>
      <c r="BF171" t="s">
        <v>3</v>
      </c>
      <c r="BG171" t="s">
        <v>3</v>
      </c>
      <c r="BH171" t="s">
        <v>3</v>
      </c>
      <c r="BI171" t="s">
        <v>3</v>
      </c>
      <c r="BJ171" t="s">
        <v>143</v>
      </c>
      <c r="BK171" t="s">
        <v>3</v>
      </c>
      <c r="BL171" t="s">
        <v>132</v>
      </c>
      <c r="BM171" t="s">
        <v>1</v>
      </c>
      <c r="BN171">
        <f>Tabla1[[#This Row],[precio del paquete]]</f>
        <v>14800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3382</v>
      </c>
      <c r="CD171" t="str" cm="1">
        <f t="array" aca="1" ref="CD171" ca="1">eConcatenar(A171:CB171,"|")</f>
        <v>VJXopTqPvC2WwhCX|CAR2022-0889|3|MEMORIAL|TABASCO|CUNDUACAN|CUNDUACAN|2022-02-11|14800|0|100|50|1|0|0|0|0|0|0|0|0|0|0||0|0|0|CANO|HERNANDEZ|ANA GABRIELA|SOLTERO|X|X|CARRETERA A CALZADA SIN NUMERO |MANTILLA|X|9933314276|X|X|X|CARRETERA A CALZADA SIN NUMERO |X|LUNES|x|x|x|x|x|DOMICILIO |100|14700|X|X|X|2022-02-11|2022-02-18|x|x|x|x|x|NL2E7OEHPWYUH7Y|x|HOMBRE|X|14800|X|X|X|X|X|X|X|X|CARDENAS|X|X|X|X|FINAL</v>
      </c>
    </row>
    <row r="172" spans="1:82" x14ac:dyDescent="0.25">
      <c r="A172" t="s">
        <v>468</v>
      </c>
      <c r="B172" t="s">
        <v>469</v>
      </c>
      <c r="C172">
        <v>3</v>
      </c>
      <c r="D172" t="s">
        <v>1369</v>
      </c>
      <c r="E172" t="s">
        <v>1380</v>
      </c>
      <c r="F172" t="s">
        <v>1381</v>
      </c>
      <c r="G172" t="s">
        <v>1381</v>
      </c>
      <c r="H172" t="s">
        <v>1398</v>
      </c>
      <c r="I172">
        <v>14800</v>
      </c>
      <c r="J172">
        <v>0</v>
      </c>
      <c r="K172">
        <v>100</v>
      </c>
      <c r="L172">
        <v>50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Y172">
        <v>0</v>
      </c>
      <c r="Z172">
        <v>0</v>
      </c>
      <c r="AA172">
        <v>0</v>
      </c>
      <c r="AB172" t="s">
        <v>1711</v>
      </c>
      <c r="AC172" t="s">
        <v>1899</v>
      </c>
      <c r="AD172" s="18" t="s">
        <v>1922</v>
      </c>
      <c r="AE172" t="s">
        <v>4</v>
      </c>
      <c r="AF172" t="s">
        <v>1</v>
      </c>
      <c r="AG172" t="s">
        <v>1</v>
      </c>
      <c r="AH172" t="s">
        <v>2578</v>
      </c>
      <c r="AI172" t="s">
        <v>3041</v>
      </c>
      <c r="AJ172" t="s">
        <v>1</v>
      </c>
      <c r="AK172">
        <v>9141390859</v>
      </c>
      <c r="AL172" t="s">
        <v>1</v>
      </c>
      <c r="AM172" t="s">
        <v>1</v>
      </c>
      <c r="AN172" t="s">
        <v>1</v>
      </c>
      <c r="AO172" t="s">
        <v>2578</v>
      </c>
      <c r="AP172" t="s">
        <v>1</v>
      </c>
      <c r="AQ172" t="s">
        <v>2</v>
      </c>
      <c r="AR172" t="s">
        <v>3</v>
      </c>
      <c r="AS172" t="s">
        <v>3</v>
      </c>
      <c r="AT172" t="s">
        <v>3</v>
      </c>
      <c r="AU172" t="s">
        <v>3</v>
      </c>
      <c r="AV172" t="s">
        <v>3</v>
      </c>
      <c r="AW172" t="s">
        <v>11</v>
      </c>
      <c r="AX172">
        <f>Tabla1[[#This Row],[precio del paquete]]-Tabla1[[#This Row],[Saldo_Deudor]]</f>
        <v>100</v>
      </c>
      <c r="AY172">
        <v>14700</v>
      </c>
      <c r="AZ172" t="s">
        <v>1</v>
      </c>
      <c r="BA172" t="s">
        <v>1</v>
      </c>
      <c r="BB172" t="s">
        <v>1</v>
      </c>
      <c r="BC172" t="s">
        <v>1398</v>
      </c>
      <c r="BD172" t="s">
        <v>3252</v>
      </c>
      <c r="BE172" t="s">
        <v>3</v>
      </c>
      <c r="BF172" t="s">
        <v>3</v>
      </c>
      <c r="BG172" t="s">
        <v>3</v>
      </c>
      <c r="BH172" t="s">
        <v>3</v>
      </c>
      <c r="BI172" t="s">
        <v>3</v>
      </c>
      <c r="BJ172" t="s">
        <v>143</v>
      </c>
      <c r="BK172" t="s">
        <v>3</v>
      </c>
      <c r="BL172" t="s">
        <v>132</v>
      </c>
      <c r="BM172" t="s">
        <v>1</v>
      </c>
      <c r="BN172">
        <f>Tabla1[[#This Row],[precio del paquete]]</f>
        <v>14800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3382</v>
      </c>
      <c r="CD172" t="str" cm="1">
        <f t="array" aca="1" ref="CD172" ca="1">eConcatenar(A172:CB172,"|")</f>
        <v>cfvZ5QLChpyqfd0b|CAR2022-0891|3|MEMORIAL|TABASCO|CUNDUACAN|CUNDUACAN|2022-02-12|14800|0|100|50|1|0|0|0|0|0|0|0|0|0|0||0|0|0|HERNANDEZ|ESCOBAR|GUADALUPE|SOLTERO|X|X|CARRETERA A CALZADA SIN NUMERO|MANTILLA|X|9141390859|X|X|X|CARRETERA A CALZADA SIN NUMERO|X|LUNES|x|x|x|x|x|DOMICILIO |100|14700|X|X|X|2022-02-12|2022-02-19|x|x|x|x|x|NL2E7OEHPWYUH7Y|x|HOMBRE|X|14800|X|X|X|X|X|X|X|X|CARDENAS|X|X|X|X|FINAL</v>
      </c>
    </row>
    <row r="173" spans="1:82" x14ac:dyDescent="0.25">
      <c r="A173" t="s">
        <v>470</v>
      </c>
      <c r="B173" t="s">
        <v>471</v>
      </c>
      <c r="C173">
        <v>3</v>
      </c>
      <c r="D173" t="s">
        <v>1369</v>
      </c>
      <c r="E173" t="s">
        <v>1380</v>
      </c>
      <c r="F173" t="s">
        <v>0</v>
      </c>
      <c r="G173" t="s">
        <v>0</v>
      </c>
      <c r="H173" t="s">
        <v>1398</v>
      </c>
      <c r="I173">
        <v>14800</v>
      </c>
      <c r="J173">
        <v>0</v>
      </c>
      <c r="K173">
        <v>100</v>
      </c>
      <c r="L173">
        <v>50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Y173">
        <v>0</v>
      </c>
      <c r="Z173">
        <v>0</v>
      </c>
      <c r="AA173">
        <v>0</v>
      </c>
      <c r="AB173" t="s">
        <v>1816</v>
      </c>
      <c r="AC173" t="s">
        <v>1748</v>
      </c>
      <c r="AD173" s="18" t="s">
        <v>1949</v>
      </c>
      <c r="AE173" t="s">
        <v>4</v>
      </c>
      <c r="AF173" t="s">
        <v>1</v>
      </c>
      <c r="AG173" t="s">
        <v>1</v>
      </c>
      <c r="AH173" t="s">
        <v>2465</v>
      </c>
      <c r="AI173" t="s">
        <v>3045</v>
      </c>
      <c r="AJ173" t="s">
        <v>1</v>
      </c>
      <c r="AK173">
        <v>9371230024</v>
      </c>
      <c r="AL173" t="s">
        <v>1</v>
      </c>
      <c r="AM173" t="s">
        <v>1</v>
      </c>
      <c r="AN173" t="s">
        <v>1</v>
      </c>
      <c r="AO173" t="s">
        <v>2465</v>
      </c>
      <c r="AP173" t="s">
        <v>1</v>
      </c>
      <c r="AQ173" t="s">
        <v>2</v>
      </c>
      <c r="AR173" t="s">
        <v>3</v>
      </c>
      <c r="AS173" t="s">
        <v>3</v>
      </c>
      <c r="AT173" t="s">
        <v>3</v>
      </c>
      <c r="AU173" t="s">
        <v>3</v>
      </c>
      <c r="AV173" t="s">
        <v>3</v>
      </c>
      <c r="AW173" t="s">
        <v>11</v>
      </c>
      <c r="AX173">
        <f>Tabla1[[#This Row],[precio del paquete]]-Tabla1[[#This Row],[Saldo_Deudor]]</f>
        <v>100</v>
      </c>
      <c r="AY173">
        <v>14700</v>
      </c>
      <c r="AZ173" t="s">
        <v>1</v>
      </c>
      <c r="BA173" t="s">
        <v>1</v>
      </c>
      <c r="BB173" t="s">
        <v>1</v>
      </c>
      <c r="BC173" t="s">
        <v>1398</v>
      </c>
      <c r="BD173" t="s">
        <v>3252</v>
      </c>
      <c r="BE173" t="s">
        <v>3</v>
      </c>
      <c r="BF173" t="s">
        <v>3</v>
      </c>
      <c r="BG173" t="s">
        <v>3</v>
      </c>
      <c r="BH173" t="s">
        <v>3</v>
      </c>
      <c r="BI173" t="s">
        <v>3</v>
      </c>
      <c r="BJ173" t="s">
        <v>3350</v>
      </c>
      <c r="BK173" t="s">
        <v>3</v>
      </c>
      <c r="BL173" t="s">
        <v>132</v>
      </c>
      <c r="BM173" t="s">
        <v>1</v>
      </c>
      <c r="BN173">
        <f>Tabla1[[#This Row],[precio del paquete]]</f>
        <v>14800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3382</v>
      </c>
      <c r="CD173" t="str" cm="1">
        <f t="array" aca="1" ref="CD173" ca="1">eConcatenar(A173:CB173,"|")</f>
        <v>kJBqNdQpmr1PLejL|CAR2022-0896|3|MEMORIAL|TABASCO|CARDENAS|CARDENAS|2022-02-12|14800|0|100|50|0|0|0|0|0|0|0|0|0|0|0||0|0|0|DE DIOS|JIMENEZ|ANTONY DE JESUS|SOLTERO|X|X|CARRETERA PRINCIPAL SIN NUMERO|ARROYO HOINDO PRIMERA SECCION SANTA TERESA|X|9371230024|X|X|X|CARRETERA PRINCIPAL SIN NUMERO|X|LUNES|x|x|x|x|x|DOMICILIO |100|14700|X|X|X|2022-02-12|2022-02-19|x|x|x|x|x|QWYNRBIY9KVXQO|x|HOMBRE|X|14800|X|X|X|X|X|X|X|X|CARDENAS|X|X|X|X|FINAL</v>
      </c>
    </row>
    <row r="174" spans="1:82" x14ac:dyDescent="0.25">
      <c r="A174" t="s">
        <v>472</v>
      </c>
      <c r="B174" t="s">
        <v>473</v>
      </c>
      <c r="C174">
        <v>3</v>
      </c>
      <c r="D174" t="s">
        <v>1369</v>
      </c>
      <c r="E174" t="s">
        <v>1380</v>
      </c>
      <c r="F174" t="s">
        <v>0</v>
      </c>
      <c r="G174" t="s">
        <v>0</v>
      </c>
      <c r="H174" t="s">
        <v>1398</v>
      </c>
      <c r="I174">
        <v>14800</v>
      </c>
      <c r="J174">
        <v>0</v>
      </c>
      <c r="K174">
        <v>100</v>
      </c>
      <c r="L174">
        <v>50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Y174">
        <v>0</v>
      </c>
      <c r="Z174">
        <v>0</v>
      </c>
      <c r="AA174">
        <v>0</v>
      </c>
      <c r="AB174" t="s">
        <v>1716</v>
      </c>
      <c r="AC174" t="s">
        <v>1708</v>
      </c>
      <c r="AD174" s="18" t="s">
        <v>1950</v>
      </c>
      <c r="AE174" t="s">
        <v>4</v>
      </c>
      <c r="AF174" t="s">
        <v>1</v>
      </c>
      <c r="AG174" t="s">
        <v>1</v>
      </c>
      <c r="AH174" t="s">
        <v>2588</v>
      </c>
      <c r="AI174" t="s">
        <v>3046</v>
      </c>
      <c r="AJ174" t="s">
        <v>1</v>
      </c>
      <c r="AK174">
        <v>9372278187</v>
      </c>
      <c r="AL174" t="s">
        <v>1</v>
      </c>
      <c r="AM174" t="s">
        <v>1</v>
      </c>
      <c r="AN174" t="s">
        <v>1</v>
      </c>
      <c r="AO174" t="s">
        <v>2588</v>
      </c>
      <c r="AP174" t="s">
        <v>1</v>
      </c>
      <c r="AQ174" t="s">
        <v>2</v>
      </c>
      <c r="AR174" t="s">
        <v>3</v>
      </c>
      <c r="AS174" t="s">
        <v>3</v>
      </c>
      <c r="AT174" t="s">
        <v>3</v>
      </c>
      <c r="AU174" t="s">
        <v>3</v>
      </c>
      <c r="AV174" t="s">
        <v>3</v>
      </c>
      <c r="AW174" t="s">
        <v>11</v>
      </c>
      <c r="AX174">
        <f>Tabla1[[#This Row],[precio del paquete]]-Tabla1[[#This Row],[Saldo_Deudor]]</f>
        <v>100</v>
      </c>
      <c r="AY174">
        <v>14700</v>
      </c>
      <c r="AZ174" t="s">
        <v>1</v>
      </c>
      <c r="BA174" t="s">
        <v>1</v>
      </c>
      <c r="BB174" t="s">
        <v>1</v>
      </c>
      <c r="BC174" t="s">
        <v>1405</v>
      </c>
      <c r="BD174" t="s">
        <v>3251</v>
      </c>
      <c r="BE174" t="s">
        <v>3</v>
      </c>
      <c r="BF174" t="s">
        <v>3</v>
      </c>
      <c r="BG174" t="s">
        <v>3</v>
      </c>
      <c r="BH174" t="s">
        <v>3</v>
      </c>
      <c r="BI174" t="s">
        <v>3</v>
      </c>
      <c r="BJ174" t="s">
        <v>3369</v>
      </c>
      <c r="BK174" t="s">
        <v>3</v>
      </c>
      <c r="BL174" t="s">
        <v>132</v>
      </c>
      <c r="BM174" t="s">
        <v>1</v>
      </c>
      <c r="BN174">
        <f>Tabla1[[#This Row],[precio del paquete]]</f>
        <v>14800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3382</v>
      </c>
      <c r="CD174" t="str" cm="1">
        <f t="array" aca="1" ref="CD174" ca="1">eConcatenar(A174:CB174,"|")</f>
        <v>noyXz9NYpY9wEqMx|CAR2022-1010|3|MEMORIAL|TABASCO|CARDENAS|CARDENAS|2022-02-12|14800|0|100|50|1|0|0|0|0|0|0|0|0|0|0||0|0|0|JUAREZ||HERLINDA CANO|SOLTERO|X|X|ANDADOR PERIFERICO NUMERO 212|INFONAVIT DEPORTIVA|X|9372278187|X|X|X|ANDADOR PERIFERICO NUMERO 212|X|LUNES|x|x|x|x|x|DOMICILIO |100|14700|X|X|X|2022-02-15|2022-02-22|x|x|x|x|x|QWYNRBIY9KVZQO|x|HOMBRE|X|14800|X|X|X|X|X|X|X|X|CARDENAS|X|X|X|X|FINAL</v>
      </c>
    </row>
    <row r="175" spans="1:82" x14ac:dyDescent="0.25">
      <c r="A175" t="s">
        <v>474</v>
      </c>
      <c r="B175" t="s">
        <v>475</v>
      </c>
      <c r="C175">
        <v>3</v>
      </c>
      <c r="D175" t="s">
        <v>1369</v>
      </c>
      <c r="E175" t="s">
        <v>1380</v>
      </c>
      <c r="F175" t="s">
        <v>0</v>
      </c>
      <c r="G175" t="s">
        <v>0</v>
      </c>
      <c r="H175" t="s">
        <v>1406</v>
      </c>
      <c r="I175">
        <v>14800</v>
      </c>
      <c r="J175">
        <v>0</v>
      </c>
      <c r="K175">
        <v>100</v>
      </c>
      <c r="L175">
        <v>50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Y175">
        <v>0</v>
      </c>
      <c r="Z175">
        <v>0</v>
      </c>
      <c r="AA175">
        <v>0</v>
      </c>
      <c r="AB175" t="s">
        <v>1774</v>
      </c>
      <c r="AC175" t="s">
        <v>1912</v>
      </c>
      <c r="AD175" s="18" t="s">
        <v>1843</v>
      </c>
      <c r="AE175" t="s">
        <v>4</v>
      </c>
      <c r="AF175" t="s">
        <v>1</v>
      </c>
      <c r="AG175" t="s">
        <v>1</v>
      </c>
      <c r="AH175" t="s">
        <v>2589</v>
      </c>
      <c r="AI175" t="s">
        <v>3036</v>
      </c>
      <c r="AJ175" t="s">
        <v>1</v>
      </c>
      <c r="AK175">
        <v>9373744507</v>
      </c>
      <c r="AL175" t="s">
        <v>1</v>
      </c>
      <c r="AM175" t="s">
        <v>1</v>
      </c>
      <c r="AN175" t="s">
        <v>1</v>
      </c>
      <c r="AO175" t="s">
        <v>2589</v>
      </c>
      <c r="AP175" t="s">
        <v>1</v>
      </c>
      <c r="AQ175" t="s">
        <v>2</v>
      </c>
      <c r="AR175" t="s">
        <v>3</v>
      </c>
      <c r="AS175" t="s">
        <v>3</v>
      </c>
      <c r="AT175" t="s">
        <v>3</v>
      </c>
      <c r="AU175" t="s">
        <v>3</v>
      </c>
      <c r="AV175" t="s">
        <v>3</v>
      </c>
      <c r="AW175" t="s">
        <v>11</v>
      </c>
      <c r="AX175">
        <f>Tabla1[[#This Row],[precio del paquete]]-Tabla1[[#This Row],[Saldo_Deudor]]</f>
        <v>100</v>
      </c>
      <c r="AY175">
        <v>14700</v>
      </c>
      <c r="AZ175" t="s">
        <v>1</v>
      </c>
      <c r="BA175" t="s">
        <v>1</v>
      </c>
      <c r="BB175" t="s">
        <v>1</v>
      </c>
      <c r="BC175" t="s">
        <v>1406</v>
      </c>
      <c r="BD175" t="s">
        <v>3308</v>
      </c>
      <c r="BE175" t="s">
        <v>3</v>
      </c>
      <c r="BF175" t="s">
        <v>3</v>
      </c>
      <c r="BG175" t="s">
        <v>3</v>
      </c>
      <c r="BH175" t="s">
        <v>3</v>
      </c>
      <c r="BI175" t="s">
        <v>3</v>
      </c>
      <c r="BJ175" t="s">
        <v>3354</v>
      </c>
      <c r="BK175" t="s">
        <v>3</v>
      </c>
      <c r="BL175" t="s">
        <v>132</v>
      </c>
      <c r="BM175" t="s">
        <v>1</v>
      </c>
      <c r="BN175">
        <f>Tabla1[[#This Row],[precio del paquete]]</f>
        <v>14800</v>
      </c>
      <c r="BO175" t="s">
        <v>1</v>
      </c>
      <c r="BP175" t="s">
        <v>1</v>
      </c>
      <c r="BQ175" t="s">
        <v>1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3382</v>
      </c>
      <c r="CD175" t="str" cm="1">
        <f t="array" aca="1" ref="CD175" ca="1">eConcatenar(A175:CB175,"|")</f>
        <v>F2jjyvbmBIsMhfcm|CAR2022-1038|3|MEMORIAL|TABASCO|CARDENAS|CARDENAS|2022-02-16|14800|0|100|50|0|0|0|0|0|0|0|0|0|0|0||0|0|0|GONZALEZ|VIDAL|RAMON|SOLTERO|X|X|CALLE PERIFERICO CARLOS A MOLINA NUMERO 39|PASO Y PALYA|X|9373744507|X|X|X|CALLE PERIFERICO CARLOS A MOLINA NUMERO 39|X|LUNES|x|x|x|x|x|DOMICILIO |100|14700|X|X|X|2022-02-16|2022-02-23|x|x|x|x|x|MYEDVABVTAZ4TPF|x|HOMBRE|X|14800|X|X|X|X|X|X|X|X|CARDENAS|X|X|X|X|FINAL</v>
      </c>
    </row>
    <row r="176" spans="1:82" x14ac:dyDescent="0.25">
      <c r="A176" t="s">
        <v>476</v>
      </c>
      <c r="B176" t="s">
        <v>477</v>
      </c>
      <c r="C176">
        <v>3</v>
      </c>
      <c r="D176" t="s">
        <v>1369</v>
      </c>
      <c r="E176" t="s">
        <v>1380</v>
      </c>
      <c r="F176" t="s">
        <v>0</v>
      </c>
      <c r="G176" t="s">
        <v>0</v>
      </c>
      <c r="H176" t="s">
        <v>1406</v>
      </c>
      <c r="I176">
        <v>14800</v>
      </c>
      <c r="J176">
        <v>0</v>
      </c>
      <c r="K176">
        <v>200</v>
      </c>
      <c r="L176">
        <v>50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Y176">
        <v>0</v>
      </c>
      <c r="Z176">
        <v>0</v>
      </c>
      <c r="AA176">
        <v>0</v>
      </c>
      <c r="AB176" t="s">
        <v>1843</v>
      </c>
      <c r="AC176" t="s">
        <v>1843</v>
      </c>
      <c r="AD176" s="18" t="s">
        <v>1951</v>
      </c>
      <c r="AE176" t="s">
        <v>4</v>
      </c>
      <c r="AF176" t="s">
        <v>1</v>
      </c>
      <c r="AG176" t="s">
        <v>1</v>
      </c>
      <c r="AH176" t="s">
        <v>2590</v>
      </c>
      <c r="AI176" t="s">
        <v>3047</v>
      </c>
      <c r="AJ176" t="s">
        <v>1</v>
      </c>
      <c r="AK176">
        <v>9373720532</v>
      </c>
      <c r="AL176" t="s">
        <v>1</v>
      </c>
      <c r="AM176" t="s">
        <v>1</v>
      </c>
      <c r="AN176" t="s">
        <v>1</v>
      </c>
      <c r="AO176" t="s">
        <v>2590</v>
      </c>
      <c r="AP176" t="s">
        <v>1</v>
      </c>
      <c r="AQ176" t="s">
        <v>2</v>
      </c>
      <c r="AR176" t="s">
        <v>3</v>
      </c>
      <c r="AS176" t="s">
        <v>3</v>
      </c>
      <c r="AT176" t="s">
        <v>3</v>
      </c>
      <c r="AU176" t="s">
        <v>3</v>
      </c>
      <c r="AV176" t="s">
        <v>3</v>
      </c>
      <c r="AW176" t="s">
        <v>11</v>
      </c>
      <c r="AX176">
        <f>Tabla1[[#This Row],[precio del paquete]]-Tabla1[[#This Row],[Saldo_Deudor]]</f>
        <v>200</v>
      </c>
      <c r="AY176">
        <v>14600</v>
      </c>
      <c r="AZ176" t="s">
        <v>1</v>
      </c>
      <c r="BA176" t="s">
        <v>1</v>
      </c>
      <c r="BB176" t="s">
        <v>1</v>
      </c>
      <c r="BC176" t="s">
        <v>1406</v>
      </c>
      <c r="BD176" t="s">
        <v>3308</v>
      </c>
      <c r="BE176" t="s">
        <v>3</v>
      </c>
      <c r="BF176" t="s">
        <v>3</v>
      </c>
      <c r="BG176" t="s">
        <v>3</v>
      </c>
      <c r="BH176" t="s">
        <v>3</v>
      </c>
      <c r="BI176" t="s">
        <v>3</v>
      </c>
      <c r="BJ176" t="s">
        <v>3369</v>
      </c>
      <c r="BK176" t="s">
        <v>3</v>
      </c>
      <c r="BL176" t="s">
        <v>132</v>
      </c>
      <c r="BM176" t="s">
        <v>1</v>
      </c>
      <c r="BN176">
        <f>Tabla1[[#This Row],[precio del paquete]]</f>
        <v>14800</v>
      </c>
      <c r="BO176" t="s">
        <v>1</v>
      </c>
      <c r="BP176" t="s">
        <v>1</v>
      </c>
      <c r="BQ176" t="s">
        <v>1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3382</v>
      </c>
      <c r="CD176" t="str" cm="1">
        <f t="array" aca="1" ref="CD176" ca="1">eConcatenar(A176:CB176,"|")</f>
        <v>UbPr6stB317ie19H|CAR2022-1043|3|MEMORIAL|TABASCO|CARDENAS|CARDENAS|2022-02-16|14800|0|200|50|0|0|0|0|0|0|0|0|0|0|0||0|0|0|RAMON|RAMON|JAURIN|SOLTERO|X|X|CERRADA DE GASODUCTO|CALZADA     |X|9373720532|X|X|X|CERRADA DE GASODUCTO|X|LUNES|x|x|x|x|x|DOMICILIO |200|14600|X|X|X|2022-02-16|2022-02-23|x|x|x|x|x|QWYNRBIY9KVZQO|x|HOMBRE|X|14800|X|X|X|X|X|X|X|X|CARDENAS|X|X|X|X|FINAL</v>
      </c>
    </row>
    <row r="177" spans="1:82" x14ac:dyDescent="0.25">
      <c r="A177" t="s">
        <v>478</v>
      </c>
      <c r="B177" t="s">
        <v>479</v>
      </c>
      <c r="C177">
        <v>3</v>
      </c>
      <c r="D177" t="s">
        <v>1369</v>
      </c>
      <c r="E177" t="s">
        <v>1380</v>
      </c>
      <c r="F177" t="s">
        <v>0</v>
      </c>
      <c r="G177" t="s">
        <v>0</v>
      </c>
      <c r="H177" t="s">
        <v>1406</v>
      </c>
      <c r="I177">
        <v>14800</v>
      </c>
      <c r="J177">
        <v>0</v>
      </c>
      <c r="K177">
        <v>200</v>
      </c>
      <c r="L177">
        <v>50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Y177">
        <v>0</v>
      </c>
      <c r="Z177">
        <v>0</v>
      </c>
      <c r="AA177">
        <v>0</v>
      </c>
      <c r="AB177" t="s">
        <v>1698</v>
      </c>
      <c r="AC177" t="s">
        <v>1952</v>
      </c>
      <c r="AD177" s="18" t="s">
        <v>1953</v>
      </c>
      <c r="AE177" t="s">
        <v>4</v>
      </c>
      <c r="AF177" t="s">
        <v>1</v>
      </c>
      <c r="AG177" t="s">
        <v>1</v>
      </c>
      <c r="AH177" t="s">
        <v>2591</v>
      </c>
      <c r="AI177" t="s">
        <v>3048</v>
      </c>
      <c r="AJ177" t="s">
        <v>1</v>
      </c>
      <c r="AK177">
        <v>9932779125</v>
      </c>
      <c r="AL177" t="s">
        <v>1</v>
      </c>
      <c r="AM177" t="s">
        <v>1</v>
      </c>
      <c r="AN177" t="s">
        <v>1</v>
      </c>
      <c r="AO177" t="s">
        <v>2591</v>
      </c>
      <c r="AP177" t="s">
        <v>1</v>
      </c>
      <c r="AQ177" t="s">
        <v>2</v>
      </c>
      <c r="AR177" t="s">
        <v>3</v>
      </c>
      <c r="AS177" t="s">
        <v>3</v>
      </c>
      <c r="AT177" t="s">
        <v>3</v>
      </c>
      <c r="AU177" t="s">
        <v>3</v>
      </c>
      <c r="AV177" t="s">
        <v>3</v>
      </c>
      <c r="AW177" t="s">
        <v>11</v>
      </c>
      <c r="AX177">
        <f>Tabla1[[#This Row],[precio del paquete]]-Tabla1[[#This Row],[Saldo_Deudor]]</f>
        <v>11320</v>
      </c>
      <c r="AY177">
        <v>3480</v>
      </c>
      <c r="AZ177" t="s">
        <v>1</v>
      </c>
      <c r="BA177" t="s">
        <v>1</v>
      </c>
      <c r="BB177" t="s">
        <v>1</v>
      </c>
      <c r="BC177" t="s">
        <v>1406</v>
      </c>
      <c r="BD177" t="s">
        <v>3308</v>
      </c>
      <c r="BE177" t="s">
        <v>3</v>
      </c>
      <c r="BF177" t="s">
        <v>3</v>
      </c>
      <c r="BG177" t="s">
        <v>3</v>
      </c>
      <c r="BH177" t="s">
        <v>3</v>
      </c>
      <c r="BI177" t="s">
        <v>3</v>
      </c>
      <c r="BJ177" t="s">
        <v>3369</v>
      </c>
      <c r="BK177" t="s">
        <v>3</v>
      </c>
      <c r="BL177" t="s">
        <v>132</v>
      </c>
      <c r="BM177" t="s">
        <v>1</v>
      </c>
      <c r="BN177">
        <f>Tabla1[[#This Row],[precio del paquete]]</f>
        <v>14800</v>
      </c>
      <c r="BO177" t="s">
        <v>1</v>
      </c>
      <c r="BP177" t="s">
        <v>1</v>
      </c>
      <c r="BQ177" t="s">
        <v>1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3382</v>
      </c>
      <c r="CD177" t="str" cm="1">
        <f t="array" aca="1" ref="CD177" ca="1">eConcatenar(A177:CB177,"|")</f>
        <v>IEQO1wlSP7rL4XFE|CAR2022-1033|3|MEMORIAL|TABASCO|CARDENAS|CARDENAS|2022-02-16|14800|0|200|50|0|0|0|0|0|0|0|0|0|0|0||0|0|0|VAZQUEZ|BRIONES|BLANCA IDALIA|SOLTERO|X|X|ANDADOR CACAO SUR MANZANA 16 LOTE 8|INVITAB PASO Y PLAYA |X|9932779125|X|X|X|ANDADOR CACAO SUR MANZANA 16 LOTE 8|X|LUNES|x|x|x|x|x|DOMICILIO |11320|3480|X|X|X|2022-02-16|2022-02-23|x|x|x|x|x|QWYNRBIY9KVZQO|x|HOMBRE|X|14800|X|X|X|X|X|X|X|X|CARDENAS|X|X|X|X|FINAL</v>
      </c>
    </row>
    <row r="178" spans="1:82" x14ac:dyDescent="0.25">
      <c r="A178" t="s">
        <v>480</v>
      </c>
      <c r="B178" t="s">
        <v>481</v>
      </c>
      <c r="C178">
        <v>3</v>
      </c>
      <c r="D178" t="s">
        <v>1369</v>
      </c>
      <c r="E178" t="s">
        <v>1380</v>
      </c>
      <c r="F178" t="s">
        <v>1381</v>
      </c>
      <c r="G178" t="s">
        <v>1381</v>
      </c>
      <c r="H178" t="s">
        <v>1398</v>
      </c>
      <c r="I178">
        <v>14800</v>
      </c>
      <c r="J178">
        <v>0</v>
      </c>
      <c r="K178">
        <v>100</v>
      </c>
      <c r="L178">
        <v>50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Y178">
        <v>0</v>
      </c>
      <c r="Z178">
        <v>0</v>
      </c>
      <c r="AA178">
        <v>0</v>
      </c>
      <c r="AB178" t="s">
        <v>1769</v>
      </c>
      <c r="AC178" t="s">
        <v>1954</v>
      </c>
      <c r="AD178" s="18" t="s">
        <v>1955</v>
      </c>
      <c r="AE178" t="s">
        <v>4</v>
      </c>
      <c r="AF178" t="s">
        <v>1</v>
      </c>
      <c r="AG178" t="s">
        <v>1</v>
      </c>
      <c r="AH178" t="s">
        <v>2592</v>
      </c>
      <c r="AI178" t="s">
        <v>3044</v>
      </c>
      <c r="AJ178" t="s">
        <v>1</v>
      </c>
      <c r="AK178">
        <v>9171212299</v>
      </c>
      <c r="AL178" t="s">
        <v>1</v>
      </c>
      <c r="AM178" t="s">
        <v>1</v>
      </c>
      <c r="AN178" t="s">
        <v>1</v>
      </c>
      <c r="AO178" t="s">
        <v>2592</v>
      </c>
      <c r="AP178" t="s">
        <v>1</v>
      </c>
      <c r="AQ178" t="s">
        <v>2</v>
      </c>
      <c r="AR178" t="s">
        <v>3</v>
      </c>
      <c r="AS178" t="s">
        <v>3</v>
      </c>
      <c r="AT178" t="s">
        <v>3</v>
      </c>
      <c r="AU178" t="s">
        <v>3</v>
      </c>
      <c r="AV178" t="s">
        <v>3</v>
      </c>
      <c r="AW178" t="s">
        <v>11</v>
      </c>
      <c r="AX178">
        <f>Tabla1[[#This Row],[precio del paquete]]-Tabla1[[#This Row],[Saldo_Deudor]]</f>
        <v>1200</v>
      </c>
      <c r="AY178">
        <v>13600</v>
      </c>
      <c r="AZ178" t="s">
        <v>1</v>
      </c>
      <c r="BA178" t="s">
        <v>1</v>
      </c>
      <c r="BB178" t="s">
        <v>1</v>
      </c>
      <c r="BC178" t="s">
        <v>1398</v>
      </c>
      <c r="BD178" t="s">
        <v>3252</v>
      </c>
      <c r="BE178" t="s">
        <v>3</v>
      </c>
      <c r="BF178" t="s">
        <v>3</v>
      </c>
      <c r="BG178" t="s">
        <v>3</v>
      </c>
      <c r="BH178" t="s">
        <v>3</v>
      </c>
      <c r="BI178" t="s">
        <v>3</v>
      </c>
      <c r="BJ178" t="s">
        <v>3358</v>
      </c>
      <c r="BK178" t="s">
        <v>3</v>
      </c>
      <c r="BL178" t="s">
        <v>132</v>
      </c>
      <c r="BM178" t="s">
        <v>1</v>
      </c>
      <c r="BN178">
        <f>Tabla1[[#This Row],[precio del paquete]]</f>
        <v>14800</v>
      </c>
      <c r="BO178" t="s">
        <v>1</v>
      </c>
      <c r="BP178" t="s">
        <v>1</v>
      </c>
      <c r="BQ178" t="s">
        <v>1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0</v>
      </c>
      <c r="BX178" t="s">
        <v>1</v>
      </c>
      <c r="BY178" t="s">
        <v>1</v>
      </c>
      <c r="BZ178" t="s">
        <v>1</v>
      </c>
      <c r="CA178" t="s">
        <v>1</v>
      </c>
      <c r="CB178" t="s">
        <v>3382</v>
      </c>
      <c r="CD178" t="str" cm="1">
        <f t="array" aca="1" ref="CD178" ca="1">eConcatenar(A178:CB178,"|")</f>
        <v>VOiUIpW47tVRc1He|CAR2022-1008|3|MEMORIAL|TABASCO|CUNDUACAN|CUNDUACAN|2022-02-12|14800|0|100|50|0|0|0|0|0|0|0|0|0|0|0||0|0|0|TORRES|APARICIO|ANGEL|SOLTERO|X|X|CALLE NUEVA SIN NUMERO  |TULIPAN |X|9171212299|X|X|X|CALLE NUEVA SIN NUMERO  |X|LUNES|x|x|x|x|x|DOMICILIO |1200|13600|X|X|X|2022-02-12|2022-02-19|x|x|x|x|x|3O8PTA2AZPGA3HB|x|HOMBRE|X|14800|X|X|X|X|X|X|X|X|CARDENAS|X|X|X|X|FINAL</v>
      </c>
    </row>
    <row r="179" spans="1:82" x14ac:dyDescent="0.25">
      <c r="A179" t="s">
        <v>482</v>
      </c>
      <c r="B179" t="s">
        <v>483</v>
      </c>
      <c r="C179">
        <v>3</v>
      </c>
      <c r="D179" t="s">
        <v>1369</v>
      </c>
      <c r="E179" t="s">
        <v>1380</v>
      </c>
      <c r="F179" t="s">
        <v>1381</v>
      </c>
      <c r="G179" t="s">
        <v>1381</v>
      </c>
      <c r="H179" t="s">
        <v>1399</v>
      </c>
      <c r="I179">
        <v>14800</v>
      </c>
      <c r="J179">
        <v>0</v>
      </c>
      <c r="K179">
        <v>200</v>
      </c>
      <c r="L179">
        <v>50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Y179">
        <v>0</v>
      </c>
      <c r="Z179">
        <v>0</v>
      </c>
      <c r="AA179">
        <v>0</v>
      </c>
      <c r="AB179" t="s">
        <v>1761</v>
      </c>
      <c r="AC179" t="s">
        <v>1708</v>
      </c>
      <c r="AD179" s="18" t="s">
        <v>1956</v>
      </c>
      <c r="AE179" t="s">
        <v>4</v>
      </c>
      <c r="AF179" t="s">
        <v>1</v>
      </c>
      <c r="AG179" t="s">
        <v>1</v>
      </c>
      <c r="AH179" t="s">
        <v>2593</v>
      </c>
      <c r="AI179" t="s">
        <v>3049</v>
      </c>
      <c r="AJ179" t="s">
        <v>1</v>
      </c>
      <c r="AK179">
        <v>9141373959</v>
      </c>
      <c r="AL179" t="s">
        <v>1</v>
      </c>
      <c r="AM179" t="s">
        <v>1</v>
      </c>
      <c r="AN179" t="s">
        <v>1</v>
      </c>
      <c r="AO179" t="s">
        <v>2593</v>
      </c>
      <c r="AP179" t="s">
        <v>1</v>
      </c>
      <c r="AQ179" t="s">
        <v>2</v>
      </c>
      <c r="AR179" t="s">
        <v>3</v>
      </c>
      <c r="AS179" t="s">
        <v>3</v>
      </c>
      <c r="AT179" t="s">
        <v>3</v>
      </c>
      <c r="AU179" t="s">
        <v>3</v>
      </c>
      <c r="AV179" t="s">
        <v>3</v>
      </c>
      <c r="AW179" t="s">
        <v>11</v>
      </c>
      <c r="AX179">
        <f>Tabla1[[#This Row],[precio del paquete]]-Tabla1[[#This Row],[Saldo_Deudor]]</f>
        <v>200</v>
      </c>
      <c r="AY179">
        <v>14600</v>
      </c>
      <c r="AZ179" t="s">
        <v>1</v>
      </c>
      <c r="BA179" t="s">
        <v>1</v>
      </c>
      <c r="BB179" t="s">
        <v>1</v>
      </c>
      <c r="BC179" t="s">
        <v>1399</v>
      </c>
      <c r="BD179" t="s">
        <v>1407</v>
      </c>
      <c r="BE179" t="s">
        <v>3</v>
      </c>
      <c r="BF179" t="s">
        <v>3</v>
      </c>
      <c r="BG179" t="s">
        <v>3</v>
      </c>
      <c r="BH179" t="s">
        <v>3</v>
      </c>
      <c r="BI179" t="s">
        <v>3</v>
      </c>
      <c r="BJ179" t="s">
        <v>143</v>
      </c>
      <c r="BK179" t="s">
        <v>3</v>
      </c>
      <c r="BL179" t="s">
        <v>132</v>
      </c>
      <c r="BM179" t="s">
        <v>1</v>
      </c>
      <c r="BN179">
        <f>Tabla1[[#This Row],[precio del paquete]]</f>
        <v>14800</v>
      </c>
      <c r="BO179" t="s">
        <v>1</v>
      </c>
      <c r="BP179" t="s">
        <v>1</v>
      </c>
      <c r="BQ179" t="s">
        <v>1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0</v>
      </c>
      <c r="BX179" t="s">
        <v>1</v>
      </c>
      <c r="BY179" t="s">
        <v>1</v>
      </c>
      <c r="BZ179" t="s">
        <v>1</v>
      </c>
      <c r="CA179" t="s">
        <v>1</v>
      </c>
      <c r="CB179" t="s">
        <v>3382</v>
      </c>
      <c r="CD179" t="str" cm="1">
        <f t="array" aca="1" ref="CD179" ca="1">eConcatenar(A179:CB179,"|")</f>
        <v>7RYv4kzUkKmdU5Or|CAR2022-0885|3|MEMORIAL|TABASCO|CUNDUACAN|CUNDUACAN|2022-02-11|14800|0|200|50|1|0|0|0|0|0|0|0|0|0|0||0|0|0|CUSTODIO||JUAN|SOLTERO|X|X|CARRETERA AL PALMAR SIN NUMERO|PIEDRA SEGUNDA SECCION|X|9141373959|X|X|X|CARRETERA AL PALMAR SIN NUMERO|X|LUNES|x|x|x|x|x|DOMICILIO |200|14600|X|X|X|2022-02-11|2022-02-18|x|x|x|x|x|NL2E7OEHPWYUH7Y|x|HOMBRE|X|14800|X|X|X|X|X|X|X|X|CARDENAS|X|X|X|X|FINAL</v>
      </c>
    </row>
    <row r="180" spans="1:82" x14ac:dyDescent="0.25">
      <c r="A180" t="s">
        <v>484</v>
      </c>
      <c r="B180" t="s">
        <v>485</v>
      </c>
      <c r="C180">
        <v>3</v>
      </c>
      <c r="D180" t="s">
        <v>1369</v>
      </c>
      <c r="E180" t="s">
        <v>1380</v>
      </c>
      <c r="F180" t="s">
        <v>0</v>
      </c>
      <c r="G180" t="s">
        <v>0</v>
      </c>
      <c r="H180" t="s">
        <v>1398</v>
      </c>
      <c r="I180">
        <v>14800</v>
      </c>
      <c r="J180">
        <v>0</v>
      </c>
      <c r="K180">
        <v>500</v>
      </c>
      <c r="L180">
        <v>50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Y180">
        <v>0</v>
      </c>
      <c r="Z180">
        <v>0</v>
      </c>
      <c r="AA180">
        <v>0</v>
      </c>
      <c r="AB180" t="s">
        <v>1957</v>
      </c>
      <c r="AC180" t="s">
        <v>8</v>
      </c>
      <c r="AD180" s="18" t="s">
        <v>1958</v>
      </c>
      <c r="AE180" t="s">
        <v>4</v>
      </c>
      <c r="AF180" t="s">
        <v>1</v>
      </c>
      <c r="AG180" t="s">
        <v>1</v>
      </c>
      <c r="AH180" t="s">
        <v>2594</v>
      </c>
      <c r="AI180" t="s">
        <v>2794</v>
      </c>
      <c r="AJ180" t="s">
        <v>1</v>
      </c>
      <c r="AK180">
        <v>9373728733</v>
      </c>
      <c r="AL180" t="s">
        <v>1</v>
      </c>
      <c r="AM180" t="s">
        <v>1</v>
      </c>
      <c r="AN180" t="s">
        <v>1</v>
      </c>
      <c r="AO180" t="s">
        <v>2594</v>
      </c>
      <c r="AP180" t="s">
        <v>1</v>
      </c>
      <c r="AQ180" t="s">
        <v>2</v>
      </c>
      <c r="AR180" t="s">
        <v>3</v>
      </c>
      <c r="AS180" t="s">
        <v>3</v>
      </c>
      <c r="AT180" t="s">
        <v>3</v>
      </c>
      <c r="AU180" t="s">
        <v>3</v>
      </c>
      <c r="AV180" t="s">
        <v>3</v>
      </c>
      <c r="AW180" t="s">
        <v>11</v>
      </c>
      <c r="AX180">
        <f>Tabla1[[#This Row],[precio del paquete]]-Tabla1[[#This Row],[Saldo_Deudor]]</f>
        <v>500</v>
      </c>
      <c r="AY180">
        <v>14300</v>
      </c>
      <c r="AZ180" t="s">
        <v>1</v>
      </c>
      <c r="BA180" t="s">
        <v>1</v>
      </c>
      <c r="BB180" t="s">
        <v>1</v>
      </c>
      <c r="BC180" t="s">
        <v>1398</v>
      </c>
      <c r="BD180" t="s">
        <v>3252</v>
      </c>
      <c r="BE180" t="s">
        <v>3</v>
      </c>
      <c r="BF180" t="s">
        <v>3</v>
      </c>
      <c r="BG180" t="s">
        <v>3</v>
      </c>
      <c r="BH180" t="s">
        <v>3</v>
      </c>
      <c r="BI180" t="s">
        <v>3</v>
      </c>
      <c r="BJ180" t="s">
        <v>3362</v>
      </c>
      <c r="BK180" t="s">
        <v>3</v>
      </c>
      <c r="BL180" t="s">
        <v>132</v>
      </c>
      <c r="BM180" t="s">
        <v>1</v>
      </c>
      <c r="BN180">
        <f>Tabla1[[#This Row],[precio del paquete]]</f>
        <v>14800</v>
      </c>
      <c r="BO180" t="s">
        <v>1</v>
      </c>
      <c r="BP180" t="s">
        <v>1</v>
      </c>
      <c r="BQ180" t="s">
        <v>1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0</v>
      </c>
      <c r="BX180" t="s">
        <v>1</v>
      </c>
      <c r="BY180" t="s">
        <v>1</v>
      </c>
      <c r="BZ180" t="s">
        <v>1</v>
      </c>
      <c r="CA180" t="s">
        <v>1</v>
      </c>
      <c r="CB180" t="s">
        <v>3382</v>
      </c>
      <c r="CD180" t="str" cm="1">
        <f t="array" aca="1" ref="CD180" ca="1">eConcatenar(A180:CB180,"|")</f>
        <v>T2oJzJlEsdPyGsYw|CAR2022-0897|3|MEMORIAL|TABASCO|CARDENAS|CARDENAS|2022-02-12|14800|0|500|50|0|0|0|0|0|0|0|0|0|0|0||0|0|0|NEGRON|GOMEZ|PETRA|SOLTERO|X|X|CARRETERA PRINCIPAL|CALZADA PRIMERA SECCION|X|9373728733|X|X|X|CARRETERA PRINCIPAL|X|LUNES|x|x|x|x|x|DOMICILIO |500|14300|X|X|X|2022-02-12|2022-02-19|x|x|x|x|x|QX002LYO9KVTQO|x|HOMBRE|X|14800|X|X|X|X|X|X|X|X|CARDENAS|X|X|X|X|FINAL</v>
      </c>
    </row>
    <row r="181" spans="1:82" x14ac:dyDescent="0.25">
      <c r="A181" t="s">
        <v>486</v>
      </c>
      <c r="B181" t="s">
        <v>487</v>
      </c>
      <c r="C181">
        <v>3</v>
      </c>
      <c r="D181" t="s">
        <v>1369</v>
      </c>
      <c r="E181" t="s">
        <v>1380</v>
      </c>
      <c r="F181" t="s">
        <v>1381</v>
      </c>
      <c r="G181" t="s">
        <v>1381</v>
      </c>
      <c r="H181" t="s">
        <v>1398</v>
      </c>
      <c r="I181">
        <v>14800</v>
      </c>
      <c r="J181">
        <v>0</v>
      </c>
      <c r="K181">
        <v>400</v>
      </c>
      <c r="L181">
        <v>50</v>
      </c>
      <c r="M181">
        <v>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Y181">
        <v>0</v>
      </c>
      <c r="Z181">
        <v>0</v>
      </c>
      <c r="AA181">
        <v>0</v>
      </c>
      <c r="AB181" t="s">
        <v>1959</v>
      </c>
      <c r="AC181" t="s">
        <v>1960</v>
      </c>
      <c r="AD181" s="18" t="s">
        <v>1726</v>
      </c>
      <c r="AE181" t="s">
        <v>4</v>
      </c>
      <c r="AF181" t="s">
        <v>1</v>
      </c>
      <c r="AG181" t="s">
        <v>1</v>
      </c>
      <c r="AH181" t="s">
        <v>2595</v>
      </c>
      <c r="AI181" t="s">
        <v>3050</v>
      </c>
      <c r="AJ181" t="s">
        <v>1</v>
      </c>
      <c r="AK181">
        <v>9931054073</v>
      </c>
      <c r="AL181" t="s">
        <v>1</v>
      </c>
      <c r="AM181" t="s">
        <v>1</v>
      </c>
      <c r="AN181" t="s">
        <v>1</v>
      </c>
      <c r="AO181" t="s">
        <v>2595</v>
      </c>
      <c r="AP181" t="s">
        <v>1</v>
      </c>
      <c r="AQ181" t="s">
        <v>2</v>
      </c>
      <c r="AR181" t="s">
        <v>3</v>
      </c>
      <c r="AS181" t="s">
        <v>3</v>
      </c>
      <c r="AT181" t="s">
        <v>3</v>
      </c>
      <c r="AU181" t="s">
        <v>3</v>
      </c>
      <c r="AV181" t="s">
        <v>3</v>
      </c>
      <c r="AW181" t="s">
        <v>11</v>
      </c>
      <c r="AX181">
        <f>Tabla1[[#This Row],[precio del paquete]]-Tabla1[[#This Row],[Saldo_Deudor]]</f>
        <v>400</v>
      </c>
      <c r="AY181">
        <v>14400</v>
      </c>
      <c r="AZ181" t="s">
        <v>1</v>
      </c>
      <c r="BA181" t="s">
        <v>1</v>
      </c>
      <c r="BB181" t="s">
        <v>1</v>
      </c>
      <c r="BC181" t="s">
        <v>1398</v>
      </c>
      <c r="BD181" t="s">
        <v>3252</v>
      </c>
      <c r="BE181" t="s">
        <v>3</v>
      </c>
      <c r="BF181" t="s">
        <v>3</v>
      </c>
      <c r="BG181" t="s">
        <v>3</v>
      </c>
      <c r="BH181" t="s">
        <v>3</v>
      </c>
      <c r="BI181" t="s">
        <v>3</v>
      </c>
      <c r="BJ181" t="s">
        <v>3372</v>
      </c>
      <c r="BK181" t="s">
        <v>3</v>
      </c>
      <c r="BL181" t="s">
        <v>132</v>
      </c>
      <c r="BM181" t="s">
        <v>1</v>
      </c>
      <c r="BN181">
        <f>Tabla1[[#This Row],[precio del paquete]]</f>
        <v>14800</v>
      </c>
      <c r="BO181" t="s">
        <v>1</v>
      </c>
      <c r="BP181" t="s">
        <v>1</v>
      </c>
      <c r="BQ181" t="s">
        <v>1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0</v>
      </c>
      <c r="BX181" t="s">
        <v>1</v>
      </c>
      <c r="BY181" t="s">
        <v>1</v>
      </c>
      <c r="BZ181" t="s">
        <v>1</v>
      </c>
      <c r="CA181" t="s">
        <v>1</v>
      </c>
      <c r="CB181" t="s">
        <v>3382</v>
      </c>
      <c r="CD181" t="str" cm="1">
        <f t="array" aca="1" ref="CD181" ca="1">eConcatenar(A181:CB181,"|")</f>
        <v>j2txMk7wtnE62Pg7|CAR2022-1007|3|MEMORIAL|TABASCO|CUNDUACAN|CUNDUACAN|2022-02-12|14800|0|400|50|2|0|0|0|0|0|0|0|0|0|0||0|0|0|DE LA ROSA|CALDERON|ABEL|SOLTERO|X|X|CALLE DEL CAMPO SIN NUMERO|LA LUCHA|X|9931054073|X|X|X|CALLE DEL CAMPO SIN NUMERO|X|LUNES|x|x|x|x|x|DOMICILIO |400|14400|X|X|X|2022-02-12|2022-02-19|x|x|x|x|x|2I10NYNXIAWALFA|x|HOMBRE|X|14800|X|X|X|X|X|X|X|X|CARDENAS|X|X|X|X|FINAL</v>
      </c>
    </row>
    <row r="182" spans="1:82" x14ac:dyDescent="0.25">
      <c r="A182" t="s">
        <v>488</v>
      </c>
      <c r="B182" t="s">
        <v>489</v>
      </c>
      <c r="C182">
        <v>3</v>
      </c>
      <c r="D182" t="s">
        <v>1369</v>
      </c>
      <c r="E182" t="s">
        <v>1380</v>
      </c>
      <c r="F182" t="s">
        <v>1381</v>
      </c>
      <c r="G182" t="s">
        <v>1381</v>
      </c>
      <c r="H182" t="s">
        <v>1398</v>
      </c>
      <c r="I182">
        <v>14800</v>
      </c>
      <c r="J182">
        <v>0</v>
      </c>
      <c r="K182">
        <v>100</v>
      </c>
      <c r="L182">
        <v>50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Y182">
        <v>0</v>
      </c>
      <c r="Z182">
        <v>0</v>
      </c>
      <c r="AA182">
        <v>0</v>
      </c>
      <c r="AB182" t="s">
        <v>1917</v>
      </c>
      <c r="AC182" t="s">
        <v>1961</v>
      </c>
      <c r="AD182" s="18" t="s">
        <v>1962</v>
      </c>
      <c r="AE182" t="s">
        <v>4</v>
      </c>
      <c r="AF182" t="s">
        <v>1</v>
      </c>
      <c r="AG182" t="s">
        <v>1</v>
      </c>
      <c r="AH182" t="s">
        <v>2592</v>
      </c>
      <c r="AI182" t="s">
        <v>3044</v>
      </c>
      <c r="AJ182" t="s">
        <v>1</v>
      </c>
      <c r="AK182">
        <v>9932209162</v>
      </c>
      <c r="AL182" t="s">
        <v>1</v>
      </c>
      <c r="AM182" t="s">
        <v>1</v>
      </c>
      <c r="AN182" t="s">
        <v>1</v>
      </c>
      <c r="AO182" t="s">
        <v>2592</v>
      </c>
      <c r="AP182" t="s">
        <v>1</v>
      </c>
      <c r="AQ182" t="s">
        <v>2</v>
      </c>
      <c r="AR182" t="s">
        <v>3</v>
      </c>
      <c r="AS182" t="s">
        <v>3</v>
      </c>
      <c r="AT182" t="s">
        <v>3</v>
      </c>
      <c r="AU182" t="s">
        <v>3</v>
      </c>
      <c r="AV182" t="s">
        <v>3</v>
      </c>
      <c r="AW182" t="s">
        <v>11</v>
      </c>
      <c r="AX182">
        <f>Tabla1[[#This Row],[precio del paquete]]-Tabla1[[#This Row],[Saldo_Deudor]]</f>
        <v>100</v>
      </c>
      <c r="AY182">
        <v>14700</v>
      </c>
      <c r="AZ182" t="s">
        <v>1</v>
      </c>
      <c r="BA182" t="s">
        <v>1</v>
      </c>
      <c r="BB182" t="s">
        <v>1</v>
      </c>
      <c r="BC182" t="s">
        <v>1398</v>
      </c>
      <c r="BD182" t="s">
        <v>3252</v>
      </c>
      <c r="BE182" t="s">
        <v>3</v>
      </c>
      <c r="BF182" t="s">
        <v>3</v>
      </c>
      <c r="BG182" t="s">
        <v>3</v>
      </c>
      <c r="BH182" t="s">
        <v>3</v>
      </c>
      <c r="BI182" t="s">
        <v>3</v>
      </c>
      <c r="BJ182" t="s">
        <v>3358</v>
      </c>
      <c r="BK182" t="s">
        <v>3</v>
      </c>
      <c r="BL182" t="s">
        <v>132</v>
      </c>
      <c r="BM182" t="s">
        <v>1</v>
      </c>
      <c r="BN182">
        <f>Tabla1[[#This Row],[precio del paquete]]</f>
        <v>14800</v>
      </c>
      <c r="BO182" t="s">
        <v>1</v>
      </c>
      <c r="BP182" t="s">
        <v>1</v>
      </c>
      <c r="BQ182" t="s">
        <v>1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0</v>
      </c>
      <c r="BX182" t="s">
        <v>1</v>
      </c>
      <c r="BY182" t="s">
        <v>1</v>
      </c>
      <c r="BZ182" t="s">
        <v>1</v>
      </c>
      <c r="CA182" t="s">
        <v>1</v>
      </c>
      <c r="CB182" t="s">
        <v>3382</v>
      </c>
      <c r="CD182" t="str" cm="1">
        <f t="array" aca="1" ref="CD182" ca="1">eConcatenar(A182:CB182,"|")</f>
        <v>co4DpzQjOJF2ELTy|CAR2022-1006|3|MEMORIAL|TABASCO|CUNDUACAN|CUNDUACAN|2022-02-12|14800|0|100|50|0|0|0|0|0|0|0|0|0|0|0||0|0|0|VERA|QUEN|MARIA ELENA|SOLTERO|X|X|CALLE NUEVA SIN NUMERO  |TULIPAN |X|9932209162|X|X|X|CALLE NUEVA SIN NUMERO  |X|LUNES|x|x|x|x|x|DOMICILIO |100|14700|X|X|X|2022-02-12|2022-02-19|x|x|x|x|x|3O8PTA2AZPGA3HB|x|HOMBRE|X|14800|X|X|X|X|X|X|X|X|CARDENAS|X|X|X|X|FINAL</v>
      </c>
    </row>
    <row r="183" spans="1:82" x14ac:dyDescent="0.25">
      <c r="A183" t="s">
        <v>490</v>
      </c>
      <c r="B183" t="s">
        <v>491</v>
      </c>
      <c r="C183">
        <v>3</v>
      </c>
      <c r="D183" t="s">
        <v>1369</v>
      </c>
      <c r="E183" t="s">
        <v>1380</v>
      </c>
      <c r="F183" t="s">
        <v>1381</v>
      </c>
      <c r="G183" t="s">
        <v>1381</v>
      </c>
      <c r="H183" t="s">
        <v>1398</v>
      </c>
      <c r="I183">
        <v>14800</v>
      </c>
      <c r="J183">
        <v>0</v>
      </c>
      <c r="K183">
        <v>100</v>
      </c>
      <c r="L183">
        <v>50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Y183">
        <v>0</v>
      </c>
      <c r="Z183">
        <v>0</v>
      </c>
      <c r="AA183">
        <v>0</v>
      </c>
      <c r="AB183" t="s">
        <v>1963</v>
      </c>
      <c r="AC183" t="s">
        <v>1708</v>
      </c>
      <c r="AD183" s="18" t="s">
        <v>1964</v>
      </c>
      <c r="AE183" t="s">
        <v>4</v>
      </c>
      <c r="AF183" t="s">
        <v>1</v>
      </c>
      <c r="AG183" t="s">
        <v>1</v>
      </c>
      <c r="AH183" t="s">
        <v>2596</v>
      </c>
      <c r="AI183" t="s">
        <v>3044</v>
      </c>
      <c r="AJ183" t="s">
        <v>1</v>
      </c>
      <c r="AK183">
        <v>9141191475</v>
      </c>
      <c r="AL183" t="s">
        <v>1</v>
      </c>
      <c r="AM183" t="s">
        <v>1</v>
      </c>
      <c r="AN183" t="s">
        <v>1</v>
      </c>
      <c r="AO183" t="s">
        <v>2596</v>
      </c>
      <c r="AP183" t="s">
        <v>1</v>
      </c>
      <c r="AQ183" t="s">
        <v>2</v>
      </c>
      <c r="AR183" t="s">
        <v>3</v>
      </c>
      <c r="AS183" t="s">
        <v>3</v>
      </c>
      <c r="AT183" t="s">
        <v>3</v>
      </c>
      <c r="AU183" t="s">
        <v>3</v>
      </c>
      <c r="AV183" t="s">
        <v>3</v>
      </c>
      <c r="AW183" t="s">
        <v>11</v>
      </c>
      <c r="AX183">
        <f>Tabla1[[#This Row],[precio del paquete]]-Tabla1[[#This Row],[Saldo_Deudor]]</f>
        <v>100</v>
      </c>
      <c r="AY183">
        <v>14700</v>
      </c>
      <c r="AZ183" t="s">
        <v>1</v>
      </c>
      <c r="BA183" t="s">
        <v>1</v>
      </c>
      <c r="BB183" t="s">
        <v>1</v>
      </c>
      <c r="BC183" t="s">
        <v>1398</v>
      </c>
      <c r="BD183" t="s">
        <v>3252</v>
      </c>
      <c r="BE183" t="s">
        <v>3</v>
      </c>
      <c r="BF183" t="s">
        <v>3</v>
      </c>
      <c r="BG183" t="s">
        <v>3</v>
      </c>
      <c r="BH183" t="s">
        <v>3</v>
      </c>
      <c r="BI183" t="s">
        <v>3</v>
      </c>
      <c r="BJ183" t="s">
        <v>3351</v>
      </c>
      <c r="BK183" t="s">
        <v>3</v>
      </c>
      <c r="BL183" t="s">
        <v>132</v>
      </c>
      <c r="BM183" t="s">
        <v>1</v>
      </c>
      <c r="BN183">
        <f>Tabla1[[#This Row],[precio del paquete]]</f>
        <v>14800</v>
      </c>
      <c r="BO183" t="s">
        <v>1</v>
      </c>
      <c r="BP183" t="s">
        <v>1</v>
      </c>
      <c r="BQ183" t="s">
        <v>1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0</v>
      </c>
      <c r="BX183" t="s">
        <v>1</v>
      </c>
      <c r="BY183" t="s">
        <v>1</v>
      </c>
      <c r="BZ183" t="s">
        <v>1</v>
      </c>
      <c r="CA183" t="s">
        <v>1</v>
      </c>
      <c r="CB183" t="s">
        <v>3382</v>
      </c>
      <c r="CD183" t="str" cm="1">
        <f t="array" aca="1" ref="CD183" ca="1">eConcatenar(A183:CB183,"|")</f>
        <v>GWdPNs4dNRmtMImb|CAR2022-1003|3|MEMORIAL|TABASCO|CUNDUACAN|CUNDUACAN|2022-02-12|14800|0|100|50|2|0|0|0|0|0|0|0|0|0|0||0|0|0|HERRERA||ROSALIA OLIVE|SOLTERO|X|X|CARRETERA FEDERAL CARDENAS-COMALCALCO SIN NUMERO|TULIPAN |X|9141191475|X|X|X|CARRETERA FEDERAL CARDENAS-COMALCALCO SIN NUMERO|X|LUNES|x|x|x|x|x|DOMICILIO |100|14700|X|X|X|2022-02-12|2022-02-19|x|x|x|x|x|QWZHGJ0U9KVTQO|x|HOMBRE|X|14800|X|X|X|X|X|X|X|X|CARDENAS|X|X|X|X|FINAL</v>
      </c>
    </row>
    <row r="184" spans="1:82" x14ac:dyDescent="0.25">
      <c r="A184" t="s">
        <v>492</v>
      </c>
      <c r="B184" t="s">
        <v>493</v>
      </c>
      <c r="C184">
        <v>3</v>
      </c>
      <c r="D184" t="s">
        <v>1369</v>
      </c>
      <c r="E184" t="s">
        <v>1380</v>
      </c>
      <c r="F184" t="s">
        <v>1381</v>
      </c>
      <c r="G184" t="s">
        <v>1381</v>
      </c>
      <c r="H184" t="s">
        <v>1398</v>
      </c>
      <c r="I184">
        <v>14800</v>
      </c>
      <c r="J184">
        <v>0</v>
      </c>
      <c r="K184">
        <v>100</v>
      </c>
      <c r="L184">
        <v>50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Y184">
        <v>0</v>
      </c>
      <c r="Z184">
        <v>0</v>
      </c>
      <c r="AA184">
        <v>0</v>
      </c>
      <c r="AB184" t="s">
        <v>1711</v>
      </c>
      <c r="AC184" t="s">
        <v>1758</v>
      </c>
      <c r="AD184" s="18" t="s">
        <v>1965</v>
      </c>
      <c r="AE184" t="s">
        <v>4</v>
      </c>
      <c r="AF184" t="s">
        <v>1</v>
      </c>
      <c r="AG184" t="s">
        <v>1</v>
      </c>
      <c r="AH184" t="s">
        <v>2597</v>
      </c>
      <c r="AI184" t="s">
        <v>3051</v>
      </c>
      <c r="AJ184" t="s">
        <v>1</v>
      </c>
      <c r="AK184">
        <v>9981340388</v>
      </c>
      <c r="AL184" t="s">
        <v>1</v>
      </c>
      <c r="AM184" t="s">
        <v>1</v>
      </c>
      <c r="AN184" t="s">
        <v>1</v>
      </c>
      <c r="AO184" t="s">
        <v>2597</v>
      </c>
      <c r="AP184" t="s">
        <v>1</v>
      </c>
      <c r="AQ184" t="s">
        <v>2</v>
      </c>
      <c r="AR184" t="s">
        <v>3</v>
      </c>
      <c r="AS184" t="s">
        <v>3</v>
      </c>
      <c r="AT184" t="s">
        <v>3</v>
      </c>
      <c r="AU184" t="s">
        <v>3</v>
      </c>
      <c r="AV184" t="s">
        <v>3</v>
      </c>
      <c r="AW184" t="s">
        <v>11</v>
      </c>
      <c r="AX184">
        <f>Tabla1[[#This Row],[precio del paquete]]-Tabla1[[#This Row],[Saldo_Deudor]]</f>
        <v>5700</v>
      </c>
      <c r="AY184">
        <v>9100</v>
      </c>
      <c r="AZ184" t="s">
        <v>1</v>
      </c>
      <c r="BA184" t="s">
        <v>1</v>
      </c>
      <c r="BB184" t="s">
        <v>1</v>
      </c>
      <c r="BC184" t="s">
        <v>1398</v>
      </c>
      <c r="BD184" t="s">
        <v>3252</v>
      </c>
      <c r="BE184" t="s">
        <v>3</v>
      </c>
      <c r="BF184" t="s">
        <v>3</v>
      </c>
      <c r="BG184" t="s">
        <v>3</v>
      </c>
      <c r="BH184" t="s">
        <v>3</v>
      </c>
      <c r="BI184" t="s">
        <v>3</v>
      </c>
      <c r="BJ184" t="s">
        <v>3351</v>
      </c>
      <c r="BK184" t="s">
        <v>3</v>
      </c>
      <c r="BL184" t="s">
        <v>132</v>
      </c>
      <c r="BM184" t="s">
        <v>1</v>
      </c>
      <c r="BN184">
        <f>Tabla1[[#This Row],[precio del paquete]]</f>
        <v>14800</v>
      </c>
      <c r="BO184" t="s">
        <v>1</v>
      </c>
      <c r="BP184" t="s">
        <v>1</v>
      </c>
      <c r="BQ184" t="s">
        <v>1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0</v>
      </c>
      <c r="BX184" t="s">
        <v>1</v>
      </c>
      <c r="BY184" t="s">
        <v>1</v>
      </c>
      <c r="BZ184" t="s">
        <v>1</v>
      </c>
      <c r="CA184" t="s">
        <v>1</v>
      </c>
      <c r="CB184" t="s">
        <v>3382</v>
      </c>
      <c r="CD184" t="str" cm="1">
        <f t="array" aca="1" ref="CD184" ca="1">eConcatenar(A184:CB184,"|")</f>
        <v>FowBOPfOojoyndNC|CAR2022-0899|3|MEMORIAL|TABASCO|CUNDUACAN|CUNDUACAN|2022-02-12|14800|0|100|50|2|0|0|0|0|0|0|0|0|0|0||0|0|0|HERNANDEZ|ARIAS|JULIAN|SOLTERO|X|X|CARRETERA CARDENAS A TULIPAN SIN NUMERO|TIERRA Y LIBERATD|X|9981340388|X|X|X|CARRETERA CARDENAS A TULIPAN SIN NUMERO|X|LUNES|x|x|x|x|x|DOMICILIO |5700|9100|X|X|X|2022-02-12|2022-02-19|x|x|x|x|x|QWZHGJ0U9KVTQO|x|HOMBRE|X|14800|X|X|X|X|X|X|X|X|CARDENAS|X|X|X|X|FINAL</v>
      </c>
    </row>
    <row r="185" spans="1:82" x14ac:dyDescent="0.25">
      <c r="A185" t="s">
        <v>494</v>
      </c>
      <c r="B185" t="s">
        <v>495</v>
      </c>
      <c r="C185">
        <v>3</v>
      </c>
      <c r="D185" t="s">
        <v>1369</v>
      </c>
      <c r="E185" t="s">
        <v>1380</v>
      </c>
      <c r="F185" t="s">
        <v>0</v>
      </c>
      <c r="G185" t="s">
        <v>0</v>
      </c>
      <c r="H185" t="s">
        <v>1401</v>
      </c>
      <c r="I185">
        <v>14800</v>
      </c>
      <c r="J185">
        <v>0</v>
      </c>
      <c r="K185">
        <v>100</v>
      </c>
      <c r="L185">
        <v>50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Y185">
        <v>0</v>
      </c>
      <c r="Z185">
        <v>0</v>
      </c>
      <c r="AA185">
        <v>0</v>
      </c>
      <c r="AB185" t="s">
        <v>1744</v>
      </c>
      <c r="AC185" t="s">
        <v>1812</v>
      </c>
      <c r="AD185" s="18" t="s">
        <v>1860</v>
      </c>
      <c r="AE185" t="s">
        <v>4</v>
      </c>
      <c r="AF185" t="s">
        <v>1</v>
      </c>
      <c r="AG185" t="s">
        <v>1</v>
      </c>
      <c r="AH185" t="s">
        <v>2598</v>
      </c>
      <c r="AI185" t="s">
        <v>3052</v>
      </c>
      <c r="AJ185" t="s">
        <v>1</v>
      </c>
      <c r="AK185">
        <v>9371050103</v>
      </c>
      <c r="AL185" t="s">
        <v>1</v>
      </c>
      <c r="AM185" t="s">
        <v>1</v>
      </c>
      <c r="AN185" t="s">
        <v>1</v>
      </c>
      <c r="AO185" t="s">
        <v>2598</v>
      </c>
      <c r="AP185" t="s">
        <v>1</v>
      </c>
      <c r="AQ185" t="s">
        <v>2</v>
      </c>
      <c r="AR185" t="s">
        <v>3</v>
      </c>
      <c r="AS185" t="s">
        <v>3</v>
      </c>
      <c r="AT185" t="s">
        <v>3</v>
      </c>
      <c r="AU185" t="s">
        <v>3</v>
      </c>
      <c r="AV185" t="s">
        <v>3</v>
      </c>
      <c r="AW185" t="s">
        <v>11</v>
      </c>
      <c r="AX185">
        <f>Tabla1[[#This Row],[precio del paquete]]-Tabla1[[#This Row],[Saldo_Deudor]]</f>
        <v>14800</v>
      </c>
      <c r="AY185">
        <v>0</v>
      </c>
      <c r="AZ185" t="s">
        <v>1</v>
      </c>
      <c r="BA185" t="s">
        <v>1</v>
      </c>
      <c r="BB185" t="s">
        <v>1</v>
      </c>
      <c r="BC185" t="s">
        <v>3251</v>
      </c>
      <c r="BD185" t="s">
        <v>3309</v>
      </c>
      <c r="BE185" t="s">
        <v>3</v>
      </c>
      <c r="BF185" t="s">
        <v>3</v>
      </c>
      <c r="BG185" t="s">
        <v>3</v>
      </c>
      <c r="BH185" t="s">
        <v>3</v>
      </c>
      <c r="BI185" t="s">
        <v>3</v>
      </c>
      <c r="BJ185" t="s">
        <v>3369</v>
      </c>
      <c r="BK185" t="s">
        <v>3</v>
      </c>
      <c r="BL185" t="s">
        <v>132</v>
      </c>
      <c r="BM185" t="s">
        <v>1</v>
      </c>
      <c r="BN185">
        <f>Tabla1[[#This Row],[precio del paquete]]</f>
        <v>14800</v>
      </c>
      <c r="BO185" t="s">
        <v>1</v>
      </c>
      <c r="BP185" t="s">
        <v>1</v>
      </c>
      <c r="BQ185" t="s">
        <v>1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0</v>
      </c>
      <c r="BX185" t="s">
        <v>1</v>
      </c>
      <c r="BY185" t="s">
        <v>1</v>
      </c>
      <c r="BZ185" t="s">
        <v>1</v>
      </c>
      <c r="CA185" t="s">
        <v>1</v>
      </c>
      <c r="CB185" t="s">
        <v>3382</v>
      </c>
      <c r="CD185" t="str" cm="1">
        <f t="array" aca="1" ref="CD185" ca="1">eConcatenar(A185:CB185,"|")</f>
        <v>dHY2AXzQezJmmYYH|CAR20210849|3|MEMORIAL|TABASCO|CARDENAS|CARDENAS|2022-02-09|14800|0|100|50|0|0|0|0|0|0|0|0|0|0|0||0|0|0|PEREZ|SANCHEZ|ORLANDONI|SOLTERO|X|X|CALLEJON DE ACCESO NUMERO 5 |COLONIA OBRERA|X|9371050103|X|X|X|CALLEJON DE ACCESO NUMERO 5 |X|LUNES|x|x|x|x|x|DOMICILIO |14800|0|X|X|X|2022-02-22|2022-03-01|x|x|x|x|x|QWYNRBIY9KVZQO|x|HOMBRE|X|14800|X|X|X|X|X|X|X|X|CARDENAS|X|X|X|X|FINAL</v>
      </c>
    </row>
    <row r="186" spans="1:82" x14ac:dyDescent="0.25">
      <c r="A186" t="s">
        <v>496</v>
      </c>
      <c r="B186" t="s">
        <v>413</v>
      </c>
      <c r="C186">
        <v>3</v>
      </c>
      <c r="D186" t="s">
        <v>1369</v>
      </c>
      <c r="E186" t="s">
        <v>1380</v>
      </c>
      <c r="F186" t="s">
        <v>0</v>
      </c>
      <c r="G186" t="s">
        <v>0</v>
      </c>
      <c r="H186" t="s">
        <v>1388</v>
      </c>
      <c r="I186">
        <v>14800</v>
      </c>
      <c r="J186">
        <v>0</v>
      </c>
      <c r="K186">
        <v>100</v>
      </c>
      <c r="L186">
        <v>50</v>
      </c>
      <c r="M186">
        <v>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Y186">
        <v>0</v>
      </c>
      <c r="Z186">
        <v>0</v>
      </c>
      <c r="AA186">
        <v>0</v>
      </c>
      <c r="AB186" t="s">
        <v>1921</v>
      </c>
      <c r="AC186" t="s">
        <v>1919</v>
      </c>
      <c r="AD186" s="18" t="s">
        <v>1922</v>
      </c>
      <c r="AE186" t="s">
        <v>4</v>
      </c>
      <c r="AF186" t="s">
        <v>1</v>
      </c>
      <c r="AG186" t="s">
        <v>1</v>
      </c>
      <c r="AH186" t="s">
        <v>2599</v>
      </c>
      <c r="AI186" t="s">
        <v>3053</v>
      </c>
      <c r="AJ186" t="s">
        <v>1</v>
      </c>
      <c r="AK186">
        <v>9371261163</v>
      </c>
      <c r="AL186" t="s">
        <v>1</v>
      </c>
      <c r="AM186" t="s">
        <v>1</v>
      </c>
      <c r="AN186" t="s">
        <v>1</v>
      </c>
      <c r="AO186" t="s">
        <v>2599</v>
      </c>
      <c r="AP186" t="s">
        <v>1</v>
      </c>
      <c r="AQ186" t="s">
        <v>2</v>
      </c>
      <c r="AR186" t="s">
        <v>3</v>
      </c>
      <c r="AS186" t="s">
        <v>3</v>
      </c>
      <c r="AT186" t="s">
        <v>3</v>
      </c>
      <c r="AU186" t="s">
        <v>3</v>
      </c>
      <c r="AV186" t="s">
        <v>3</v>
      </c>
      <c r="AW186" t="s">
        <v>11</v>
      </c>
      <c r="AX186">
        <f>Tabla1[[#This Row],[precio del paquete]]-Tabla1[[#This Row],[Saldo_Deudor]]</f>
        <v>14800</v>
      </c>
      <c r="AY186">
        <v>0</v>
      </c>
      <c r="AZ186" t="s">
        <v>1</v>
      </c>
      <c r="BA186" t="s">
        <v>1</v>
      </c>
      <c r="BB186" t="s">
        <v>1</v>
      </c>
      <c r="BC186" t="s">
        <v>3251</v>
      </c>
      <c r="BD186" t="s">
        <v>3309</v>
      </c>
      <c r="BE186" t="s">
        <v>3</v>
      </c>
      <c r="BF186" t="s">
        <v>3</v>
      </c>
      <c r="BG186" t="s">
        <v>3</v>
      </c>
      <c r="BH186" t="s">
        <v>3</v>
      </c>
      <c r="BI186" t="s">
        <v>3</v>
      </c>
      <c r="BJ186" t="s">
        <v>3369</v>
      </c>
      <c r="BK186" t="s">
        <v>3</v>
      </c>
      <c r="BL186" t="s">
        <v>132</v>
      </c>
      <c r="BM186" t="s">
        <v>1</v>
      </c>
      <c r="BN186">
        <f>Tabla1[[#This Row],[precio del paquete]]</f>
        <v>14800</v>
      </c>
      <c r="BO186" t="s">
        <v>1</v>
      </c>
      <c r="BP186" t="s">
        <v>1</v>
      </c>
      <c r="BQ186" t="s">
        <v>1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0</v>
      </c>
      <c r="BX186" t="s">
        <v>1</v>
      </c>
      <c r="BY186" t="s">
        <v>1</v>
      </c>
      <c r="BZ186" t="s">
        <v>1</v>
      </c>
      <c r="CA186" t="s">
        <v>1</v>
      </c>
      <c r="CB186" t="s">
        <v>3382</v>
      </c>
      <c r="CD186" t="str" cm="1">
        <f t="array" aca="1" ref="CD186" ca="1">eConcatenar(A186:CB186,"|")</f>
        <v>cEqS3IzbN7E5evd4|CAR2022-0825|3|MEMORIAL|TABASCO|CARDENAS|CARDENAS|2022-02-05|14800|0|100|50|2|0|0|0|0|0|0|0|0|0|0||0|0|0|DEL RIO|RAMIREZ|GUADALUPE|SOLTERO|X|X|CALLE NARCISO MENDOZA NUMERO 22 |COLONIA SANTA MARIA GUADALUPE |X|9371261163|X|X|X|CALLE NARCISO MENDOZA NUMERO 22 |X|LUNES|x|x|x|x|x|DOMICILIO |14800|0|X|X|X|2022-02-22|2022-03-01|x|x|x|x|x|QWYNRBIY9KVZQO|x|HOMBRE|X|14800|X|X|X|X|X|X|X|X|CARDENAS|X|X|X|X|FINAL</v>
      </c>
    </row>
    <row r="187" spans="1:82" x14ac:dyDescent="0.25">
      <c r="A187" t="s">
        <v>497</v>
      </c>
      <c r="B187" t="s">
        <v>498</v>
      </c>
      <c r="C187">
        <v>3</v>
      </c>
      <c r="D187" t="s">
        <v>1371</v>
      </c>
      <c r="E187" t="s">
        <v>1380</v>
      </c>
      <c r="F187" t="s">
        <v>0</v>
      </c>
      <c r="G187" t="s">
        <v>0</v>
      </c>
      <c r="H187" t="s">
        <v>1408</v>
      </c>
      <c r="I187">
        <v>12900</v>
      </c>
      <c r="J187">
        <v>0</v>
      </c>
      <c r="K187">
        <v>100</v>
      </c>
      <c r="L187">
        <v>50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Y187">
        <v>0</v>
      </c>
      <c r="Z187">
        <v>0</v>
      </c>
      <c r="AA187">
        <v>0</v>
      </c>
      <c r="AB187" t="s">
        <v>1786</v>
      </c>
      <c r="AC187" t="s">
        <v>1783</v>
      </c>
      <c r="AD187" s="18" t="s">
        <v>1966</v>
      </c>
      <c r="AE187" t="s">
        <v>4</v>
      </c>
      <c r="AF187" t="s">
        <v>1</v>
      </c>
      <c r="AG187" t="s">
        <v>1</v>
      </c>
      <c r="AH187" t="s">
        <v>2600</v>
      </c>
      <c r="AI187" t="s">
        <v>2600</v>
      </c>
      <c r="AJ187" t="s">
        <v>1</v>
      </c>
      <c r="AK187">
        <v>9373771205</v>
      </c>
      <c r="AL187" t="s">
        <v>1</v>
      </c>
      <c r="AM187" t="s">
        <v>1</v>
      </c>
      <c r="AN187" t="s">
        <v>1</v>
      </c>
      <c r="AO187" t="s">
        <v>2600</v>
      </c>
      <c r="AP187" t="s">
        <v>1</v>
      </c>
      <c r="AQ187" t="s">
        <v>2</v>
      </c>
      <c r="AR187" t="s">
        <v>3</v>
      </c>
      <c r="AS187" t="s">
        <v>3</v>
      </c>
      <c r="AT187" t="s">
        <v>3</v>
      </c>
      <c r="AU187" t="s">
        <v>3</v>
      </c>
      <c r="AV187" t="s">
        <v>3</v>
      </c>
      <c r="AW187" t="s">
        <v>11</v>
      </c>
      <c r="AX187">
        <f>Tabla1[[#This Row],[precio del paquete]]-Tabla1[[#This Row],[Saldo_Deudor]]</f>
        <v>6150</v>
      </c>
      <c r="AY187">
        <v>6750</v>
      </c>
      <c r="AZ187" t="s">
        <v>1</v>
      </c>
      <c r="BA187" t="s">
        <v>1</v>
      </c>
      <c r="BB187" t="s">
        <v>1</v>
      </c>
      <c r="BC187" t="s">
        <v>3252</v>
      </c>
      <c r="BD187" t="s">
        <v>3310</v>
      </c>
      <c r="BE187" t="s">
        <v>3</v>
      </c>
      <c r="BF187" t="s">
        <v>3</v>
      </c>
      <c r="BG187" t="s">
        <v>3</v>
      </c>
      <c r="BH187" t="s">
        <v>3</v>
      </c>
      <c r="BI187" t="s">
        <v>3</v>
      </c>
      <c r="BJ187" t="s">
        <v>3361</v>
      </c>
      <c r="BK187" t="s">
        <v>3</v>
      </c>
      <c r="BL187" t="s">
        <v>132</v>
      </c>
      <c r="BM187" t="s">
        <v>1</v>
      </c>
      <c r="BN187">
        <f>Tabla1[[#This Row],[precio del paquete]]</f>
        <v>12900</v>
      </c>
      <c r="BO187" t="s">
        <v>1</v>
      </c>
      <c r="BP187" t="s">
        <v>1</v>
      </c>
      <c r="BQ187" t="s">
        <v>1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0</v>
      </c>
      <c r="BX187" t="s">
        <v>1</v>
      </c>
      <c r="BY187" t="s">
        <v>1</v>
      </c>
      <c r="BZ187" t="s">
        <v>1</v>
      </c>
      <c r="CA187" t="s">
        <v>1</v>
      </c>
      <c r="CB187" t="s">
        <v>3382</v>
      </c>
      <c r="CD187" t="str" cm="1">
        <f t="array" aca="1" ref="CD187" ca="1">eConcatenar(A187:CB187,"|")</f>
        <v>xYz1lXLgD4YkzQYp|CAR2019-3518|3|ECONOLINE|TABASCO|CARDENAS|CARDENAS|2019-11-16|12900|0|100|50|0|0|0|0|0|0|0|0|0|0|0||0|0|0|MARTINEZ|MENDEZ|MARIA DE LOS ANGELES|SOLTERO|X|X|COLONIA JACINTO LOPEZ|COLONIA JACINTO LOPEZ|X|9373771205|X|X|X|COLONIA JACINTO LOPEZ|X|LUNES|x|x|x|x|x|DOMICILIO |6150|6750|X|X|X|2022-02-19|2022-02-26|x|x|x|x|x|QXTXF5PY9KVTQO|x|HOMBRE|X|12900|X|X|X|X|X|X|X|X|CARDENAS|X|X|X|X|FINAL</v>
      </c>
    </row>
    <row r="188" spans="1:82" x14ac:dyDescent="0.25">
      <c r="A188" t="s">
        <v>499</v>
      </c>
      <c r="B188" t="s">
        <v>500</v>
      </c>
      <c r="C188">
        <v>3</v>
      </c>
      <c r="D188" t="s">
        <v>1371</v>
      </c>
      <c r="E188" t="s">
        <v>1380</v>
      </c>
      <c r="F188" t="s">
        <v>10</v>
      </c>
      <c r="G188" t="s">
        <v>10</v>
      </c>
      <c r="H188" t="s">
        <v>1409</v>
      </c>
      <c r="I188">
        <v>12900</v>
      </c>
      <c r="J188">
        <v>0</v>
      </c>
      <c r="K188">
        <v>100</v>
      </c>
      <c r="L188">
        <v>50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Y188">
        <v>0</v>
      </c>
      <c r="Z188">
        <v>0</v>
      </c>
      <c r="AA188">
        <v>0</v>
      </c>
      <c r="AB188" t="s">
        <v>1707</v>
      </c>
      <c r="AC188" t="s">
        <v>1769</v>
      </c>
      <c r="AD188" s="18" t="s">
        <v>1967</v>
      </c>
      <c r="AE188" t="s">
        <v>4</v>
      </c>
      <c r="AF188" t="s">
        <v>1</v>
      </c>
      <c r="AG188" t="s">
        <v>1</v>
      </c>
      <c r="AH188" t="s">
        <v>2601</v>
      </c>
      <c r="AI188" t="s">
        <v>3054</v>
      </c>
      <c r="AJ188" t="s">
        <v>1</v>
      </c>
      <c r="AK188">
        <v>9372034315</v>
      </c>
      <c r="AL188" t="s">
        <v>1</v>
      </c>
      <c r="AM188" t="s">
        <v>1</v>
      </c>
      <c r="AN188" t="s">
        <v>1</v>
      </c>
      <c r="AO188" t="s">
        <v>2601</v>
      </c>
      <c r="AP188" t="s">
        <v>1</v>
      </c>
      <c r="AQ188" t="s">
        <v>2</v>
      </c>
      <c r="AR188" t="s">
        <v>3</v>
      </c>
      <c r="AS188" t="s">
        <v>3</v>
      </c>
      <c r="AT188" t="s">
        <v>3</v>
      </c>
      <c r="AU188" t="s">
        <v>3</v>
      </c>
      <c r="AV188" t="s">
        <v>3</v>
      </c>
      <c r="AW188" t="s">
        <v>11</v>
      </c>
      <c r="AX188">
        <f>Tabla1[[#This Row],[precio del paquete]]-Tabla1[[#This Row],[Saldo_Deudor]]</f>
        <v>8400</v>
      </c>
      <c r="AY188">
        <v>4500</v>
      </c>
      <c r="AZ188" t="s">
        <v>1</v>
      </c>
      <c r="BA188" t="s">
        <v>1</v>
      </c>
      <c r="BB188" t="s">
        <v>1</v>
      </c>
      <c r="BC188" t="s">
        <v>3252</v>
      </c>
      <c r="BD188" t="s">
        <v>3310</v>
      </c>
      <c r="BE188" t="s">
        <v>3</v>
      </c>
      <c r="BF188" t="s">
        <v>3</v>
      </c>
      <c r="BG188" t="s">
        <v>3</v>
      </c>
      <c r="BH188" t="s">
        <v>3</v>
      </c>
      <c r="BI188" t="s">
        <v>3</v>
      </c>
      <c r="BJ188" t="s">
        <v>3361</v>
      </c>
      <c r="BK188" t="s">
        <v>3</v>
      </c>
      <c r="BL188" t="s">
        <v>132</v>
      </c>
      <c r="BM188" t="s">
        <v>1</v>
      </c>
      <c r="BN188">
        <f>Tabla1[[#This Row],[precio del paquete]]</f>
        <v>12900</v>
      </c>
      <c r="BO188" t="s">
        <v>1</v>
      </c>
      <c r="BP188" t="s">
        <v>1</v>
      </c>
      <c r="BQ188" t="s">
        <v>1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0</v>
      </c>
      <c r="BX188" t="s">
        <v>1</v>
      </c>
      <c r="BY188" t="s">
        <v>1</v>
      </c>
      <c r="BZ188" t="s">
        <v>1</v>
      </c>
      <c r="CA188" t="s">
        <v>1</v>
      </c>
      <c r="CB188" t="s">
        <v>3382</v>
      </c>
      <c r="CD188" t="str" cm="1">
        <f t="array" aca="1" ref="CD188" ca="1">eConcatenar(A188:CB188,"|")</f>
        <v>tqusfnLNtKDzIuVH|CAR2019-0849|3|ECONOLINE|TABASCO|CARDENAS |CARDENAS |2019-03-29|12900|0|100|50|0|0|0|0|0|0|0|0|0|0|0||0|0|0|OLAN|TORRES|YEDID|SOLTERO|X|X|PERIFERICO |CALZADA PRIMERA SECCION |X|9372034315|X|X|X|PERIFERICO |X|LUNES|x|x|x|x|x|DOMICILIO |8400|4500|X|X|X|2022-02-19|2022-02-26|x|x|x|x|x|QXTXF5PY9KVTQO|x|HOMBRE|X|12900|X|X|X|X|X|X|X|X|CARDENAS|X|X|X|X|FINAL</v>
      </c>
    </row>
    <row r="189" spans="1:82" x14ac:dyDescent="0.25">
      <c r="A189" t="s">
        <v>501</v>
      </c>
      <c r="B189" t="s">
        <v>502</v>
      </c>
      <c r="C189">
        <v>3</v>
      </c>
      <c r="D189" t="s">
        <v>1371</v>
      </c>
      <c r="E189" t="s">
        <v>1380</v>
      </c>
      <c r="F189" t="s">
        <v>0</v>
      </c>
      <c r="G189" t="s">
        <v>0</v>
      </c>
      <c r="H189" t="s">
        <v>1410</v>
      </c>
      <c r="I189">
        <v>12900</v>
      </c>
      <c r="J189">
        <v>0</v>
      </c>
      <c r="K189">
        <v>100</v>
      </c>
      <c r="L189">
        <v>50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Y189">
        <v>0</v>
      </c>
      <c r="Z189">
        <v>0</v>
      </c>
      <c r="AA189">
        <v>0</v>
      </c>
      <c r="AB189" t="s">
        <v>1968</v>
      </c>
      <c r="AC189" t="s">
        <v>7</v>
      </c>
      <c r="AD189" s="18" t="s">
        <v>1969</v>
      </c>
      <c r="AE189" t="s">
        <v>4</v>
      </c>
      <c r="AF189" t="s">
        <v>1</v>
      </c>
      <c r="AG189" t="s">
        <v>1</v>
      </c>
      <c r="AH189" t="s">
        <v>2602</v>
      </c>
      <c r="AI189" t="s">
        <v>3055</v>
      </c>
      <c r="AJ189" t="s">
        <v>1</v>
      </c>
      <c r="AK189">
        <v>9371166673</v>
      </c>
      <c r="AL189" t="s">
        <v>1</v>
      </c>
      <c r="AM189" t="s">
        <v>1</v>
      </c>
      <c r="AN189" t="s">
        <v>1</v>
      </c>
      <c r="AO189" t="s">
        <v>2602</v>
      </c>
      <c r="AP189" t="s">
        <v>1</v>
      </c>
      <c r="AQ189" t="s">
        <v>2</v>
      </c>
      <c r="AR189" t="s">
        <v>3</v>
      </c>
      <c r="AS189" t="s">
        <v>3</v>
      </c>
      <c r="AT189" t="s">
        <v>3</v>
      </c>
      <c r="AU189" t="s">
        <v>3</v>
      </c>
      <c r="AV189" t="s">
        <v>3</v>
      </c>
      <c r="AW189" t="s">
        <v>11</v>
      </c>
      <c r="AX189">
        <f>Tabla1[[#This Row],[precio del paquete]]-Tabla1[[#This Row],[Saldo_Deudor]]</f>
        <v>7700</v>
      </c>
      <c r="AY189">
        <v>5200</v>
      </c>
      <c r="AZ189" t="s">
        <v>1</v>
      </c>
      <c r="BA189" t="s">
        <v>1</v>
      </c>
      <c r="BB189" t="s">
        <v>1</v>
      </c>
      <c r="BC189" t="s">
        <v>3252</v>
      </c>
      <c r="BD189" t="s">
        <v>3310</v>
      </c>
      <c r="BE189" t="s">
        <v>3</v>
      </c>
      <c r="BF189" t="s">
        <v>3</v>
      </c>
      <c r="BG189" t="s">
        <v>3</v>
      </c>
      <c r="BH189" t="s">
        <v>3</v>
      </c>
      <c r="BI189" t="s">
        <v>3</v>
      </c>
      <c r="BJ189" t="s">
        <v>3361</v>
      </c>
      <c r="BK189" t="s">
        <v>3</v>
      </c>
      <c r="BL189" t="s">
        <v>132</v>
      </c>
      <c r="BM189" t="s">
        <v>1</v>
      </c>
      <c r="BN189">
        <f>Tabla1[[#This Row],[precio del paquete]]</f>
        <v>12900</v>
      </c>
      <c r="BO189" t="s">
        <v>1</v>
      </c>
      <c r="BP189" t="s">
        <v>1</v>
      </c>
      <c r="BQ189" t="s">
        <v>1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0</v>
      </c>
      <c r="BX189" t="s">
        <v>1</v>
      </c>
      <c r="BY189" t="s">
        <v>1</v>
      </c>
      <c r="BZ189" t="s">
        <v>1</v>
      </c>
      <c r="CA189" t="s">
        <v>1</v>
      </c>
      <c r="CB189" t="s">
        <v>3382</v>
      </c>
      <c r="CD189" t="str" cm="1">
        <f t="array" aca="1" ref="CD189" ca="1">eConcatenar(A189:CB189,"|")</f>
        <v>933fX5S4R5khpIu4|CAR2020-2290|3|ECONOLINE|TABASCO|CARDENAS|CARDENAS|2020-08-12|12900|0|100|50|0|0|0|0|0|0|0|0|0|0|0||0|0|0|BARRIENTOS|LOPEZ|CARLOS NICASIO|SOLTERO|X|X|CALLE NUMERO 1 LAZARO CARDENAS|COL ARROYO HONDO ABEJONAL |X|9371166673|X|X|X|CALLE NUMERO 1 LAZARO CARDENAS|X|LUNES|x|x|x|x|x|DOMICILIO |7700|5200|X|X|X|2022-02-19|2022-02-26|x|x|x|x|x|QXTXF5PY9KVTQO|x|HOMBRE|X|12900|X|X|X|X|X|X|X|X|CARDENAS|X|X|X|X|FINAL</v>
      </c>
    </row>
    <row r="190" spans="1:82" x14ac:dyDescent="0.25">
      <c r="A190" t="s">
        <v>503</v>
      </c>
      <c r="B190" t="s">
        <v>504</v>
      </c>
      <c r="C190">
        <v>3</v>
      </c>
      <c r="D190" t="s">
        <v>1372</v>
      </c>
      <c r="E190" t="s">
        <v>1380</v>
      </c>
      <c r="F190" t="s">
        <v>0</v>
      </c>
      <c r="G190" t="s">
        <v>0</v>
      </c>
      <c r="H190" t="s">
        <v>1411</v>
      </c>
      <c r="I190">
        <v>12900</v>
      </c>
      <c r="J190">
        <v>0</v>
      </c>
      <c r="K190">
        <v>100</v>
      </c>
      <c r="L190">
        <v>50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Y190">
        <v>0</v>
      </c>
      <c r="Z190">
        <v>0</v>
      </c>
      <c r="AA190">
        <v>0</v>
      </c>
      <c r="AB190" t="s">
        <v>1970</v>
      </c>
      <c r="AC190" t="s">
        <v>1895</v>
      </c>
      <c r="AD190" s="18" t="s">
        <v>1971</v>
      </c>
      <c r="AE190" t="s">
        <v>4</v>
      </c>
      <c r="AF190" t="s">
        <v>1</v>
      </c>
      <c r="AG190" t="s">
        <v>1</v>
      </c>
      <c r="AH190" t="s">
        <v>2603</v>
      </c>
      <c r="AI190" t="s">
        <v>3056</v>
      </c>
      <c r="AJ190" t="s">
        <v>1</v>
      </c>
      <c r="AK190">
        <v>9711738025</v>
      </c>
      <c r="AL190" t="s">
        <v>1</v>
      </c>
      <c r="AM190" t="s">
        <v>1</v>
      </c>
      <c r="AN190" t="s">
        <v>1</v>
      </c>
      <c r="AO190" t="s">
        <v>2603</v>
      </c>
      <c r="AP190" t="s">
        <v>1</v>
      </c>
      <c r="AQ190" t="s">
        <v>2</v>
      </c>
      <c r="AR190" t="s">
        <v>3</v>
      </c>
      <c r="AS190" t="s">
        <v>3</v>
      </c>
      <c r="AT190" t="s">
        <v>3</v>
      </c>
      <c r="AU190" t="s">
        <v>3</v>
      </c>
      <c r="AV190" t="s">
        <v>3</v>
      </c>
      <c r="AW190" t="s">
        <v>11</v>
      </c>
      <c r="AX190">
        <f>Tabla1[[#This Row],[precio del paquete]]-Tabla1[[#This Row],[Saldo_Deudor]]</f>
        <v>6300</v>
      </c>
      <c r="AY190">
        <v>6600</v>
      </c>
      <c r="AZ190" t="s">
        <v>1</v>
      </c>
      <c r="BA190" t="s">
        <v>1</v>
      </c>
      <c r="BB190" t="s">
        <v>1</v>
      </c>
      <c r="BC190" t="s">
        <v>3252</v>
      </c>
      <c r="BD190" t="s">
        <v>3310</v>
      </c>
      <c r="BE190" t="s">
        <v>3</v>
      </c>
      <c r="BF190" t="s">
        <v>3</v>
      </c>
      <c r="BG190" t="s">
        <v>3</v>
      </c>
      <c r="BH190" t="s">
        <v>3</v>
      </c>
      <c r="BI190" t="s">
        <v>3</v>
      </c>
      <c r="BJ190" t="s">
        <v>3361</v>
      </c>
      <c r="BK190" t="s">
        <v>3</v>
      </c>
      <c r="BL190" t="s">
        <v>132</v>
      </c>
      <c r="BM190" t="s">
        <v>1</v>
      </c>
      <c r="BN190">
        <f>Tabla1[[#This Row],[precio del paquete]]</f>
        <v>12900</v>
      </c>
      <c r="BO190" t="s">
        <v>1</v>
      </c>
      <c r="BP190" t="s">
        <v>1</v>
      </c>
      <c r="BQ190" t="s">
        <v>1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0</v>
      </c>
      <c r="BX190" t="s">
        <v>1</v>
      </c>
      <c r="BY190" t="s">
        <v>1</v>
      </c>
      <c r="BZ190" t="s">
        <v>1</v>
      </c>
      <c r="CA190" t="s">
        <v>1</v>
      </c>
      <c r="CB190" t="s">
        <v>3382</v>
      </c>
      <c r="CD190" t="str" cm="1">
        <f t="array" aca="1" ref="CD190" ca="1">eConcatenar(A190:CB190,"|")</f>
        <v>7op6h5EaQdekZ6wD|CAR2020-5422|3|IMPERIAL DE LUJO|TABASCO|CARDENAS|CARDENAS|2020-12-15|12900|0|100|50|0|0|0|0|0|0|0|0|0|0|0||0|0|0|MORELOS|MENA|SANDY PAOLA|SOLTERO|X|X|CARRETERA PRINCIPAL |RANCHERIA ARROYO HONDO ABEJONAL|X|9711738025|X|X|X|CARRETERA PRINCIPAL |X|LUNES|x|x|x|x|x|DOMICILIO |6300|6600|X|X|X|2022-02-19|2022-02-26|x|x|x|x|x|QXTXF5PY9KVTQO|x|HOMBRE|X|12900|X|X|X|X|X|X|X|X|CARDENAS|X|X|X|X|FINAL</v>
      </c>
    </row>
    <row r="191" spans="1:82" x14ac:dyDescent="0.25">
      <c r="A191" t="s">
        <v>505</v>
      </c>
      <c r="B191" t="s">
        <v>506</v>
      </c>
      <c r="C191">
        <v>3</v>
      </c>
      <c r="D191" t="s">
        <v>1371</v>
      </c>
      <c r="E191" t="s">
        <v>1380</v>
      </c>
      <c r="F191" t="s">
        <v>0</v>
      </c>
      <c r="G191" t="s">
        <v>0</v>
      </c>
      <c r="H191" t="s">
        <v>1412</v>
      </c>
      <c r="I191">
        <v>12900</v>
      </c>
      <c r="J191">
        <v>0</v>
      </c>
      <c r="K191">
        <v>100</v>
      </c>
      <c r="L191">
        <v>50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Y191">
        <v>0</v>
      </c>
      <c r="Z191">
        <v>0</v>
      </c>
      <c r="AA191">
        <v>0</v>
      </c>
      <c r="AB191" t="s">
        <v>1793</v>
      </c>
      <c r="AC191" t="s">
        <v>1895</v>
      </c>
      <c r="AD191" s="18" t="s">
        <v>1972</v>
      </c>
      <c r="AE191" t="s">
        <v>4</v>
      </c>
      <c r="AF191" t="s">
        <v>1</v>
      </c>
      <c r="AG191" t="s">
        <v>1</v>
      </c>
      <c r="AH191" t="s">
        <v>2604</v>
      </c>
      <c r="AI191" t="s">
        <v>2600</v>
      </c>
      <c r="AJ191" t="s">
        <v>1</v>
      </c>
      <c r="AK191">
        <v>9371632261</v>
      </c>
      <c r="AL191" t="s">
        <v>1</v>
      </c>
      <c r="AM191" t="s">
        <v>1</v>
      </c>
      <c r="AN191" t="s">
        <v>1</v>
      </c>
      <c r="AO191" t="s">
        <v>2604</v>
      </c>
      <c r="AP191" t="s">
        <v>1</v>
      </c>
      <c r="AQ191" t="s">
        <v>2</v>
      </c>
      <c r="AR191" t="s">
        <v>3</v>
      </c>
      <c r="AS191" t="s">
        <v>3</v>
      </c>
      <c r="AT191" t="s">
        <v>3</v>
      </c>
      <c r="AU191" t="s">
        <v>3</v>
      </c>
      <c r="AV191" t="s">
        <v>3</v>
      </c>
      <c r="AW191" t="s">
        <v>11</v>
      </c>
      <c r="AX191">
        <f>Tabla1[[#This Row],[precio del paquete]]-Tabla1[[#This Row],[Saldo_Deudor]]</f>
        <v>10000</v>
      </c>
      <c r="AY191">
        <v>2900</v>
      </c>
      <c r="AZ191" t="s">
        <v>1</v>
      </c>
      <c r="BA191" t="s">
        <v>1</v>
      </c>
      <c r="BB191" t="s">
        <v>1</v>
      </c>
      <c r="BC191" t="s">
        <v>3252</v>
      </c>
      <c r="BD191" t="s">
        <v>3310</v>
      </c>
      <c r="BE191" t="s">
        <v>3</v>
      </c>
      <c r="BF191" t="s">
        <v>3</v>
      </c>
      <c r="BG191" t="s">
        <v>3</v>
      </c>
      <c r="BH191" t="s">
        <v>3</v>
      </c>
      <c r="BI191" t="s">
        <v>3</v>
      </c>
      <c r="BJ191" t="s">
        <v>3361</v>
      </c>
      <c r="BK191" t="s">
        <v>3</v>
      </c>
      <c r="BL191" t="s">
        <v>132</v>
      </c>
      <c r="BM191" t="s">
        <v>1</v>
      </c>
      <c r="BN191">
        <f>Tabla1[[#This Row],[precio del paquete]]</f>
        <v>12900</v>
      </c>
      <c r="BO191" t="s">
        <v>1</v>
      </c>
      <c r="BP191" t="s">
        <v>1</v>
      </c>
      <c r="BQ191" t="s">
        <v>1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0</v>
      </c>
      <c r="BX191" t="s">
        <v>1</v>
      </c>
      <c r="BY191" t="s">
        <v>1</v>
      </c>
      <c r="BZ191" t="s">
        <v>1</v>
      </c>
      <c r="CA191" t="s">
        <v>1</v>
      </c>
      <c r="CB191" t="s">
        <v>3382</v>
      </c>
      <c r="CD191" t="str" cm="1">
        <f t="array" aca="1" ref="CD191" ca="1">eConcatenar(A191:CB191,"|")</f>
        <v>nTUveEnw2YA4HlLa|CAR2019-3283|3|ECONOLINE|TABASCO|CARDENAS|CARDENAS|2019-12-01|12900|0|100|50|0|0|0|0|0|0|0|0|0|0|0||0|0|0|SOLIS|MENA|LUCIA|SOLTERO|X|X|CALLE ARABIA NUMERO 7|COLONIA JACINTO LOPEZ|X|9371632261|X|X|X|CALLE ARABIA NUMERO 7|X|LUNES|x|x|x|x|x|DOMICILIO |10000|2900|X|X|X|2022-02-19|2022-02-26|x|x|x|x|x|QXTXF5PY9KVTQO|x|HOMBRE|X|12900|X|X|X|X|X|X|X|X|CARDENAS|X|X|X|X|FINAL</v>
      </c>
    </row>
    <row r="192" spans="1:82" x14ac:dyDescent="0.25">
      <c r="A192" t="s">
        <v>507</v>
      </c>
      <c r="B192" t="s">
        <v>508</v>
      </c>
      <c r="C192">
        <v>3</v>
      </c>
      <c r="D192" t="s">
        <v>1371</v>
      </c>
      <c r="E192" t="s">
        <v>1380</v>
      </c>
      <c r="F192" t="s">
        <v>0</v>
      </c>
      <c r="G192" t="s">
        <v>0</v>
      </c>
      <c r="H192" t="s">
        <v>1413</v>
      </c>
      <c r="I192">
        <v>12900</v>
      </c>
      <c r="J192">
        <v>0</v>
      </c>
      <c r="K192">
        <v>200</v>
      </c>
      <c r="L192">
        <v>50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Y192">
        <v>0</v>
      </c>
      <c r="Z192">
        <v>0</v>
      </c>
      <c r="AA192">
        <v>0</v>
      </c>
      <c r="AB192" t="s">
        <v>1973</v>
      </c>
      <c r="AC192" t="s">
        <v>1708</v>
      </c>
      <c r="AD192" s="18" t="s">
        <v>1974</v>
      </c>
      <c r="AE192" t="s">
        <v>4</v>
      </c>
      <c r="AF192" t="s">
        <v>1</v>
      </c>
      <c r="AG192" t="s">
        <v>1</v>
      </c>
      <c r="AH192" t="s">
        <v>2605</v>
      </c>
      <c r="AI192" t="s">
        <v>3057</v>
      </c>
      <c r="AJ192" t="s">
        <v>1</v>
      </c>
      <c r="AK192">
        <v>9373225271</v>
      </c>
      <c r="AL192" t="s">
        <v>1</v>
      </c>
      <c r="AM192" t="s">
        <v>1</v>
      </c>
      <c r="AN192" t="s">
        <v>1</v>
      </c>
      <c r="AO192" t="s">
        <v>2605</v>
      </c>
      <c r="AP192" t="s">
        <v>1</v>
      </c>
      <c r="AQ192" t="s">
        <v>2</v>
      </c>
      <c r="AR192" t="s">
        <v>3</v>
      </c>
      <c r="AS192" t="s">
        <v>3</v>
      </c>
      <c r="AT192" t="s">
        <v>3</v>
      </c>
      <c r="AU192" t="s">
        <v>3</v>
      </c>
      <c r="AV192" t="s">
        <v>3</v>
      </c>
      <c r="AW192" t="s">
        <v>11</v>
      </c>
      <c r="AX192">
        <f>Tabla1[[#This Row],[precio del paquete]]-Tabla1[[#This Row],[Saldo_Deudor]]</f>
        <v>9100</v>
      </c>
      <c r="AY192">
        <v>3800</v>
      </c>
      <c r="AZ192" t="s">
        <v>1</v>
      </c>
      <c r="BA192" t="s">
        <v>1</v>
      </c>
      <c r="BB192" t="s">
        <v>1</v>
      </c>
      <c r="BC192" t="s">
        <v>3252</v>
      </c>
      <c r="BD192" t="s">
        <v>3310</v>
      </c>
      <c r="BE192" t="s">
        <v>3</v>
      </c>
      <c r="BF192" t="s">
        <v>3</v>
      </c>
      <c r="BG192" t="s">
        <v>3</v>
      </c>
      <c r="BH192" t="s">
        <v>3</v>
      </c>
      <c r="BI192" t="s">
        <v>3</v>
      </c>
      <c r="BJ192" t="s">
        <v>3361</v>
      </c>
      <c r="BK192" t="s">
        <v>3</v>
      </c>
      <c r="BL192" t="s">
        <v>132</v>
      </c>
      <c r="BM192" t="s">
        <v>1</v>
      </c>
      <c r="BN192">
        <f>Tabla1[[#This Row],[precio del paquete]]</f>
        <v>12900</v>
      </c>
      <c r="BO192" t="s">
        <v>1</v>
      </c>
      <c r="BP192" t="s">
        <v>1</v>
      </c>
      <c r="BQ192" t="s">
        <v>1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0</v>
      </c>
      <c r="BX192" t="s">
        <v>1</v>
      </c>
      <c r="BY192" t="s">
        <v>1</v>
      </c>
      <c r="BZ192" t="s">
        <v>1</v>
      </c>
      <c r="CA192" t="s">
        <v>1</v>
      </c>
      <c r="CB192" t="s">
        <v>3382</v>
      </c>
      <c r="CD192" t="str" cm="1">
        <f t="array" aca="1" ref="CD192" ca="1">eConcatenar(A192:CB192,"|")</f>
        <v>lzSfhxq9wZk703iZ|CAR2020-0416|3|ECONOLINE|TABASCO|CARDENAS|CARDENAS|2020-02-06|12900|0|200|50|1|0|0|0|0|0|0|0|0|0|0||0|0|0|AGAMA||SANDRA VAZQUEZ|SOLTERO|X|X|CALLE EL ARROZ |COLONIA INVITAB|X|9373225271|X|X|X|CALLE EL ARROZ |X|LUNES|x|x|x|x|x|DOMICILIO |9100|3800|X|X|X|2022-02-19|2022-02-26|x|x|x|x|x|QXTXF5PY9KVTQO|x|HOMBRE|X|12900|X|X|X|X|X|X|X|X|CARDENAS|X|X|X|X|FINAL</v>
      </c>
    </row>
    <row r="193" spans="1:82" x14ac:dyDescent="0.25">
      <c r="A193" t="s">
        <v>509</v>
      </c>
      <c r="B193" t="s">
        <v>510</v>
      </c>
      <c r="C193">
        <v>3</v>
      </c>
      <c r="D193" t="s">
        <v>1371</v>
      </c>
      <c r="E193" t="s">
        <v>1380</v>
      </c>
      <c r="F193" t="s">
        <v>0</v>
      </c>
      <c r="G193" t="s">
        <v>0</v>
      </c>
      <c r="H193" t="s">
        <v>1414</v>
      </c>
      <c r="I193">
        <v>12900</v>
      </c>
      <c r="J193">
        <v>0</v>
      </c>
      <c r="K193">
        <v>100</v>
      </c>
      <c r="L193">
        <v>50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Y193">
        <v>0</v>
      </c>
      <c r="Z193">
        <v>0</v>
      </c>
      <c r="AA193">
        <v>0</v>
      </c>
      <c r="AB193" t="s">
        <v>1975</v>
      </c>
      <c r="AC193" t="s">
        <v>1708</v>
      </c>
      <c r="AD193" s="18" t="s">
        <v>1976</v>
      </c>
      <c r="AE193" t="s">
        <v>4</v>
      </c>
      <c r="AF193" t="s">
        <v>1</v>
      </c>
      <c r="AG193" t="s">
        <v>1</v>
      </c>
      <c r="AH193" t="s">
        <v>2606</v>
      </c>
      <c r="AI193" t="s">
        <v>3058</v>
      </c>
      <c r="AJ193" t="s">
        <v>1</v>
      </c>
      <c r="AK193">
        <v>371230328</v>
      </c>
      <c r="AL193" t="s">
        <v>1</v>
      </c>
      <c r="AM193" t="s">
        <v>1</v>
      </c>
      <c r="AN193" t="s">
        <v>1</v>
      </c>
      <c r="AO193" t="s">
        <v>2606</v>
      </c>
      <c r="AP193" t="s">
        <v>1</v>
      </c>
      <c r="AQ193" t="s">
        <v>2</v>
      </c>
      <c r="AR193" t="s">
        <v>3</v>
      </c>
      <c r="AS193" t="s">
        <v>3</v>
      </c>
      <c r="AT193" t="s">
        <v>3</v>
      </c>
      <c r="AU193" t="s">
        <v>3</v>
      </c>
      <c r="AV193" t="s">
        <v>3</v>
      </c>
      <c r="AW193" t="s">
        <v>11</v>
      </c>
      <c r="AX193">
        <f>Tabla1[[#This Row],[precio del paquete]]-Tabla1[[#This Row],[Saldo_Deudor]]</f>
        <v>8800</v>
      </c>
      <c r="AY193">
        <v>4100</v>
      </c>
      <c r="AZ193" t="s">
        <v>1</v>
      </c>
      <c r="BA193" t="s">
        <v>1</v>
      </c>
      <c r="BB193" t="s">
        <v>1</v>
      </c>
      <c r="BC193" t="s">
        <v>1398</v>
      </c>
      <c r="BD193" t="s">
        <v>3252</v>
      </c>
      <c r="BE193" t="s">
        <v>3</v>
      </c>
      <c r="BF193" t="s">
        <v>3</v>
      </c>
      <c r="BG193" t="s">
        <v>3</v>
      </c>
      <c r="BH193" t="s">
        <v>3</v>
      </c>
      <c r="BI193" t="s">
        <v>3</v>
      </c>
      <c r="BJ193" t="s">
        <v>3361</v>
      </c>
      <c r="BK193" t="s">
        <v>3</v>
      </c>
      <c r="BL193" t="s">
        <v>132</v>
      </c>
      <c r="BM193" t="s">
        <v>1</v>
      </c>
      <c r="BN193">
        <f>Tabla1[[#This Row],[precio del paquete]]</f>
        <v>12900</v>
      </c>
      <c r="BO193" t="s">
        <v>1</v>
      </c>
      <c r="BP193" t="s">
        <v>1</v>
      </c>
      <c r="BQ193" t="s">
        <v>1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0</v>
      </c>
      <c r="BX193" t="s">
        <v>1</v>
      </c>
      <c r="BY193" t="s">
        <v>1</v>
      </c>
      <c r="BZ193" t="s">
        <v>1</v>
      </c>
      <c r="CA193" t="s">
        <v>1</v>
      </c>
      <c r="CB193" t="s">
        <v>3382</v>
      </c>
      <c r="CD193" t="str" cm="1">
        <f t="array" aca="1" ref="CD193" ca="1">eConcatenar(A193:CB193,"|")</f>
        <v>ug4LuHFnYHOEMOLr|CAR2019-0238|3|ECONOLINE|TABASCO|CARDENAS|CARDENAS|2019-01-29|12900|0|100|50|0|0|0|0|0|0|0|0|0|0|0||0|0|0|CANCINO||OSCAR|SOLTERO|X|X|COLONIA LAZARO CARDENAS |COLONIA GUADALUPE VICTORIA|X|371230328|X|X|X|COLONIA LAZARO CARDENAS |X|LUNES|x|x|x|x|x|DOMICILIO |8800|4100|X|X|X|2022-02-12|2022-02-19|x|x|x|x|x|QXTXF5PY9KVTQO|x|HOMBRE|X|12900|X|X|X|X|X|X|X|X|CARDENAS|X|X|X|X|FINAL</v>
      </c>
    </row>
    <row r="194" spans="1:82" x14ac:dyDescent="0.25">
      <c r="A194" t="s">
        <v>511</v>
      </c>
      <c r="B194" t="s">
        <v>512</v>
      </c>
      <c r="C194">
        <v>3</v>
      </c>
      <c r="D194" t="s">
        <v>1369</v>
      </c>
      <c r="E194" t="s">
        <v>1380</v>
      </c>
      <c r="F194" t="s">
        <v>0</v>
      </c>
      <c r="G194" t="s">
        <v>0</v>
      </c>
      <c r="H194" t="s">
        <v>1415</v>
      </c>
      <c r="I194">
        <v>14800</v>
      </c>
      <c r="J194">
        <v>0</v>
      </c>
      <c r="K194">
        <v>100</v>
      </c>
      <c r="L194">
        <v>50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Y194">
        <v>0</v>
      </c>
      <c r="Z194">
        <v>0</v>
      </c>
      <c r="AA194">
        <v>0</v>
      </c>
      <c r="AB194" t="s">
        <v>1810</v>
      </c>
      <c r="AC194" t="s">
        <v>1866</v>
      </c>
      <c r="AD194" s="18" t="s">
        <v>1977</v>
      </c>
      <c r="AE194" t="s">
        <v>4</v>
      </c>
      <c r="AF194" t="s">
        <v>1</v>
      </c>
      <c r="AG194" t="s">
        <v>1</v>
      </c>
      <c r="AH194" t="s">
        <v>2607</v>
      </c>
      <c r="AI194" t="s">
        <v>3059</v>
      </c>
      <c r="AJ194" t="s">
        <v>1</v>
      </c>
      <c r="AK194">
        <v>9371672122</v>
      </c>
      <c r="AL194" t="s">
        <v>1</v>
      </c>
      <c r="AM194" t="s">
        <v>1</v>
      </c>
      <c r="AN194" t="s">
        <v>1</v>
      </c>
      <c r="AO194" t="s">
        <v>2607</v>
      </c>
      <c r="AP194" t="s">
        <v>1</v>
      </c>
      <c r="AQ194" t="s">
        <v>2</v>
      </c>
      <c r="AR194" t="s">
        <v>3</v>
      </c>
      <c r="AS194" t="s">
        <v>3</v>
      </c>
      <c r="AT194" t="s">
        <v>3</v>
      </c>
      <c r="AU194" t="s">
        <v>3</v>
      </c>
      <c r="AV194" t="s">
        <v>3</v>
      </c>
      <c r="AW194" t="s">
        <v>11</v>
      </c>
      <c r="AX194">
        <f>Tabla1[[#This Row],[precio del paquete]]-Tabla1[[#This Row],[Saldo_Deudor]]</f>
        <v>400</v>
      </c>
      <c r="AY194">
        <v>14400</v>
      </c>
      <c r="AZ194" t="s">
        <v>1</v>
      </c>
      <c r="BA194" t="s">
        <v>1</v>
      </c>
      <c r="BB194" t="s">
        <v>1</v>
      </c>
      <c r="BC194" t="s">
        <v>1399</v>
      </c>
      <c r="BD194" t="s">
        <v>1407</v>
      </c>
      <c r="BE194" t="s">
        <v>3</v>
      </c>
      <c r="BF194" t="s">
        <v>3</v>
      </c>
      <c r="BG194" t="s">
        <v>3</v>
      </c>
      <c r="BH194" t="s">
        <v>3</v>
      </c>
      <c r="BI194" t="s">
        <v>3</v>
      </c>
      <c r="BJ194" t="s">
        <v>3361</v>
      </c>
      <c r="BK194" t="s">
        <v>3</v>
      </c>
      <c r="BL194" t="s">
        <v>132</v>
      </c>
      <c r="BM194" t="s">
        <v>1</v>
      </c>
      <c r="BN194">
        <f>Tabla1[[#This Row],[precio del paquete]]</f>
        <v>14800</v>
      </c>
      <c r="BO194" t="s">
        <v>1</v>
      </c>
      <c r="BP194" t="s">
        <v>1</v>
      </c>
      <c r="BQ194" t="s">
        <v>1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0</v>
      </c>
      <c r="BX194" t="s">
        <v>1</v>
      </c>
      <c r="BY194" t="s">
        <v>1</v>
      </c>
      <c r="BZ194" t="s">
        <v>1</v>
      </c>
      <c r="CA194" t="s">
        <v>1</v>
      </c>
      <c r="CB194" t="s">
        <v>3382</v>
      </c>
      <c r="CD194" t="str" cm="1">
        <f t="array" aca="1" ref="CD194" ca="1">eConcatenar(A194:CB194,"|")</f>
        <v>UHNSavWWYqnPvTId|CAR2021-7656|3|MEMORIAL|TABASCO|CARDENAS|CARDENAS|2021-12-23|14800|0|100|50|0|0|0|0|0|0|0|0|0|0|0||0|0|0|CRUZ|BAUTISTA|MARITZA|SOLTERO|X|X|CALLE ALVARO OBREGON NUMERO 3 |COLONIA EL GRINGO|X|9371672122|X|X|X|CALLE ALVARO OBREGON NUMERO 3 |X|LUNES|x|x|x|x|x|DOMICILIO |400|14400|X|X|X|2022-02-11|2022-02-18|x|x|x|x|x|QXTXF5PY9KVTQO|x|HOMBRE|X|14800|X|X|X|X|X|X|X|X|CARDENAS|X|X|X|X|FINAL</v>
      </c>
    </row>
    <row r="195" spans="1:82" x14ac:dyDescent="0.25">
      <c r="A195" t="s">
        <v>513</v>
      </c>
      <c r="B195" t="s">
        <v>514</v>
      </c>
      <c r="C195">
        <v>3</v>
      </c>
      <c r="D195" t="s">
        <v>1371</v>
      </c>
      <c r="E195" t="s">
        <v>1380</v>
      </c>
      <c r="F195" t="s">
        <v>0</v>
      </c>
      <c r="G195" t="s">
        <v>0</v>
      </c>
      <c r="H195" t="s">
        <v>1416</v>
      </c>
      <c r="I195">
        <v>12900</v>
      </c>
      <c r="J195">
        <v>0</v>
      </c>
      <c r="K195">
        <v>100</v>
      </c>
      <c r="L195">
        <v>50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Y195">
        <v>0</v>
      </c>
      <c r="Z195">
        <v>0</v>
      </c>
      <c r="AA195">
        <v>0</v>
      </c>
      <c r="AB195" t="s">
        <v>1922</v>
      </c>
      <c r="AC195" t="s">
        <v>1978</v>
      </c>
      <c r="AD195" s="18" t="s">
        <v>1979</v>
      </c>
      <c r="AE195" t="s">
        <v>4</v>
      </c>
      <c r="AF195" t="s">
        <v>1</v>
      </c>
      <c r="AG195" t="s">
        <v>1</v>
      </c>
      <c r="AH195" t="s">
        <v>1</v>
      </c>
      <c r="AI195" t="s">
        <v>3053</v>
      </c>
      <c r="AJ195" t="s">
        <v>1</v>
      </c>
      <c r="AK195">
        <v>93713367</v>
      </c>
      <c r="AL195" t="s">
        <v>1</v>
      </c>
      <c r="AM195" t="s">
        <v>1</v>
      </c>
      <c r="AN195" t="s">
        <v>1</v>
      </c>
      <c r="AO195" t="s">
        <v>1</v>
      </c>
      <c r="AP195" t="s">
        <v>1</v>
      </c>
      <c r="AQ195" t="s">
        <v>2</v>
      </c>
      <c r="AR195" t="s">
        <v>3</v>
      </c>
      <c r="AS195" t="s">
        <v>3</v>
      </c>
      <c r="AT195" t="s">
        <v>3</v>
      </c>
      <c r="AU195" t="s">
        <v>3</v>
      </c>
      <c r="AV195" t="s">
        <v>3</v>
      </c>
      <c r="AW195" t="s">
        <v>11</v>
      </c>
      <c r="AX195">
        <f>Tabla1[[#This Row],[precio del paquete]]-Tabla1[[#This Row],[Saldo_Deudor]]</f>
        <v>5300</v>
      </c>
      <c r="AY195">
        <v>7600</v>
      </c>
      <c r="AZ195" t="s">
        <v>1</v>
      </c>
      <c r="BA195" t="s">
        <v>1</v>
      </c>
      <c r="BB195" t="s">
        <v>1</v>
      </c>
      <c r="BC195" t="s">
        <v>3253</v>
      </c>
      <c r="BD195" t="s">
        <v>3311</v>
      </c>
      <c r="BE195" t="s">
        <v>3</v>
      </c>
      <c r="BF195" t="s">
        <v>3</v>
      </c>
      <c r="BG195" t="s">
        <v>3</v>
      </c>
      <c r="BH195" t="s">
        <v>3</v>
      </c>
      <c r="BI195" t="s">
        <v>3</v>
      </c>
      <c r="BJ195" t="s">
        <v>3361</v>
      </c>
      <c r="BK195" t="s">
        <v>3</v>
      </c>
      <c r="BL195" t="s">
        <v>132</v>
      </c>
      <c r="BM195" t="s">
        <v>1</v>
      </c>
      <c r="BN195">
        <f>Tabla1[[#This Row],[precio del paquete]]</f>
        <v>12900</v>
      </c>
      <c r="BO195" t="s">
        <v>1</v>
      </c>
      <c r="BP195" t="s">
        <v>1</v>
      </c>
      <c r="BQ195" t="s">
        <v>1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0</v>
      </c>
      <c r="BX195" t="s">
        <v>1</v>
      </c>
      <c r="BY195" t="s">
        <v>1</v>
      </c>
      <c r="BZ195" t="s">
        <v>1</v>
      </c>
      <c r="CA195" t="s">
        <v>1</v>
      </c>
      <c r="CB195" t="s">
        <v>3382</v>
      </c>
      <c r="CD195" t="str" cm="1">
        <f t="array" aca="1" ref="CD195" ca="1">eConcatenar(A195:CB195,"|")</f>
        <v>Cp6lqKxZTILrVkL7|CAR2018-0886|3|ECONOLINE|TABASCO|CARDENAS|CARDENAS|2018-06-11|12900|0|100|50|0|0|0|0|0|0|0|0|0|0|0||0|0|0|GUADALUPE|SASTRE|MARIA ANTONIO|SOLTERO|X|X|X|COLONIA SANTA MARIA GUADALUPE |X|93713367|X|X|X|X|X|LUNES|x|x|x|x|x|DOMICILIO |5300|7600|X|X|X|2022-03-11|2022-03-18|x|x|x|x|x|QXTXF5PY9KVTQO|x|HOMBRE|X|12900|X|X|X|X|X|X|X|X|CARDENAS|X|X|X|X|FINAL</v>
      </c>
    </row>
    <row r="196" spans="1:82" x14ac:dyDescent="0.25">
      <c r="A196" t="s">
        <v>515</v>
      </c>
      <c r="B196" t="s">
        <v>405</v>
      </c>
      <c r="C196">
        <v>3</v>
      </c>
      <c r="D196" t="s">
        <v>1369</v>
      </c>
      <c r="E196" t="s">
        <v>1380</v>
      </c>
      <c r="F196" t="s">
        <v>10</v>
      </c>
      <c r="G196" t="s">
        <v>10</v>
      </c>
      <c r="H196" t="s">
        <v>1390</v>
      </c>
      <c r="I196">
        <v>14800</v>
      </c>
      <c r="J196">
        <v>0</v>
      </c>
      <c r="K196">
        <v>500</v>
      </c>
      <c r="L196">
        <v>50</v>
      </c>
      <c r="M196">
        <v>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Y196">
        <v>0</v>
      </c>
      <c r="Z196">
        <v>0</v>
      </c>
      <c r="AA196">
        <v>0</v>
      </c>
      <c r="AB196" t="s">
        <v>1711</v>
      </c>
      <c r="AC196" t="s">
        <v>1914</v>
      </c>
      <c r="AD196" s="18" t="s">
        <v>1915</v>
      </c>
      <c r="AE196" t="s">
        <v>4</v>
      </c>
      <c r="AF196" t="s">
        <v>1</v>
      </c>
      <c r="AG196" t="s">
        <v>1</v>
      </c>
      <c r="AH196" t="s">
        <v>2608</v>
      </c>
      <c r="AI196" t="s">
        <v>3060</v>
      </c>
      <c r="AJ196" t="s">
        <v>1</v>
      </c>
      <c r="AK196">
        <v>9372109086</v>
      </c>
      <c r="AL196" t="s">
        <v>1</v>
      </c>
      <c r="AM196" t="s">
        <v>1</v>
      </c>
      <c r="AN196" t="s">
        <v>1</v>
      </c>
      <c r="AO196" t="s">
        <v>2608</v>
      </c>
      <c r="AP196" t="s">
        <v>1</v>
      </c>
      <c r="AQ196" t="s">
        <v>2</v>
      </c>
      <c r="AR196" t="s">
        <v>3</v>
      </c>
      <c r="AS196" t="s">
        <v>3</v>
      </c>
      <c r="AT196" t="s">
        <v>3</v>
      </c>
      <c r="AU196" t="s">
        <v>3</v>
      </c>
      <c r="AV196" t="s">
        <v>3</v>
      </c>
      <c r="AW196" t="s">
        <v>11</v>
      </c>
      <c r="AX196">
        <f>Tabla1[[#This Row],[precio del paquete]]-Tabla1[[#This Row],[Saldo_Deudor]]</f>
        <v>500</v>
      </c>
      <c r="AY196">
        <v>14300</v>
      </c>
      <c r="AZ196" t="s">
        <v>1</v>
      </c>
      <c r="BA196" t="s">
        <v>1</v>
      </c>
      <c r="BB196" t="s">
        <v>1</v>
      </c>
      <c r="BC196" t="s">
        <v>3254</v>
      </c>
      <c r="BD196" t="s">
        <v>3312</v>
      </c>
      <c r="BE196" t="s">
        <v>3</v>
      </c>
      <c r="BF196" t="s">
        <v>3</v>
      </c>
      <c r="BG196" t="s">
        <v>3</v>
      </c>
      <c r="BH196" t="s">
        <v>3</v>
      </c>
      <c r="BI196" t="s">
        <v>3</v>
      </c>
      <c r="BJ196" t="s">
        <v>3369</v>
      </c>
      <c r="BK196" t="s">
        <v>3</v>
      </c>
      <c r="BL196" t="s">
        <v>132</v>
      </c>
      <c r="BM196" t="s">
        <v>1</v>
      </c>
      <c r="BN196">
        <f>Tabla1[[#This Row],[precio del paquete]]</f>
        <v>14800</v>
      </c>
      <c r="BO196" t="s">
        <v>1</v>
      </c>
      <c r="BP196" t="s">
        <v>1</v>
      </c>
      <c r="BQ196" t="s">
        <v>1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0</v>
      </c>
      <c r="BX196" t="s">
        <v>1</v>
      </c>
      <c r="BY196" t="s">
        <v>1</v>
      </c>
      <c r="BZ196" t="s">
        <v>1</v>
      </c>
      <c r="CA196" t="s">
        <v>1</v>
      </c>
      <c r="CB196" t="s">
        <v>3382</v>
      </c>
      <c r="CD196" t="str" cm="1">
        <f t="array" aca="1" ref="CD196" ca="1">eConcatenar(A196:CB196,"|")</f>
        <v>idhqQ9vdritZQhrj|CAR2022-0652|3|MEMORIAL|TABASCO|CARDENAS |CARDENAS |2022-02-02|14800|0|500|50|2|0|0|0|0|0|0|0|0|0|0||0|0|0|HERNANDEZ|OLSIN|ANGELA|SOLTERO|X|X|CALLE ARGENTINA CASA NUMERO 5 |COLONIA PUEBLO NUEVO|X|9372109086|X|X|X|CALLE ARGENTINA CASA NUMERO 5 |X|LUNES|x|x|x|x|x|DOMICILIO |500|14300|X|X|X|2022-03-12|2022-03-19|x|x|x|x|x|QWYNRBIY9KVZQO|x|HOMBRE|X|14800|X|X|X|X|X|X|X|X|CARDENAS|X|X|X|X|FINAL</v>
      </c>
    </row>
    <row r="197" spans="1:82" x14ac:dyDescent="0.25">
      <c r="A197" t="s">
        <v>516</v>
      </c>
      <c r="B197" t="s">
        <v>347</v>
      </c>
      <c r="C197">
        <v>3</v>
      </c>
      <c r="D197" t="s">
        <v>1369</v>
      </c>
      <c r="E197" t="s">
        <v>1380</v>
      </c>
      <c r="F197" t="s">
        <v>1381</v>
      </c>
      <c r="G197" t="s">
        <v>1381</v>
      </c>
      <c r="H197" t="s">
        <v>1401</v>
      </c>
      <c r="I197">
        <v>14800</v>
      </c>
      <c r="J197">
        <v>0</v>
      </c>
      <c r="K197">
        <v>200</v>
      </c>
      <c r="L197">
        <v>50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Y197">
        <v>0</v>
      </c>
      <c r="Z197">
        <v>0</v>
      </c>
      <c r="AA197">
        <v>0</v>
      </c>
      <c r="AB197" t="s">
        <v>1744</v>
      </c>
      <c r="AC197" t="s">
        <v>1855</v>
      </c>
      <c r="AD197" s="18" t="s">
        <v>1876</v>
      </c>
      <c r="AE197" t="s">
        <v>4</v>
      </c>
      <c r="AF197" t="s">
        <v>1</v>
      </c>
      <c r="AG197" t="s">
        <v>1</v>
      </c>
      <c r="AH197" t="s">
        <v>2454</v>
      </c>
      <c r="AI197" t="s">
        <v>3061</v>
      </c>
      <c r="AJ197" t="s">
        <v>1</v>
      </c>
      <c r="AK197">
        <v>9372306877</v>
      </c>
      <c r="AL197" t="s">
        <v>1</v>
      </c>
      <c r="AM197" t="s">
        <v>1</v>
      </c>
      <c r="AN197" t="s">
        <v>1</v>
      </c>
      <c r="AO197" t="s">
        <v>2454</v>
      </c>
      <c r="AP197" t="s">
        <v>1</v>
      </c>
      <c r="AQ197" t="s">
        <v>2</v>
      </c>
      <c r="AR197" t="s">
        <v>3</v>
      </c>
      <c r="AS197" t="s">
        <v>3</v>
      </c>
      <c r="AT197" t="s">
        <v>3</v>
      </c>
      <c r="AU197" t="s">
        <v>3</v>
      </c>
      <c r="AV197" t="s">
        <v>3</v>
      </c>
      <c r="AW197" t="s">
        <v>11</v>
      </c>
      <c r="AX197">
        <f>Tabla1[[#This Row],[precio del paquete]]-Tabla1[[#This Row],[Saldo_Deudor]]</f>
        <v>300</v>
      </c>
      <c r="AY197">
        <v>14500</v>
      </c>
      <c r="AZ197" t="s">
        <v>1</v>
      </c>
      <c r="BA197" t="s">
        <v>1</v>
      </c>
      <c r="BB197" t="s">
        <v>1</v>
      </c>
      <c r="BC197" t="s">
        <v>3251</v>
      </c>
      <c r="BD197" t="s">
        <v>3309</v>
      </c>
      <c r="BE197" t="s">
        <v>3</v>
      </c>
      <c r="BF197" t="s">
        <v>3</v>
      </c>
      <c r="BG197" t="s">
        <v>3</v>
      </c>
      <c r="BH197" t="s">
        <v>3</v>
      </c>
      <c r="BI197" t="s">
        <v>3</v>
      </c>
      <c r="BJ197" t="s">
        <v>3369</v>
      </c>
      <c r="BK197" t="s">
        <v>3</v>
      </c>
      <c r="BL197" t="s">
        <v>132</v>
      </c>
      <c r="BM197" t="s">
        <v>1</v>
      </c>
      <c r="BN197">
        <f>Tabla1[[#This Row],[precio del paquete]]</f>
        <v>14800</v>
      </c>
      <c r="BO197" t="s">
        <v>1</v>
      </c>
      <c r="BP197" t="s">
        <v>1</v>
      </c>
      <c r="BQ197" t="s">
        <v>1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0</v>
      </c>
      <c r="BX197" t="s">
        <v>1</v>
      </c>
      <c r="BY197" t="s">
        <v>1</v>
      </c>
      <c r="BZ197" t="s">
        <v>1</v>
      </c>
      <c r="CA197" t="s">
        <v>1</v>
      </c>
      <c r="CB197" t="s">
        <v>3382</v>
      </c>
      <c r="CD197" t="str" cm="1">
        <f t="array" aca="1" ref="CD197" ca="1">eConcatenar(A197:CB197,"|")</f>
        <v>us5xUksL931b9Alb|CAR2022-0864|3|MEMORIAL|TABASCO|CUNDUACAN|CUNDUACAN|2022-02-09|14800|0|200|50|0|0|0|0|0|0|0|0|0|0|0||0|0|0|PEREZ|NARANJO|ALICIA|SOLTERO|X|X|CARRETERA A TULIPAN SIN NUMERO|RANCHERIA HUAPACAL Y AMESTOY|X|9372306877|X|X|X|CARRETERA A TULIPAN SIN NUMERO|X|LUNES|x|x|x|x|x|DOMICILIO |300|14500|X|X|X|2022-02-22|2022-03-01|x|x|x|x|x|QWYNRBIY9KVZQO|x|HOMBRE|X|14800|X|X|X|X|X|X|X|X|CARDENAS|X|X|X|X|FINAL</v>
      </c>
    </row>
    <row r="198" spans="1:82" x14ac:dyDescent="0.25">
      <c r="A198" t="s">
        <v>517</v>
      </c>
      <c r="B198" t="s">
        <v>331</v>
      </c>
      <c r="C198">
        <v>3</v>
      </c>
      <c r="D198" t="s">
        <v>1368</v>
      </c>
      <c r="E198" t="s">
        <v>1380</v>
      </c>
      <c r="F198" t="s">
        <v>0</v>
      </c>
      <c r="G198" t="s">
        <v>0</v>
      </c>
      <c r="H198" t="s">
        <v>1398</v>
      </c>
      <c r="I198">
        <v>24500</v>
      </c>
      <c r="J198">
        <v>0</v>
      </c>
      <c r="K198">
        <v>100</v>
      </c>
      <c r="L198">
        <v>50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Y198">
        <v>0</v>
      </c>
      <c r="Z198">
        <v>0</v>
      </c>
      <c r="AA198">
        <v>0</v>
      </c>
      <c r="AB198" t="s">
        <v>1861</v>
      </c>
      <c r="AC198" t="s">
        <v>1862</v>
      </c>
      <c r="AD198" s="18" t="s">
        <v>1863</v>
      </c>
      <c r="AE198" t="s">
        <v>4</v>
      </c>
      <c r="AF198" t="s">
        <v>1</v>
      </c>
      <c r="AG198" t="s">
        <v>1</v>
      </c>
      <c r="AH198" t="s">
        <v>2609</v>
      </c>
      <c r="AI198" t="s">
        <v>3060</v>
      </c>
      <c r="AJ198" t="s">
        <v>1</v>
      </c>
      <c r="AK198">
        <v>9372831258</v>
      </c>
      <c r="AL198" t="s">
        <v>1</v>
      </c>
      <c r="AM198" t="s">
        <v>1</v>
      </c>
      <c r="AN198" t="s">
        <v>1</v>
      </c>
      <c r="AO198" t="s">
        <v>2609</v>
      </c>
      <c r="AP198" t="s">
        <v>1</v>
      </c>
      <c r="AQ198" t="s">
        <v>2</v>
      </c>
      <c r="AR198" t="s">
        <v>3</v>
      </c>
      <c r="AS198" t="s">
        <v>3</v>
      </c>
      <c r="AT198" t="s">
        <v>3</v>
      </c>
      <c r="AU198" t="s">
        <v>3</v>
      </c>
      <c r="AV198" t="s">
        <v>3</v>
      </c>
      <c r="AW198" t="s">
        <v>11</v>
      </c>
      <c r="AX198">
        <f>Tabla1[[#This Row],[precio del paquete]]-Tabla1[[#This Row],[Saldo_Deudor]]</f>
        <v>100</v>
      </c>
      <c r="AY198">
        <v>24400</v>
      </c>
      <c r="AZ198" t="s">
        <v>1</v>
      </c>
      <c r="BA198" t="s">
        <v>1</v>
      </c>
      <c r="BB198" t="s">
        <v>1</v>
      </c>
      <c r="BC198" t="s">
        <v>1400</v>
      </c>
      <c r="BD198" t="s">
        <v>3277</v>
      </c>
      <c r="BE198" t="s">
        <v>3</v>
      </c>
      <c r="BF198" t="s">
        <v>3</v>
      </c>
      <c r="BG198" t="s">
        <v>3</v>
      </c>
      <c r="BH198" t="s">
        <v>3</v>
      </c>
      <c r="BI198" t="s">
        <v>3</v>
      </c>
      <c r="BJ198" t="s">
        <v>3369</v>
      </c>
      <c r="BK198" t="s">
        <v>3</v>
      </c>
      <c r="BL198" t="s">
        <v>132</v>
      </c>
      <c r="BM198" t="s">
        <v>1</v>
      </c>
      <c r="BN198">
        <f>Tabla1[[#This Row],[precio del paquete]]</f>
        <v>24500</v>
      </c>
      <c r="BO198" t="s">
        <v>1</v>
      </c>
      <c r="BP198" t="s">
        <v>1</v>
      </c>
      <c r="BQ198" t="s">
        <v>1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0</v>
      </c>
      <c r="BX198" t="s">
        <v>1</v>
      </c>
      <c r="BY198" t="s">
        <v>1</v>
      </c>
      <c r="BZ198" t="s">
        <v>1</v>
      </c>
      <c r="CA198" t="s">
        <v>1</v>
      </c>
      <c r="CB198" t="s">
        <v>3382</v>
      </c>
      <c r="CD198" t="str" cm="1">
        <f t="array" aca="1" ref="CD198" ca="1">eConcatenar(A198:CB198,"|")</f>
        <v>mftMCMDnNVHJuNza|CAR2022-0893|3|DIGNITY|TABASCO|CARDENAS|CARDENAS|2022-02-12|24500|0|100|50|2|0|0|0|0|0|0|0|0|0|0||0|0|0|SERRANO|SIERRA|MANUEL ANTONIO|SOLTERO|X|X|CALLE JACINTO LOPEZ |COLONIA PUEBLO NUEVO|X|9372831258|X|X|X|CALLE JACINTO LOPEZ |X|LUNES|x|x|x|x|x|DOMICILIO |100|24400|X|X|X|2022-02-10|2022-02-17|x|x|x|x|x|QWYNRBIY9KVZQO|x|HOMBRE|X|24500|X|X|X|X|X|X|X|X|CARDENAS|X|X|X|X|FINAL</v>
      </c>
    </row>
    <row r="199" spans="1:82" x14ac:dyDescent="0.25">
      <c r="A199" t="s">
        <v>518</v>
      </c>
      <c r="B199" t="s">
        <v>377</v>
      </c>
      <c r="C199">
        <v>3</v>
      </c>
      <c r="D199" t="s">
        <v>1369</v>
      </c>
      <c r="E199" t="s">
        <v>1380</v>
      </c>
      <c r="F199" t="s">
        <v>1382</v>
      </c>
      <c r="G199" t="s">
        <v>1382</v>
      </c>
      <c r="H199" t="s">
        <v>1402</v>
      </c>
      <c r="I199">
        <v>14800</v>
      </c>
      <c r="J199">
        <v>0</v>
      </c>
      <c r="K199">
        <v>100</v>
      </c>
      <c r="L199">
        <v>50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Y199">
        <v>0</v>
      </c>
      <c r="Z199">
        <v>0</v>
      </c>
      <c r="AA199">
        <v>0</v>
      </c>
      <c r="AB199" t="s">
        <v>1744</v>
      </c>
      <c r="AC199" t="s">
        <v>1716</v>
      </c>
      <c r="AD199" s="18" t="s">
        <v>1894</v>
      </c>
      <c r="AE199" t="s">
        <v>4</v>
      </c>
      <c r="AF199" t="s">
        <v>1</v>
      </c>
      <c r="AG199" t="s">
        <v>1</v>
      </c>
      <c r="AH199" t="s">
        <v>2610</v>
      </c>
      <c r="AI199" t="s">
        <v>3062</v>
      </c>
      <c r="AJ199" t="s">
        <v>1</v>
      </c>
      <c r="AK199">
        <v>9371041619</v>
      </c>
      <c r="AL199" t="s">
        <v>1</v>
      </c>
      <c r="AM199" t="s">
        <v>1</v>
      </c>
      <c r="AN199" t="s">
        <v>1</v>
      </c>
      <c r="AO199" t="s">
        <v>2610</v>
      </c>
      <c r="AP199" t="s">
        <v>1</v>
      </c>
      <c r="AQ199" t="s">
        <v>2</v>
      </c>
      <c r="AR199" t="s">
        <v>3</v>
      </c>
      <c r="AS199" t="s">
        <v>3</v>
      </c>
      <c r="AT199" t="s">
        <v>3</v>
      </c>
      <c r="AU199" t="s">
        <v>3</v>
      </c>
      <c r="AV199" t="s">
        <v>3</v>
      </c>
      <c r="AW199" t="s">
        <v>11</v>
      </c>
      <c r="AX199">
        <f>Tabla1[[#This Row],[precio del paquete]]-Tabla1[[#This Row],[Saldo_Deudor]]</f>
        <v>300</v>
      </c>
      <c r="AY199">
        <v>14500</v>
      </c>
      <c r="AZ199" t="s">
        <v>1</v>
      </c>
      <c r="BA199" t="s">
        <v>1</v>
      </c>
      <c r="BB199" t="s">
        <v>1</v>
      </c>
      <c r="BC199" t="s">
        <v>3251</v>
      </c>
      <c r="BD199" t="s">
        <v>3309</v>
      </c>
      <c r="BE199" t="s">
        <v>3</v>
      </c>
      <c r="BF199" t="s">
        <v>3</v>
      </c>
      <c r="BG199" t="s">
        <v>3</v>
      </c>
      <c r="BH199" t="s">
        <v>3</v>
      </c>
      <c r="BI199" t="s">
        <v>3</v>
      </c>
      <c r="BJ199" t="s">
        <v>3369</v>
      </c>
      <c r="BK199" t="s">
        <v>3</v>
      </c>
      <c r="BL199" t="s">
        <v>132</v>
      </c>
      <c r="BM199" t="s">
        <v>1</v>
      </c>
      <c r="BN199">
        <f>Tabla1[[#This Row],[precio del paquete]]</f>
        <v>14800</v>
      </c>
      <c r="BO199" t="s">
        <v>1</v>
      </c>
      <c r="BP199" t="s">
        <v>1</v>
      </c>
      <c r="BQ199" t="s">
        <v>1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0</v>
      </c>
      <c r="BX199" t="s">
        <v>1</v>
      </c>
      <c r="BY199" t="s">
        <v>1</v>
      </c>
      <c r="BZ199" t="s">
        <v>1</v>
      </c>
      <c r="CA199" t="s">
        <v>1</v>
      </c>
      <c r="CB199" t="s">
        <v>3382</v>
      </c>
      <c r="CD199" t="str" cm="1">
        <f t="array" aca="1" ref="CD199" ca="1">eConcatenar(A199:CB199,"|")</f>
        <v>zHcXOUI3hL06I3uI|CAR2022-0836|3|MEMORIAL|TABASCO|HUIMANGUILLO|HUIMANGUILLO|2022-02-08|14800|0|100|50|0|0|0|0|0|0|0|0|0|0|0||0|0|0|PEREZ|JUAREZ|OLGA|SOLTERO|X|X|CARRETERA AL POBLADO C-31|EJIDO GENARO VAZQUEZ ROJAS|X|9371041619|X|X|X|CARRETERA AL POBLADO C-31|X|LUNES|x|x|x|x|x|DOMICILIO |300|14500|X|X|X|2022-02-22|2022-03-01|x|x|x|x|x|QWYNRBIY9KVZQO|x|HOMBRE|X|14800|X|X|X|X|X|X|X|X|CARDENAS|X|X|X|X|FINAL</v>
      </c>
    </row>
    <row r="200" spans="1:82" x14ac:dyDescent="0.25">
      <c r="A200" t="s">
        <v>519</v>
      </c>
      <c r="B200" t="s">
        <v>333</v>
      </c>
      <c r="C200">
        <v>3</v>
      </c>
      <c r="D200" t="s">
        <v>1369</v>
      </c>
      <c r="E200" t="s">
        <v>1380</v>
      </c>
      <c r="F200" t="s">
        <v>1382</v>
      </c>
      <c r="G200" t="s">
        <v>1382</v>
      </c>
      <c r="H200" t="s">
        <v>1399</v>
      </c>
      <c r="I200">
        <v>14800</v>
      </c>
      <c r="J200">
        <v>0</v>
      </c>
      <c r="K200">
        <v>400</v>
      </c>
      <c r="L200">
        <v>50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Y200">
        <v>0</v>
      </c>
      <c r="Z200">
        <v>0</v>
      </c>
      <c r="AA200">
        <v>0</v>
      </c>
      <c r="AB200" t="s">
        <v>1815</v>
      </c>
      <c r="AC200" t="s">
        <v>1739</v>
      </c>
      <c r="AD200" s="18" t="s">
        <v>1864</v>
      </c>
      <c r="AE200" t="s">
        <v>4</v>
      </c>
      <c r="AF200" t="s">
        <v>1</v>
      </c>
      <c r="AG200" t="s">
        <v>1</v>
      </c>
      <c r="AH200" t="s">
        <v>2465</v>
      </c>
      <c r="AI200" t="s">
        <v>3062</v>
      </c>
      <c r="AJ200" t="s">
        <v>1</v>
      </c>
      <c r="AK200">
        <v>9331464823</v>
      </c>
      <c r="AL200" t="s">
        <v>1</v>
      </c>
      <c r="AM200" t="s">
        <v>1</v>
      </c>
      <c r="AN200" t="s">
        <v>1</v>
      </c>
      <c r="AO200" t="s">
        <v>2465</v>
      </c>
      <c r="AP200" t="s">
        <v>1</v>
      </c>
      <c r="AQ200" t="s">
        <v>2</v>
      </c>
      <c r="AR200" t="s">
        <v>3</v>
      </c>
      <c r="AS200" t="s">
        <v>3</v>
      </c>
      <c r="AT200" t="s">
        <v>3</v>
      </c>
      <c r="AU200" t="s">
        <v>3</v>
      </c>
      <c r="AV200" t="s">
        <v>3</v>
      </c>
      <c r="AW200" t="s">
        <v>11</v>
      </c>
      <c r="AX200">
        <f>Tabla1[[#This Row],[precio del paquete]]-Tabla1[[#This Row],[Saldo_Deudor]]</f>
        <v>400</v>
      </c>
      <c r="AY200">
        <v>14400</v>
      </c>
      <c r="AZ200" t="s">
        <v>1</v>
      </c>
      <c r="BA200" t="s">
        <v>1</v>
      </c>
      <c r="BB200" t="s">
        <v>1</v>
      </c>
      <c r="BC200" t="s">
        <v>1398</v>
      </c>
      <c r="BD200" t="s">
        <v>3252</v>
      </c>
      <c r="BE200" t="s">
        <v>3</v>
      </c>
      <c r="BF200" t="s">
        <v>3</v>
      </c>
      <c r="BG200" t="s">
        <v>3</v>
      </c>
      <c r="BH200" t="s">
        <v>3</v>
      </c>
      <c r="BI200" t="s">
        <v>3</v>
      </c>
      <c r="BJ200" t="s">
        <v>3369</v>
      </c>
      <c r="BK200" t="s">
        <v>3</v>
      </c>
      <c r="BL200" t="s">
        <v>132</v>
      </c>
      <c r="BM200" t="s">
        <v>1</v>
      </c>
      <c r="BN200">
        <f>Tabla1[[#This Row],[precio del paquete]]</f>
        <v>14800</v>
      </c>
      <c r="BO200" t="s">
        <v>1</v>
      </c>
      <c r="BP200" t="s">
        <v>1</v>
      </c>
      <c r="BQ200" t="s">
        <v>1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0</v>
      </c>
      <c r="BX200" t="s">
        <v>1</v>
      </c>
      <c r="BY200" t="s">
        <v>1</v>
      </c>
      <c r="BZ200" t="s">
        <v>1</v>
      </c>
      <c r="CA200" t="s">
        <v>1</v>
      </c>
      <c r="CB200" t="s">
        <v>3382</v>
      </c>
      <c r="CD200" t="str" cm="1">
        <f t="array" aca="1" ref="CD200" ca="1">eConcatenar(A200:CB200,"|")</f>
        <v>FMGdt0sUJ53Gio1h|CAR2022-0874|3|MEMORIAL|TABASCO|HUIMANGUILLO|HUIMANGUILLO|2022-02-11|14800|0|400|50|2|0|0|0|0|0|0|0|0|0|0||0|0|0|LEON|DE LOS SANTOS|REYNA|SOLTERO|X|X|CARRETERA PRINCIPAL SIN NUMERO|EJIDO GENARO VAZQUEZ ROJAS|X|9331464823|X|X|X|CARRETERA PRINCIPAL SIN NUMERO|X|LUNES|x|x|x|x|x|DOMICILIO |400|14400|X|X|X|2022-02-12|2022-02-19|x|x|x|x|x|QWYNRBIY9KVZQO|x|HOMBRE|X|14800|X|X|X|X|X|X|X|X|CARDENAS|X|X|X|X|FINAL</v>
      </c>
    </row>
    <row r="201" spans="1:82" x14ac:dyDescent="0.25">
      <c r="A201" t="s">
        <v>520</v>
      </c>
      <c r="B201" t="s">
        <v>345</v>
      </c>
      <c r="C201">
        <v>3</v>
      </c>
      <c r="D201" t="s">
        <v>1368</v>
      </c>
      <c r="E201" t="s">
        <v>1380</v>
      </c>
      <c r="F201" t="s">
        <v>0</v>
      </c>
      <c r="G201" t="s">
        <v>0</v>
      </c>
      <c r="H201" t="s">
        <v>1399</v>
      </c>
      <c r="I201">
        <v>24500</v>
      </c>
      <c r="J201">
        <v>0</v>
      </c>
      <c r="K201">
        <v>200</v>
      </c>
      <c r="L201">
        <v>50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Y201">
        <v>0</v>
      </c>
      <c r="Z201">
        <v>0</v>
      </c>
      <c r="AA201">
        <v>0</v>
      </c>
      <c r="AB201" t="s">
        <v>1873</v>
      </c>
      <c r="AC201" t="s">
        <v>1874</v>
      </c>
      <c r="AD201" s="18" t="s">
        <v>1875</v>
      </c>
      <c r="AE201" t="s">
        <v>4</v>
      </c>
      <c r="AF201" t="s">
        <v>1</v>
      </c>
      <c r="AG201" t="s">
        <v>1</v>
      </c>
      <c r="AH201" t="s">
        <v>2538</v>
      </c>
      <c r="AI201" t="s">
        <v>3063</v>
      </c>
      <c r="AJ201" t="s">
        <v>1</v>
      </c>
      <c r="AK201">
        <v>9371391647</v>
      </c>
      <c r="AL201" t="s">
        <v>1</v>
      </c>
      <c r="AM201" t="s">
        <v>1</v>
      </c>
      <c r="AN201" t="s">
        <v>1</v>
      </c>
      <c r="AO201" t="s">
        <v>2538</v>
      </c>
      <c r="AP201" t="s">
        <v>1</v>
      </c>
      <c r="AQ201" t="s">
        <v>2</v>
      </c>
      <c r="AR201" t="s">
        <v>3</v>
      </c>
      <c r="AS201" t="s">
        <v>3</v>
      </c>
      <c r="AT201" t="s">
        <v>3</v>
      </c>
      <c r="AU201" t="s">
        <v>3</v>
      </c>
      <c r="AV201" t="s">
        <v>3</v>
      </c>
      <c r="AW201" t="s">
        <v>11</v>
      </c>
      <c r="AX201">
        <f>Tabla1[[#This Row],[precio del paquete]]-Tabla1[[#This Row],[Saldo_Deudor]]</f>
        <v>300</v>
      </c>
      <c r="AY201">
        <v>24200</v>
      </c>
      <c r="AZ201" t="s">
        <v>1</v>
      </c>
      <c r="BA201" t="s">
        <v>1</v>
      </c>
      <c r="BB201" t="s">
        <v>1</v>
      </c>
      <c r="BC201" t="s">
        <v>3251</v>
      </c>
      <c r="BD201" t="s">
        <v>3309</v>
      </c>
      <c r="BE201" t="s">
        <v>3</v>
      </c>
      <c r="BF201" t="s">
        <v>3</v>
      </c>
      <c r="BG201" t="s">
        <v>3</v>
      </c>
      <c r="BH201" t="s">
        <v>3</v>
      </c>
      <c r="BI201" t="s">
        <v>3</v>
      </c>
      <c r="BJ201" t="s">
        <v>3369</v>
      </c>
      <c r="BK201" t="s">
        <v>3</v>
      </c>
      <c r="BL201" t="s">
        <v>132</v>
      </c>
      <c r="BM201" t="s">
        <v>1</v>
      </c>
      <c r="BN201">
        <f>Tabla1[[#This Row],[precio del paquete]]</f>
        <v>24500</v>
      </c>
      <c r="BO201" t="s">
        <v>1</v>
      </c>
      <c r="BP201" t="s">
        <v>1</v>
      </c>
      <c r="BQ201" t="s">
        <v>1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0</v>
      </c>
      <c r="BX201" t="s">
        <v>1</v>
      </c>
      <c r="BY201" t="s">
        <v>1</v>
      </c>
      <c r="BZ201" t="s">
        <v>1</v>
      </c>
      <c r="CA201" t="s">
        <v>1</v>
      </c>
      <c r="CB201" t="s">
        <v>3382</v>
      </c>
      <c r="CD201" t="str" cm="1">
        <f t="array" aca="1" ref="CD201" ca="1">eConcatenar(A201:CB201,"|")</f>
        <v>1xOYfzinZaG4WpO6|CAR2022-0876|3|DIGNITY|TABASCO|CARDENAS|CARDENAS|2022-02-11|24500|0|200|50|0|0|0|0|0|0|0|0|0|0|0||0|0|0|BOLAINA|ALMEYDA|REYNA LOURDES|SOLTERO|X|X|ANDADOR LAS GLADIOLAS |COLONIA 7 DE OCTUBRE|X|9371391647|X|X|X|ANDADOR LAS GLADIOLAS |X|LUNES|x|x|x|x|x|DOMICILIO |300|24200|X|X|X|2022-02-22|2022-03-01|x|x|x|x|x|QWYNRBIY9KVZQO|x|HOMBRE|X|24500|X|X|X|X|X|X|X|X|CARDENAS|X|X|X|X|FINAL</v>
      </c>
    </row>
    <row r="202" spans="1:82" x14ac:dyDescent="0.25">
      <c r="A202" t="s">
        <v>521</v>
      </c>
      <c r="B202" t="s">
        <v>522</v>
      </c>
      <c r="C202">
        <v>3</v>
      </c>
      <c r="D202" t="s">
        <v>1369</v>
      </c>
      <c r="E202" t="s">
        <v>1380</v>
      </c>
      <c r="F202" t="s">
        <v>0</v>
      </c>
      <c r="G202" t="s">
        <v>0</v>
      </c>
      <c r="H202" t="s">
        <v>1406</v>
      </c>
      <c r="I202">
        <v>14800</v>
      </c>
      <c r="J202">
        <v>0</v>
      </c>
      <c r="K202">
        <v>100</v>
      </c>
      <c r="L202">
        <v>50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Y202">
        <v>0</v>
      </c>
      <c r="Z202">
        <v>0</v>
      </c>
      <c r="AA202">
        <v>0</v>
      </c>
      <c r="AB202" t="s">
        <v>1774</v>
      </c>
      <c r="AC202" t="s">
        <v>1912</v>
      </c>
      <c r="AD202" s="18" t="s">
        <v>1980</v>
      </c>
      <c r="AE202" t="s">
        <v>4</v>
      </c>
      <c r="AF202" t="s">
        <v>1</v>
      </c>
      <c r="AG202" t="s">
        <v>1</v>
      </c>
      <c r="AH202" t="s">
        <v>2611</v>
      </c>
      <c r="AI202" t="s">
        <v>3063</v>
      </c>
      <c r="AJ202" t="s">
        <v>1</v>
      </c>
      <c r="AK202">
        <v>9373692353</v>
      </c>
      <c r="AL202" t="s">
        <v>1</v>
      </c>
      <c r="AM202" t="s">
        <v>1</v>
      </c>
      <c r="AN202" t="s">
        <v>1</v>
      </c>
      <c r="AO202" t="s">
        <v>2611</v>
      </c>
      <c r="AP202" t="s">
        <v>1</v>
      </c>
      <c r="AQ202" t="s">
        <v>2</v>
      </c>
      <c r="AR202" t="s">
        <v>3</v>
      </c>
      <c r="AS202" t="s">
        <v>3</v>
      </c>
      <c r="AT202" t="s">
        <v>3</v>
      </c>
      <c r="AU202" t="s">
        <v>3</v>
      </c>
      <c r="AV202" t="s">
        <v>3</v>
      </c>
      <c r="AW202" t="s">
        <v>11</v>
      </c>
      <c r="AX202">
        <f>Tabla1[[#This Row],[precio del paquete]]-Tabla1[[#This Row],[Saldo_Deudor]]</f>
        <v>300</v>
      </c>
      <c r="AY202">
        <v>14500</v>
      </c>
      <c r="AZ202" t="s">
        <v>1</v>
      </c>
      <c r="BA202" t="s">
        <v>1</v>
      </c>
      <c r="BB202" t="s">
        <v>1</v>
      </c>
      <c r="BC202" t="s">
        <v>3251</v>
      </c>
      <c r="BD202" t="s">
        <v>3309</v>
      </c>
      <c r="BE202" t="s">
        <v>3</v>
      </c>
      <c r="BF202" t="s">
        <v>3</v>
      </c>
      <c r="BG202" t="s">
        <v>3</v>
      </c>
      <c r="BH202" t="s">
        <v>3</v>
      </c>
      <c r="BI202" t="s">
        <v>3</v>
      </c>
      <c r="BJ202" t="s">
        <v>3369</v>
      </c>
      <c r="BK202" t="s">
        <v>3</v>
      </c>
      <c r="BL202" t="s">
        <v>132</v>
      </c>
      <c r="BM202" t="s">
        <v>1</v>
      </c>
      <c r="BN202">
        <f>Tabla1[[#This Row],[precio del paquete]]</f>
        <v>14800</v>
      </c>
      <c r="BO202" t="s">
        <v>1</v>
      </c>
      <c r="BP202" t="s">
        <v>1</v>
      </c>
      <c r="BQ202" t="s">
        <v>1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0</v>
      </c>
      <c r="BX202" t="s">
        <v>1</v>
      </c>
      <c r="BY202" t="s">
        <v>1</v>
      </c>
      <c r="BZ202" t="s">
        <v>1</v>
      </c>
      <c r="CA202" t="s">
        <v>1</v>
      </c>
      <c r="CB202" t="s">
        <v>3382</v>
      </c>
      <c r="CD202" t="str" cm="1">
        <f t="array" aca="1" ref="CD202" ca="1">eConcatenar(A202:CB202,"|")</f>
        <v>Go31FZ6xBOYrN1bi|CAR2022-1046|3|MEMORIAL|TABASCO|CARDENAS|CARDENAS|2022-02-16|14800|0|100|50|0|0|0|0|0|0|0|0|0|0|0||0|0|0|GONZALEZ|VIDAL|MA ANTONIA|SOLTERO|X|X|CALLE CARLOS MOLINA 39 CARRETERA PERIFERICO|COLONIA 7 DE OCTUBRE|X|9373692353|X|X|X|CALLE CARLOS MOLINA 39 CARRETERA PERIFERICO|X|LUNES|x|x|x|x|x|DOMICILIO |300|14500|X|X|X|2022-02-22|2022-03-01|x|x|x|x|x|QWYNRBIY9KVZQO|x|HOMBRE|X|14800|X|X|X|X|X|X|X|X|CARDENAS|X|X|X|X|FINAL</v>
      </c>
    </row>
    <row r="203" spans="1:82" x14ac:dyDescent="0.25">
      <c r="A203" t="s">
        <v>523</v>
      </c>
      <c r="B203" t="s">
        <v>451</v>
      </c>
      <c r="C203">
        <v>3</v>
      </c>
      <c r="D203" t="s">
        <v>1369</v>
      </c>
      <c r="E203" t="s">
        <v>1380</v>
      </c>
      <c r="F203" t="s">
        <v>0</v>
      </c>
      <c r="G203" t="s">
        <v>0</v>
      </c>
      <c r="H203" t="s">
        <v>1405</v>
      </c>
      <c r="I203">
        <v>14800</v>
      </c>
      <c r="J203">
        <v>0</v>
      </c>
      <c r="K203">
        <v>500</v>
      </c>
      <c r="L203">
        <v>50</v>
      </c>
      <c r="M203">
        <v>2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Y203">
        <v>0</v>
      </c>
      <c r="Z203">
        <v>0</v>
      </c>
      <c r="AA203">
        <v>0</v>
      </c>
      <c r="AB203" t="s">
        <v>1695</v>
      </c>
      <c r="AC203" t="s">
        <v>1743</v>
      </c>
      <c r="AD203" s="18" t="s">
        <v>1941</v>
      </c>
      <c r="AE203" t="s">
        <v>4</v>
      </c>
      <c r="AF203" t="s">
        <v>1</v>
      </c>
      <c r="AG203" t="s">
        <v>1</v>
      </c>
      <c r="AH203" t="s">
        <v>2580</v>
      </c>
      <c r="AI203" t="s">
        <v>3064</v>
      </c>
      <c r="AJ203" t="s">
        <v>1</v>
      </c>
      <c r="AK203">
        <v>9371008586</v>
      </c>
      <c r="AL203" t="s">
        <v>1</v>
      </c>
      <c r="AM203" t="s">
        <v>1</v>
      </c>
      <c r="AN203" t="s">
        <v>1</v>
      </c>
      <c r="AO203" t="s">
        <v>2580</v>
      </c>
      <c r="AP203" t="s">
        <v>1</v>
      </c>
      <c r="AQ203" t="s">
        <v>2</v>
      </c>
      <c r="AR203" t="s">
        <v>3</v>
      </c>
      <c r="AS203" t="s">
        <v>3</v>
      </c>
      <c r="AT203" t="s">
        <v>3</v>
      </c>
      <c r="AU203" t="s">
        <v>3</v>
      </c>
      <c r="AV203" t="s">
        <v>3</v>
      </c>
      <c r="AW203" t="s">
        <v>11</v>
      </c>
      <c r="AX203">
        <f>Tabla1[[#This Row],[precio del paquete]]-Tabla1[[#This Row],[Saldo_Deudor]]</f>
        <v>500</v>
      </c>
      <c r="AY203">
        <v>14300</v>
      </c>
      <c r="AZ203" t="s">
        <v>1</v>
      </c>
      <c r="BA203" t="s">
        <v>1</v>
      </c>
      <c r="BB203" t="s">
        <v>1</v>
      </c>
      <c r="BC203" t="s">
        <v>1405</v>
      </c>
      <c r="BD203" t="s">
        <v>3251</v>
      </c>
      <c r="BE203" t="s">
        <v>3</v>
      </c>
      <c r="BF203" t="s">
        <v>3</v>
      </c>
      <c r="BG203" t="s">
        <v>3</v>
      </c>
      <c r="BH203" t="s">
        <v>3</v>
      </c>
      <c r="BI203" t="s">
        <v>3</v>
      </c>
      <c r="BJ203" t="s">
        <v>3369</v>
      </c>
      <c r="BK203" t="s">
        <v>3</v>
      </c>
      <c r="BL203" t="s">
        <v>132</v>
      </c>
      <c r="BM203" t="s">
        <v>1</v>
      </c>
      <c r="BN203">
        <f>Tabla1[[#This Row],[precio del paquete]]</f>
        <v>14800</v>
      </c>
      <c r="BO203" t="s">
        <v>1</v>
      </c>
      <c r="BP203" t="s">
        <v>1</v>
      </c>
      <c r="BQ203" t="s">
        <v>1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0</v>
      </c>
      <c r="BX203" t="s">
        <v>1</v>
      </c>
      <c r="BY203" t="s">
        <v>1</v>
      </c>
      <c r="BZ203" t="s">
        <v>1</v>
      </c>
      <c r="CA203" t="s">
        <v>1</v>
      </c>
      <c r="CB203" t="s">
        <v>3382</v>
      </c>
      <c r="CD203" t="str" cm="1">
        <f t="array" aca="1" ref="CD203" ca="1">eConcatenar(A203:CB203,"|")</f>
        <v>auaTfIx1KcoBeefa|CAR2022-1024|3|MEMORIAL|TABASCO|CARDENAS|CARDENAS|2022-02-15|14800|0|500|50|2|0|0|0|0|0|0|0|0|0|0||0|0|0|MORALES|DIAZ|ANDRES|SOLTERO|X|X|CALLE USUMACINTA |COLONIA SARCH|X|9371008586|X|X|X|CALLE USUMACINTA |X|LUNES|x|x|x|x|x|DOMICILIO |500|14300|X|X|X|2022-02-15|2022-02-22|x|x|x|x|x|QWYNRBIY9KVZQO|x|HOMBRE|X|14800|X|X|X|X|X|X|X|X|CARDENAS|X|X|X|X|FINAL</v>
      </c>
    </row>
    <row r="204" spans="1:82" x14ac:dyDescent="0.25">
      <c r="A204" t="s">
        <v>524</v>
      </c>
      <c r="B204" t="s">
        <v>399</v>
      </c>
      <c r="C204">
        <v>3</v>
      </c>
      <c r="D204" t="s">
        <v>1368</v>
      </c>
      <c r="E204" t="s">
        <v>1380</v>
      </c>
      <c r="F204" t="s">
        <v>0</v>
      </c>
      <c r="G204" t="s">
        <v>0</v>
      </c>
      <c r="H204" t="s">
        <v>1402</v>
      </c>
      <c r="I204">
        <v>24500</v>
      </c>
      <c r="J204">
        <v>0</v>
      </c>
      <c r="K204">
        <v>100</v>
      </c>
      <c r="L204">
        <v>50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Y204">
        <v>0</v>
      </c>
      <c r="Z204">
        <v>0</v>
      </c>
      <c r="AA204">
        <v>0</v>
      </c>
      <c r="AB204" t="s">
        <v>7</v>
      </c>
      <c r="AC204" t="s">
        <v>1703</v>
      </c>
      <c r="AD204" s="18" t="s">
        <v>1908</v>
      </c>
      <c r="AE204" t="s">
        <v>4</v>
      </c>
      <c r="AF204" t="s">
        <v>1</v>
      </c>
      <c r="AG204" t="s">
        <v>1</v>
      </c>
      <c r="AH204" t="s">
        <v>2612</v>
      </c>
      <c r="AI204" t="s">
        <v>2787</v>
      </c>
      <c r="AJ204" t="s">
        <v>1</v>
      </c>
      <c r="AK204">
        <v>9371657733</v>
      </c>
      <c r="AL204" t="s">
        <v>1</v>
      </c>
      <c r="AM204" t="s">
        <v>1</v>
      </c>
      <c r="AN204" t="s">
        <v>1</v>
      </c>
      <c r="AO204" t="s">
        <v>2612</v>
      </c>
      <c r="AP204" t="s">
        <v>1</v>
      </c>
      <c r="AQ204" t="s">
        <v>2</v>
      </c>
      <c r="AR204" t="s">
        <v>3</v>
      </c>
      <c r="AS204" t="s">
        <v>3</v>
      </c>
      <c r="AT204" t="s">
        <v>3</v>
      </c>
      <c r="AU204" t="s">
        <v>3</v>
      </c>
      <c r="AV204" t="s">
        <v>3</v>
      </c>
      <c r="AW204" t="s">
        <v>11</v>
      </c>
      <c r="AX204">
        <f>Tabla1[[#This Row],[precio del paquete]]-Tabla1[[#This Row],[Saldo_Deudor]]</f>
        <v>300</v>
      </c>
      <c r="AY204">
        <v>24200</v>
      </c>
      <c r="AZ204" t="s">
        <v>1</v>
      </c>
      <c r="BA204" t="s">
        <v>1</v>
      </c>
      <c r="BB204" t="s">
        <v>1</v>
      </c>
      <c r="BC204" t="s">
        <v>3255</v>
      </c>
      <c r="BD204" t="s">
        <v>3256</v>
      </c>
      <c r="BE204" t="s">
        <v>3</v>
      </c>
      <c r="BF204" t="s">
        <v>3</v>
      </c>
      <c r="BG204" t="s">
        <v>3</v>
      </c>
      <c r="BH204" t="s">
        <v>3</v>
      </c>
      <c r="BI204" t="s">
        <v>3</v>
      </c>
      <c r="BJ204" t="s">
        <v>3369</v>
      </c>
      <c r="BK204" t="s">
        <v>3</v>
      </c>
      <c r="BL204" t="s">
        <v>132</v>
      </c>
      <c r="BM204" t="s">
        <v>1</v>
      </c>
      <c r="BN204">
        <f>Tabla1[[#This Row],[precio del paquete]]</f>
        <v>24500</v>
      </c>
      <c r="BO204" t="s">
        <v>1</v>
      </c>
      <c r="BP204" t="s">
        <v>1</v>
      </c>
      <c r="BQ204" t="s">
        <v>1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0</v>
      </c>
      <c r="BX204" t="s">
        <v>1</v>
      </c>
      <c r="BY204" t="s">
        <v>1</v>
      </c>
      <c r="BZ204" t="s">
        <v>1</v>
      </c>
      <c r="CA204" t="s">
        <v>1</v>
      </c>
      <c r="CB204" t="s">
        <v>3382</v>
      </c>
      <c r="CD204" t="str" cm="1">
        <f t="array" aca="1" ref="CD204" ca="1">eConcatenar(A204:CB204,"|")</f>
        <v>f4TcskN88GewNIAg|CAR2022-0828|3|DIGNITY|TABASCO|CARDENAS|CARDENAS|2022-02-08|24500|0|100|50|1|0|0|0|0|0|0|0|0|0|0||0|0|0|LOPEZ|RAMOS|SOFIA|SOLTERO|X|X|CALLE GREGORIO MENDEZ 207 INTERIOR 3 |COLONIA NUEVO PROGRESO|X|9371657733|X|X|X|CALLE GREGORIO MENDEZ 207 INTERIOR 3 |X|LUNES|x|x|x|x|x|DOMICILIO |300|24200|X|X|X|2022-02-14|2022-02-21|x|x|x|x|x|QWYNRBIY9KVZQO|x|HOMBRE|X|24500|X|X|X|X|X|X|X|X|CARDENAS|X|X|X|X|FINAL</v>
      </c>
    </row>
    <row r="205" spans="1:82" x14ac:dyDescent="0.25">
      <c r="A205" t="s">
        <v>525</v>
      </c>
      <c r="B205" t="s">
        <v>479</v>
      </c>
      <c r="C205">
        <v>3</v>
      </c>
      <c r="D205" t="s">
        <v>1370</v>
      </c>
      <c r="E205" t="s">
        <v>1380</v>
      </c>
      <c r="F205" t="s">
        <v>0</v>
      </c>
      <c r="G205" t="s">
        <v>0</v>
      </c>
      <c r="H205" t="s">
        <v>1406</v>
      </c>
      <c r="I205">
        <v>35000</v>
      </c>
      <c r="J205">
        <v>0</v>
      </c>
      <c r="K205">
        <v>200</v>
      </c>
      <c r="L205">
        <v>50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Y205">
        <v>0</v>
      </c>
      <c r="Z205">
        <v>0</v>
      </c>
      <c r="AA205">
        <v>0</v>
      </c>
      <c r="AB205" t="s">
        <v>1698</v>
      </c>
      <c r="AC205" t="s">
        <v>1952</v>
      </c>
      <c r="AD205" s="18" t="s">
        <v>1981</v>
      </c>
      <c r="AE205" t="s">
        <v>4</v>
      </c>
      <c r="AF205" t="s">
        <v>1</v>
      </c>
      <c r="AG205" t="s">
        <v>1</v>
      </c>
      <c r="AH205" t="s">
        <v>2591</v>
      </c>
      <c r="AI205" t="s">
        <v>3065</v>
      </c>
      <c r="AJ205" t="s">
        <v>1</v>
      </c>
      <c r="AK205">
        <v>9932779125</v>
      </c>
      <c r="AL205" t="s">
        <v>1</v>
      </c>
      <c r="AM205" t="s">
        <v>1</v>
      </c>
      <c r="AN205" t="s">
        <v>1</v>
      </c>
      <c r="AO205" t="s">
        <v>2591</v>
      </c>
      <c r="AP205" t="s">
        <v>1</v>
      </c>
      <c r="AQ205" t="s">
        <v>2</v>
      </c>
      <c r="AR205" t="s">
        <v>3</v>
      </c>
      <c r="AS205" t="s">
        <v>3</v>
      </c>
      <c r="AT205" t="s">
        <v>3</v>
      </c>
      <c r="AU205" t="s">
        <v>3</v>
      </c>
      <c r="AV205" t="s">
        <v>3</v>
      </c>
      <c r="AW205" t="s">
        <v>11</v>
      </c>
      <c r="AX205">
        <f>Tabla1[[#This Row],[precio del paquete]]-Tabla1[[#This Row],[Saldo_Deudor]]</f>
        <v>300</v>
      </c>
      <c r="AY205">
        <v>34700</v>
      </c>
      <c r="AZ205" t="s">
        <v>1</v>
      </c>
      <c r="BA205" t="s">
        <v>1</v>
      </c>
      <c r="BB205" t="s">
        <v>1</v>
      </c>
      <c r="BC205" t="s">
        <v>3251</v>
      </c>
      <c r="BD205" t="s">
        <v>3309</v>
      </c>
      <c r="BE205" t="s">
        <v>3</v>
      </c>
      <c r="BF205" t="s">
        <v>3</v>
      </c>
      <c r="BG205" t="s">
        <v>3</v>
      </c>
      <c r="BH205" t="s">
        <v>3</v>
      </c>
      <c r="BI205" t="s">
        <v>3</v>
      </c>
      <c r="BJ205" t="s">
        <v>3369</v>
      </c>
      <c r="BK205" t="s">
        <v>3</v>
      </c>
      <c r="BL205" t="s">
        <v>132</v>
      </c>
      <c r="BM205" t="s">
        <v>1</v>
      </c>
      <c r="BN205">
        <f>Tabla1[[#This Row],[precio del paquete]]</f>
        <v>35000</v>
      </c>
      <c r="BO205" t="s">
        <v>1</v>
      </c>
      <c r="BP205" t="s">
        <v>1</v>
      </c>
      <c r="BQ205" t="s">
        <v>1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0</v>
      </c>
      <c r="BX205" t="s">
        <v>1</v>
      </c>
      <c r="BY205" t="s">
        <v>1</v>
      </c>
      <c r="BZ205" t="s">
        <v>1</v>
      </c>
      <c r="CA205" t="s">
        <v>1</v>
      </c>
      <c r="CB205" t="s">
        <v>3382</v>
      </c>
      <c r="CD205" t="str" cm="1">
        <f t="array" aca="1" ref="CD205" ca="1">eConcatenar(A205:CB205,"|")</f>
        <v>G4zCXE0wENsl8lHv|CAR2022-1033|3|DELUX|TABASCO|CARDENAS|CARDENAS|2022-02-16|35000|0|200|50|0|0|0|0|0|0|0|0|0|0|0||0|0|0|VAZQUEZ|BRIONES|BLANCA IDALIEL|SOLTERO|X|X|ANDADOR CACAO SUR MANZANA 16 LOTE 8|COLONIA INVITAB PASO Y PLAYA|X|9932779125|X|X|X|ANDADOR CACAO SUR MANZANA 16 LOTE 8|X|LUNES|x|x|x|x|x|DOMICILIO |300|34700|X|X|X|2022-02-22|2022-03-01|x|x|x|x|x|QWYNRBIY9KVZQO|x|HOMBRE|X|35000|X|X|X|X|X|X|X|X|CARDENAS|X|X|X|X|FINAL</v>
      </c>
    </row>
    <row r="206" spans="1:82" x14ac:dyDescent="0.25">
      <c r="A206" t="s">
        <v>526</v>
      </c>
      <c r="B206" t="s">
        <v>527</v>
      </c>
      <c r="C206">
        <v>3</v>
      </c>
      <c r="D206" t="s">
        <v>1369</v>
      </c>
      <c r="E206" t="s">
        <v>1380</v>
      </c>
      <c r="F206" t="s">
        <v>0</v>
      </c>
      <c r="G206" t="s">
        <v>0</v>
      </c>
      <c r="H206" t="s">
        <v>1417</v>
      </c>
      <c r="I206">
        <v>14800</v>
      </c>
      <c r="J206">
        <v>0</v>
      </c>
      <c r="K206">
        <v>200</v>
      </c>
      <c r="L206">
        <v>50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Y206">
        <v>0</v>
      </c>
      <c r="Z206">
        <v>0</v>
      </c>
      <c r="AA206">
        <v>0</v>
      </c>
      <c r="AB206" t="s">
        <v>1699</v>
      </c>
      <c r="AC206" t="s">
        <v>1708</v>
      </c>
      <c r="AD206" s="18" t="s">
        <v>1982</v>
      </c>
      <c r="AE206" t="s">
        <v>4</v>
      </c>
      <c r="AF206" t="s">
        <v>1</v>
      </c>
      <c r="AG206" t="s">
        <v>1</v>
      </c>
      <c r="AH206" t="s">
        <v>2613</v>
      </c>
      <c r="AI206" t="s">
        <v>3066</v>
      </c>
      <c r="AJ206" t="s">
        <v>1</v>
      </c>
      <c r="AK206">
        <v>9371013592</v>
      </c>
      <c r="AL206" t="s">
        <v>1</v>
      </c>
      <c r="AM206" t="s">
        <v>1</v>
      </c>
      <c r="AN206" t="s">
        <v>1</v>
      </c>
      <c r="AO206" t="s">
        <v>2613</v>
      </c>
      <c r="AP206" t="s">
        <v>1</v>
      </c>
      <c r="AQ206" t="s">
        <v>2</v>
      </c>
      <c r="AR206" t="s">
        <v>3</v>
      </c>
      <c r="AS206" t="s">
        <v>3</v>
      </c>
      <c r="AT206" t="s">
        <v>3</v>
      </c>
      <c r="AU206" t="s">
        <v>3</v>
      </c>
      <c r="AV206" t="s">
        <v>3</v>
      </c>
      <c r="AW206" t="s">
        <v>11</v>
      </c>
      <c r="AX206">
        <f>Tabla1[[#This Row],[precio del paquete]]-Tabla1[[#This Row],[Saldo_Deudor]]</f>
        <v>2400</v>
      </c>
      <c r="AY206">
        <v>12400</v>
      </c>
      <c r="AZ206" t="s">
        <v>1</v>
      </c>
      <c r="BA206" t="s">
        <v>1</v>
      </c>
      <c r="BB206" t="s">
        <v>1</v>
      </c>
      <c r="BC206" t="s">
        <v>3256</v>
      </c>
      <c r="BD206" t="s">
        <v>3250</v>
      </c>
      <c r="BE206" t="s">
        <v>3</v>
      </c>
      <c r="BF206" t="s">
        <v>3</v>
      </c>
      <c r="BG206" t="s">
        <v>3</v>
      </c>
      <c r="BH206" t="s">
        <v>3</v>
      </c>
      <c r="BI206" t="s">
        <v>3</v>
      </c>
      <c r="BJ206" t="s">
        <v>3363</v>
      </c>
      <c r="BK206" t="s">
        <v>3</v>
      </c>
      <c r="BL206" t="s">
        <v>132</v>
      </c>
      <c r="BM206" t="s">
        <v>1</v>
      </c>
      <c r="BN206">
        <f>Tabla1[[#This Row],[precio del paquete]]</f>
        <v>14800</v>
      </c>
      <c r="BO206" t="s">
        <v>1</v>
      </c>
      <c r="BP206" t="s">
        <v>1</v>
      </c>
      <c r="BQ206" t="s">
        <v>1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0</v>
      </c>
      <c r="BX206" t="s">
        <v>1</v>
      </c>
      <c r="BY206" t="s">
        <v>1</v>
      </c>
      <c r="BZ206" t="s">
        <v>1</v>
      </c>
      <c r="CA206" t="s">
        <v>1</v>
      </c>
      <c r="CB206" t="s">
        <v>3382</v>
      </c>
      <c r="CD206" t="str" cm="1">
        <f t="array" aca="1" ref="CD206" ca="1">eConcatenar(A206:CB206,"|")</f>
        <v>ShVwUssYuLo3XWI8|CAR2021-5034|3|MEMORIAL|TABASCO|CARDENAS|CARDENAS|2021-08-31|14800|0|200|50|1|0|0|0|0|0|0|0|0|0|0||0|0|0|CORDOVA||VERONICA LOPEZ|SOLTERO|X|X|ENTRADA POR LA CEIBA |RANCHERIA RIO SECO NORTE 10|X|9371013592|X|X|X|ENTRADA POR LA CEIBA |X|LUNES|x|x|x|x|x|DOMICILIO |2400|12400|X|X|X|2022-02-21|2022-02-28|x|x|x|x|x|QX002LUS9KVTQO|x|HOMBRE|X|14800|X|X|X|X|X|X|X|X|CARDENAS|X|X|X|X|FINAL</v>
      </c>
    </row>
    <row r="207" spans="1:82" x14ac:dyDescent="0.25">
      <c r="A207" t="s">
        <v>528</v>
      </c>
      <c r="B207" t="s">
        <v>529</v>
      </c>
      <c r="C207">
        <v>3</v>
      </c>
      <c r="D207" t="s">
        <v>1369</v>
      </c>
      <c r="E207" t="s">
        <v>1380</v>
      </c>
      <c r="F207" t="s">
        <v>0</v>
      </c>
      <c r="G207" t="s">
        <v>0</v>
      </c>
      <c r="H207" t="s">
        <v>1418</v>
      </c>
      <c r="I207">
        <v>14800</v>
      </c>
      <c r="J207">
        <v>0</v>
      </c>
      <c r="K207">
        <v>200</v>
      </c>
      <c r="L207">
        <v>50</v>
      </c>
      <c r="M207">
        <v>1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Y207">
        <v>0</v>
      </c>
      <c r="Z207">
        <v>0</v>
      </c>
      <c r="AA207">
        <v>0</v>
      </c>
      <c r="AB207" t="s">
        <v>1783</v>
      </c>
      <c r="AC207" t="s">
        <v>1711</v>
      </c>
      <c r="AD207" s="18" t="s">
        <v>1746</v>
      </c>
      <c r="AE207" t="s">
        <v>4</v>
      </c>
      <c r="AF207" t="s">
        <v>1</v>
      </c>
      <c r="AG207" t="s">
        <v>1</v>
      </c>
      <c r="AH207" t="s">
        <v>2614</v>
      </c>
      <c r="AI207" t="s">
        <v>3067</v>
      </c>
      <c r="AJ207" t="s">
        <v>1</v>
      </c>
      <c r="AK207">
        <v>9371314439</v>
      </c>
      <c r="AL207" t="s">
        <v>1</v>
      </c>
      <c r="AM207" t="s">
        <v>1</v>
      </c>
      <c r="AN207" t="s">
        <v>1</v>
      </c>
      <c r="AO207" t="s">
        <v>2614</v>
      </c>
      <c r="AP207" t="s">
        <v>1</v>
      </c>
      <c r="AQ207" t="s">
        <v>2</v>
      </c>
      <c r="AR207" t="s">
        <v>3</v>
      </c>
      <c r="AS207" t="s">
        <v>3</v>
      </c>
      <c r="AT207" t="s">
        <v>3</v>
      </c>
      <c r="AU207" t="s">
        <v>3</v>
      </c>
      <c r="AV207" t="s">
        <v>3</v>
      </c>
      <c r="AW207" t="s">
        <v>11</v>
      </c>
      <c r="AX207">
        <f>Tabla1[[#This Row],[precio del paquete]]-Tabla1[[#This Row],[Saldo_Deudor]]</f>
        <v>2250</v>
      </c>
      <c r="AY207">
        <v>12550</v>
      </c>
      <c r="AZ207" t="s">
        <v>1</v>
      </c>
      <c r="BA207" t="s">
        <v>1</v>
      </c>
      <c r="BB207" t="s">
        <v>1</v>
      </c>
      <c r="BC207" t="s">
        <v>3256</v>
      </c>
      <c r="BD207" t="s">
        <v>3250</v>
      </c>
      <c r="BE207" t="s">
        <v>3</v>
      </c>
      <c r="BF207" t="s">
        <v>3</v>
      </c>
      <c r="BG207" t="s">
        <v>3</v>
      </c>
      <c r="BH207" t="s">
        <v>3</v>
      </c>
      <c r="BI207" t="s">
        <v>3</v>
      </c>
      <c r="BJ207" t="s">
        <v>3363</v>
      </c>
      <c r="BK207" t="s">
        <v>3</v>
      </c>
      <c r="BL207" t="s">
        <v>132</v>
      </c>
      <c r="BM207" t="s">
        <v>1</v>
      </c>
      <c r="BN207">
        <f>Tabla1[[#This Row],[precio del paquete]]</f>
        <v>14800</v>
      </c>
      <c r="BO207" t="s">
        <v>1</v>
      </c>
      <c r="BP207" t="s">
        <v>1</v>
      </c>
      <c r="BQ207" t="s">
        <v>1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0</v>
      </c>
      <c r="BX207" t="s">
        <v>1</v>
      </c>
      <c r="BY207" t="s">
        <v>1</v>
      </c>
      <c r="BZ207" t="s">
        <v>1</v>
      </c>
      <c r="CA207" t="s">
        <v>1</v>
      </c>
      <c r="CB207" t="s">
        <v>3382</v>
      </c>
      <c r="CD207" t="str" cm="1">
        <f t="array" aca="1" ref="CD207" ca="1">eConcatenar(A207:CB207,"|")</f>
        <v>24HQpXCvxIu66oCB|CAR2021-4828|3|MEMORIAL|TABASCO|CARDENAS|CARDENAS|2021-08-24|14800|0|200|50|1|0|0|0|0|0|0|0|0|0|0||0|0|0|MENDEZ|HERNANDEZ|SEBASTIAN|SOLTERO|X|X|CARRETERA NORTE 10 SIN NOMBRE |RANCHERIA RIO SECO SEGUNDA SECCION |X|9371314439|X|X|X|CARRETERA NORTE 10 SIN NOMBRE |X|LUNES|x|x|x|x|x|DOMICILIO |2250|12550|X|X|X|2022-02-21|2022-02-28|x|x|x|x|x|QX002LUS9KVTQO|x|HOMBRE|X|14800|X|X|X|X|X|X|X|X|CARDENAS|X|X|X|X|FINAL</v>
      </c>
    </row>
    <row r="208" spans="1:82" x14ac:dyDescent="0.25">
      <c r="A208" t="s">
        <v>530</v>
      </c>
      <c r="B208" t="s">
        <v>531</v>
      </c>
      <c r="C208">
        <v>3</v>
      </c>
      <c r="D208" t="s">
        <v>1369</v>
      </c>
      <c r="E208" t="s">
        <v>1380</v>
      </c>
      <c r="F208" t="s">
        <v>0</v>
      </c>
      <c r="G208" t="s">
        <v>0</v>
      </c>
      <c r="H208" t="s">
        <v>1419</v>
      </c>
      <c r="I208">
        <v>14800</v>
      </c>
      <c r="J208">
        <v>0</v>
      </c>
      <c r="K208">
        <v>150</v>
      </c>
      <c r="L208">
        <v>50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Y208">
        <v>0</v>
      </c>
      <c r="Z208">
        <v>0</v>
      </c>
      <c r="AA208">
        <v>0</v>
      </c>
      <c r="AB208" t="s">
        <v>1731</v>
      </c>
      <c r="AC208" t="s">
        <v>1713</v>
      </c>
      <c r="AD208" s="18" t="s">
        <v>1983</v>
      </c>
      <c r="AE208" t="s">
        <v>4</v>
      </c>
      <c r="AF208" t="s">
        <v>1</v>
      </c>
      <c r="AG208" t="s">
        <v>1</v>
      </c>
      <c r="AH208" t="s">
        <v>2615</v>
      </c>
      <c r="AI208" t="s">
        <v>3067</v>
      </c>
      <c r="AJ208" t="s">
        <v>1</v>
      </c>
      <c r="AK208">
        <v>9371103325</v>
      </c>
      <c r="AL208" t="s">
        <v>1</v>
      </c>
      <c r="AM208" t="s">
        <v>1</v>
      </c>
      <c r="AN208" t="s">
        <v>1</v>
      </c>
      <c r="AO208" t="s">
        <v>2615</v>
      </c>
      <c r="AP208" t="s">
        <v>1</v>
      </c>
      <c r="AQ208" t="s">
        <v>2</v>
      </c>
      <c r="AR208" t="s">
        <v>3</v>
      </c>
      <c r="AS208" t="s">
        <v>3</v>
      </c>
      <c r="AT208" t="s">
        <v>3</v>
      </c>
      <c r="AU208" t="s">
        <v>3</v>
      </c>
      <c r="AV208" t="s">
        <v>3</v>
      </c>
      <c r="AW208" t="s">
        <v>11</v>
      </c>
      <c r="AX208">
        <f>Tabla1[[#This Row],[precio del paquete]]-Tabla1[[#This Row],[Saldo_Deudor]]</f>
        <v>1550</v>
      </c>
      <c r="AY208">
        <v>13250</v>
      </c>
      <c r="AZ208" t="s">
        <v>1</v>
      </c>
      <c r="BA208" t="s">
        <v>1</v>
      </c>
      <c r="BB208" t="s">
        <v>1</v>
      </c>
      <c r="BC208" t="s">
        <v>3256</v>
      </c>
      <c r="BD208" t="s">
        <v>3250</v>
      </c>
      <c r="BE208" t="s">
        <v>3</v>
      </c>
      <c r="BF208" t="s">
        <v>3</v>
      </c>
      <c r="BG208" t="s">
        <v>3</v>
      </c>
      <c r="BH208" t="s">
        <v>3</v>
      </c>
      <c r="BI208" t="s">
        <v>3</v>
      </c>
      <c r="BJ208" t="s">
        <v>3363</v>
      </c>
      <c r="BK208" t="s">
        <v>3</v>
      </c>
      <c r="BL208" t="s">
        <v>132</v>
      </c>
      <c r="BM208" t="s">
        <v>1</v>
      </c>
      <c r="BN208">
        <f>Tabla1[[#This Row],[precio del paquete]]</f>
        <v>14800</v>
      </c>
      <c r="BO208" t="s">
        <v>1</v>
      </c>
      <c r="BP208" t="s">
        <v>1</v>
      </c>
      <c r="BQ208" t="s">
        <v>1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0</v>
      </c>
      <c r="BX208" t="s">
        <v>1</v>
      </c>
      <c r="BY208" t="s">
        <v>1</v>
      </c>
      <c r="BZ208" t="s">
        <v>1</v>
      </c>
      <c r="CA208" t="s">
        <v>1</v>
      </c>
      <c r="CB208" t="s">
        <v>3382</v>
      </c>
      <c r="CD208" t="str" cm="1">
        <f t="array" aca="1" ref="CD208" ca="1">eConcatenar(A208:CB208,"|")</f>
        <v>QJosFwbWif3KZHtK|CAR2021-5462|3|MEMORIAL|TABASCO|CARDENAS|CARDENAS|2021-09-20|14800|0|150|50|1|0|0|0|0|0|0|0|0|0|0||0|0|0|GARCIA|DE LA CRUZ|MANUELA|SOLTERO|X|X|CARRETERA RUMBO A SANTA ROSALIA|RANCHERIA RIO SECO SEGUNDA SECCION |X|9371103325|X|X|X|CARRETERA RUMBO A SANTA ROSALIA|X|LUNES|x|x|x|x|x|DOMICILIO |1550|13250|X|X|X|2022-02-21|2022-02-28|x|x|x|x|x|QX002LUS9KVTQO|x|HOMBRE|X|14800|X|X|X|X|X|X|X|X|CARDENAS|X|X|X|X|FINAL</v>
      </c>
    </row>
    <row r="209" spans="1:82" x14ac:dyDescent="0.25">
      <c r="A209" t="s">
        <v>532</v>
      </c>
      <c r="B209" t="s">
        <v>533</v>
      </c>
      <c r="C209">
        <v>3</v>
      </c>
      <c r="D209" t="s">
        <v>1369</v>
      </c>
      <c r="E209" t="s">
        <v>1380</v>
      </c>
      <c r="F209" t="s">
        <v>0</v>
      </c>
      <c r="G209" t="s">
        <v>0</v>
      </c>
      <c r="H209" t="s">
        <v>1419</v>
      </c>
      <c r="I209">
        <v>14800</v>
      </c>
      <c r="J209">
        <v>0</v>
      </c>
      <c r="K209">
        <v>50</v>
      </c>
      <c r="L209">
        <v>50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Y209">
        <v>0</v>
      </c>
      <c r="Z209">
        <v>0</v>
      </c>
      <c r="AA209">
        <v>0</v>
      </c>
      <c r="AB209" t="s">
        <v>1783</v>
      </c>
      <c r="AC209" t="s">
        <v>1711</v>
      </c>
      <c r="AD209" s="18" t="s">
        <v>1984</v>
      </c>
      <c r="AE209" t="s">
        <v>4</v>
      </c>
      <c r="AF209" t="s">
        <v>1</v>
      </c>
      <c r="AG209" t="s">
        <v>1</v>
      </c>
      <c r="AH209" t="s">
        <v>2616</v>
      </c>
      <c r="AI209" t="s">
        <v>3067</v>
      </c>
      <c r="AJ209" t="s">
        <v>1</v>
      </c>
      <c r="AK209">
        <v>9371250355</v>
      </c>
      <c r="AL209" t="s">
        <v>1</v>
      </c>
      <c r="AM209" t="s">
        <v>1</v>
      </c>
      <c r="AN209" t="s">
        <v>1</v>
      </c>
      <c r="AO209" t="s">
        <v>2616</v>
      </c>
      <c r="AP209" t="s">
        <v>1</v>
      </c>
      <c r="AQ209" t="s">
        <v>2</v>
      </c>
      <c r="AR209" t="s">
        <v>3</v>
      </c>
      <c r="AS209" t="s">
        <v>3</v>
      </c>
      <c r="AT209" t="s">
        <v>3</v>
      </c>
      <c r="AU209" t="s">
        <v>3</v>
      </c>
      <c r="AV209" t="s">
        <v>3</v>
      </c>
      <c r="AW209" t="s">
        <v>11</v>
      </c>
      <c r="AX209">
        <f>Tabla1[[#This Row],[precio del paquete]]-Tabla1[[#This Row],[Saldo_Deudor]]</f>
        <v>1500</v>
      </c>
      <c r="AY209">
        <v>13300</v>
      </c>
      <c r="AZ209" t="s">
        <v>1</v>
      </c>
      <c r="BA209" t="s">
        <v>1</v>
      </c>
      <c r="BB209" t="s">
        <v>1</v>
      </c>
      <c r="BC209" t="s">
        <v>3256</v>
      </c>
      <c r="BD209" t="s">
        <v>3250</v>
      </c>
      <c r="BE209" t="s">
        <v>3</v>
      </c>
      <c r="BF209" t="s">
        <v>3</v>
      </c>
      <c r="BG209" t="s">
        <v>3</v>
      </c>
      <c r="BH209" t="s">
        <v>3</v>
      </c>
      <c r="BI209" t="s">
        <v>3</v>
      </c>
      <c r="BJ209" t="s">
        <v>3363</v>
      </c>
      <c r="BK209" t="s">
        <v>3</v>
      </c>
      <c r="BL209" t="s">
        <v>132</v>
      </c>
      <c r="BM209" t="s">
        <v>1</v>
      </c>
      <c r="BN209">
        <f>Tabla1[[#This Row],[precio del paquete]]</f>
        <v>14800</v>
      </c>
      <c r="BO209" t="s">
        <v>1</v>
      </c>
      <c r="BP209" t="s">
        <v>1</v>
      </c>
      <c r="BQ209" t="s">
        <v>1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0</v>
      </c>
      <c r="BX209" t="s">
        <v>1</v>
      </c>
      <c r="BY209" t="s">
        <v>1</v>
      </c>
      <c r="BZ209" t="s">
        <v>1</v>
      </c>
      <c r="CA209" t="s">
        <v>1</v>
      </c>
      <c r="CB209" t="s">
        <v>3382</v>
      </c>
      <c r="CD209" t="str" cm="1">
        <f t="array" aca="1" ref="CD209" ca="1">eConcatenar(A209:CB209,"|")</f>
        <v>gABX5aWRXiU7cdIS|CAR2021-5460|3|MEMORIAL|TABASCO|CARDENAS|CARDENAS|2021-09-20|14800|0|50|50|1|0|0|0|0|0|0|0|0|0|0||0|0|0|MENDEZ|HERNANDEZ|ARSENIO|SOLTERO|X|X|CARRETERA A SANTA ROSALIA KILOMETRO 10|RANCHERIA RIO SECO SEGUNDA SECCION |X|9371250355|X|X|X|CARRETERA A SANTA ROSALIA KILOMETRO 10|X|LUNES|x|x|x|x|x|DOMICILIO |1500|13300|X|X|X|2022-02-21|2022-02-28|x|x|x|x|x|QX002LUS9KVTQO|x|HOMBRE|X|14800|X|X|X|X|X|X|X|X|CARDENAS|X|X|X|X|FINAL</v>
      </c>
    </row>
    <row r="210" spans="1:82" x14ac:dyDescent="0.25">
      <c r="A210" t="s">
        <v>534</v>
      </c>
      <c r="B210" t="s">
        <v>535</v>
      </c>
      <c r="C210">
        <v>3</v>
      </c>
      <c r="D210" t="s">
        <v>1368</v>
      </c>
      <c r="E210" t="s">
        <v>1380</v>
      </c>
      <c r="F210" t="s">
        <v>0</v>
      </c>
      <c r="G210" t="s">
        <v>0</v>
      </c>
      <c r="H210" t="s">
        <v>1420</v>
      </c>
      <c r="I210">
        <v>24500</v>
      </c>
      <c r="J210">
        <v>0</v>
      </c>
      <c r="K210">
        <v>100</v>
      </c>
      <c r="L210">
        <v>50</v>
      </c>
      <c r="M210">
        <v>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Y210">
        <v>0</v>
      </c>
      <c r="Z210">
        <v>0</v>
      </c>
      <c r="AA210">
        <v>0</v>
      </c>
      <c r="AB210" t="s">
        <v>1919</v>
      </c>
      <c r="AC210" t="s">
        <v>1711</v>
      </c>
      <c r="AD210" s="18" t="s">
        <v>1985</v>
      </c>
      <c r="AE210" t="s">
        <v>4</v>
      </c>
      <c r="AF210" t="s">
        <v>1</v>
      </c>
      <c r="AG210" t="s">
        <v>1</v>
      </c>
      <c r="AH210" t="s">
        <v>2594</v>
      </c>
      <c r="AI210" t="s">
        <v>3068</v>
      </c>
      <c r="AJ210" t="s">
        <v>1</v>
      </c>
      <c r="AK210">
        <v>9371185717</v>
      </c>
      <c r="AL210" t="s">
        <v>1</v>
      </c>
      <c r="AM210" t="s">
        <v>1</v>
      </c>
      <c r="AN210" t="s">
        <v>1</v>
      </c>
      <c r="AO210" t="s">
        <v>2594</v>
      </c>
      <c r="AP210" t="s">
        <v>1</v>
      </c>
      <c r="AQ210" t="s">
        <v>2</v>
      </c>
      <c r="AR210" t="s">
        <v>3</v>
      </c>
      <c r="AS210" t="s">
        <v>3</v>
      </c>
      <c r="AT210" t="s">
        <v>3</v>
      </c>
      <c r="AU210" t="s">
        <v>3</v>
      </c>
      <c r="AV210" t="s">
        <v>3</v>
      </c>
      <c r="AW210" t="s">
        <v>11</v>
      </c>
      <c r="AX210">
        <f>Tabla1[[#This Row],[precio del paquete]]-Tabla1[[#This Row],[Saldo_Deudor]]</f>
        <v>400</v>
      </c>
      <c r="AY210">
        <v>24100</v>
      </c>
      <c r="AZ210" t="s">
        <v>1</v>
      </c>
      <c r="BA210" t="s">
        <v>1</v>
      </c>
      <c r="BB210" t="s">
        <v>1</v>
      </c>
      <c r="BC210" t="s">
        <v>1387</v>
      </c>
      <c r="BD210" t="s">
        <v>1397</v>
      </c>
      <c r="BE210" t="s">
        <v>3</v>
      </c>
      <c r="BF210" t="s">
        <v>3</v>
      </c>
      <c r="BG210" t="s">
        <v>3</v>
      </c>
      <c r="BH210" t="s">
        <v>3</v>
      </c>
      <c r="BI210" t="s">
        <v>3</v>
      </c>
      <c r="BJ210" t="s">
        <v>3363</v>
      </c>
      <c r="BK210" t="s">
        <v>3</v>
      </c>
      <c r="BL210" t="s">
        <v>132</v>
      </c>
      <c r="BM210" t="s">
        <v>1</v>
      </c>
      <c r="BN210">
        <f>Tabla1[[#This Row],[precio del paquete]]</f>
        <v>24500</v>
      </c>
      <c r="BO210" t="s">
        <v>1</v>
      </c>
      <c r="BP210" t="s">
        <v>1</v>
      </c>
      <c r="BQ210" t="s">
        <v>1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0</v>
      </c>
      <c r="BX210" t="s">
        <v>1</v>
      </c>
      <c r="BY210" t="s">
        <v>1</v>
      </c>
      <c r="BZ210" t="s">
        <v>1</v>
      </c>
      <c r="CA210" t="s">
        <v>1</v>
      </c>
      <c r="CB210" t="s">
        <v>3382</v>
      </c>
      <c r="CD210" t="str" cm="1">
        <f t="array" aca="1" ref="CD210" ca="1">eConcatenar(A210:CB210,"|")</f>
        <v>nmruBxEJhoZ5c76O|CAR2021-7509|3|DIGNITY|TABASCO|CARDENAS|CARDENAS|2021-12-11|24500|0|100|50|1|0|0|0|0|0|0|0|0|0|0||0|0|0|RAMIREZ|HERNANDEZ|MARIA CRUZ|SOLTERO|X|X|CARRETERA PRINCIPAL|RANCHERIA ZAPOTAL PRIMERA SECCION |X|9371185717|X|X|X|CARRETERA PRINCIPAL|X|LUNES|x|x|x|x|x|DOMICILIO |400|24100|X|X|X|2022-01-31|2022-02-07|x|x|x|x|x|QX002LUS9KVTQO|x|HOMBRE|X|24500|X|X|X|X|X|X|X|X|CARDENAS|X|X|X|X|FINAL</v>
      </c>
    </row>
    <row r="211" spans="1:82" x14ac:dyDescent="0.25">
      <c r="A211" t="s">
        <v>536</v>
      </c>
      <c r="B211" t="s">
        <v>537</v>
      </c>
      <c r="C211">
        <v>3</v>
      </c>
      <c r="D211" t="s">
        <v>1373</v>
      </c>
      <c r="E211" t="s">
        <v>1380</v>
      </c>
      <c r="F211" t="s">
        <v>1384</v>
      </c>
      <c r="G211" t="s">
        <v>1384</v>
      </c>
      <c r="H211" t="s">
        <v>1421</v>
      </c>
      <c r="I211">
        <v>19800</v>
      </c>
      <c r="J211">
        <v>0</v>
      </c>
      <c r="K211">
        <v>400</v>
      </c>
      <c r="L211">
        <v>50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Y211">
        <v>0</v>
      </c>
      <c r="Z211">
        <v>0</v>
      </c>
      <c r="AA211">
        <v>0</v>
      </c>
      <c r="AB211" t="s">
        <v>1711</v>
      </c>
      <c r="AC211" t="s">
        <v>1731</v>
      </c>
      <c r="AD211" s="18" t="s">
        <v>1986</v>
      </c>
      <c r="AE211" t="s">
        <v>4</v>
      </c>
      <c r="AF211" t="s">
        <v>1</v>
      </c>
      <c r="AG211" t="s">
        <v>1</v>
      </c>
      <c r="AH211" t="s">
        <v>2617</v>
      </c>
      <c r="AI211" t="s">
        <v>5</v>
      </c>
      <c r="AJ211" t="s">
        <v>1</v>
      </c>
      <c r="AK211">
        <v>993767624</v>
      </c>
      <c r="AL211" t="s">
        <v>1</v>
      </c>
      <c r="AM211" t="s">
        <v>1</v>
      </c>
      <c r="AN211" t="s">
        <v>1</v>
      </c>
      <c r="AO211" t="s">
        <v>2617</v>
      </c>
      <c r="AP211" t="s">
        <v>1</v>
      </c>
      <c r="AQ211" t="s">
        <v>2</v>
      </c>
      <c r="AR211" t="s">
        <v>3</v>
      </c>
      <c r="AS211" t="s">
        <v>3</v>
      </c>
      <c r="AT211" t="s">
        <v>3</v>
      </c>
      <c r="AU211" t="s">
        <v>3</v>
      </c>
      <c r="AV211" t="s">
        <v>3</v>
      </c>
      <c r="AW211" t="s">
        <v>11</v>
      </c>
      <c r="AX211">
        <f>Tabla1[[#This Row],[precio del paquete]]-Tabla1[[#This Row],[Saldo_Deudor]]</f>
        <v>8400</v>
      </c>
      <c r="AY211">
        <v>11400</v>
      </c>
      <c r="AZ211" t="s">
        <v>1</v>
      </c>
      <c r="BA211" t="s">
        <v>1</v>
      </c>
      <c r="BB211" t="s">
        <v>1</v>
      </c>
      <c r="BC211" t="s">
        <v>3257</v>
      </c>
      <c r="BD211" t="s">
        <v>1521</v>
      </c>
      <c r="BE211" t="s">
        <v>3</v>
      </c>
      <c r="BF211" t="s">
        <v>3</v>
      </c>
      <c r="BG211" t="s">
        <v>3</v>
      </c>
      <c r="BH211" t="s">
        <v>3</v>
      </c>
      <c r="BI211" t="s">
        <v>3</v>
      </c>
      <c r="BJ211" t="s">
        <v>3373</v>
      </c>
      <c r="BK211" t="s">
        <v>3</v>
      </c>
      <c r="BL211" t="s">
        <v>132</v>
      </c>
      <c r="BM211" t="s">
        <v>1</v>
      </c>
      <c r="BN211">
        <f>Tabla1[[#This Row],[precio del paquete]]</f>
        <v>19800</v>
      </c>
      <c r="BO211" t="s">
        <v>1</v>
      </c>
      <c r="BP211" t="s">
        <v>1</v>
      </c>
      <c r="BQ211" t="s">
        <v>1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0</v>
      </c>
      <c r="BX211" t="s">
        <v>1</v>
      </c>
      <c r="BY211" t="s">
        <v>1</v>
      </c>
      <c r="BZ211" t="s">
        <v>1</v>
      </c>
      <c r="CA211" t="s">
        <v>1</v>
      </c>
      <c r="CB211" t="s">
        <v>3382</v>
      </c>
      <c r="CD211" t="str" cm="1">
        <f t="array" aca="1" ref="CD211" ca="1">eConcatenar(A211:CB211,"|")</f>
        <v>NSb46GnYrx3Lr99V|COM2021-0531|3|ZAFIRO|TABASCO|COMALCALCO|COMALCALCO|2021-02-13|19800|0|400|50|1|0|0|0|0|0|0|0|0|0|0||0|0|0|HERNANDEZ|GARCIA|MARIA ISABEL|SOLTERO|X|X|RANCHERIA GREGORIO MENDEZ PRIMERA SECCION|CENTRO|X|993767624|X|X|X|RANCHERIA GREGORIO MENDEZ PRIMERA SECCION|X|LUNES|x|x|x|x|x|DOMICILIO |8400|11400|X|X|X|2021-07-20|2021-07-27|x|x|x|x|x|QX002MIY9KVTQO|x|HOMBRE|X|19800|X|X|X|X|X|X|X|X|CARDENAS|X|X|X|X|FINAL</v>
      </c>
    </row>
    <row r="212" spans="1:82" x14ac:dyDescent="0.25">
      <c r="A212" t="s">
        <v>538</v>
      </c>
      <c r="B212" t="s">
        <v>539</v>
      </c>
      <c r="C212">
        <v>3</v>
      </c>
      <c r="D212" t="s">
        <v>1369</v>
      </c>
      <c r="E212" t="s">
        <v>1380</v>
      </c>
      <c r="F212" t="s">
        <v>1384</v>
      </c>
      <c r="G212" t="s">
        <v>1384</v>
      </c>
      <c r="H212" t="s">
        <v>1422</v>
      </c>
      <c r="I212">
        <v>14800</v>
      </c>
      <c r="J212">
        <v>0</v>
      </c>
      <c r="K212">
        <v>50</v>
      </c>
      <c r="L212">
        <v>50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Y212">
        <v>0</v>
      </c>
      <c r="Z212">
        <v>0</v>
      </c>
      <c r="AA212">
        <v>0</v>
      </c>
      <c r="AB212" t="s">
        <v>1711</v>
      </c>
      <c r="AC212" t="s">
        <v>1987</v>
      </c>
      <c r="AD212" s="18" t="s">
        <v>1988</v>
      </c>
      <c r="AE212" t="s">
        <v>4</v>
      </c>
      <c r="AF212" t="s">
        <v>1</v>
      </c>
      <c r="AG212" t="s">
        <v>1</v>
      </c>
      <c r="AH212" t="s">
        <v>2618</v>
      </c>
      <c r="AI212" t="s">
        <v>3069</v>
      </c>
      <c r="AJ212" t="s">
        <v>1</v>
      </c>
      <c r="AK212">
        <v>9331352687</v>
      </c>
      <c r="AL212" t="s">
        <v>1</v>
      </c>
      <c r="AM212" t="s">
        <v>1</v>
      </c>
      <c r="AN212" t="s">
        <v>1</v>
      </c>
      <c r="AO212" t="s">
        <v>2618</v>
      </c>
      <c r="AP212" t="s">
        <v>1</v>
      </c>
      <c r="AQ212" t="s">
        <v>2</v>
      </c>
      <c r="AR212" t="s">
        <v>3</v>
      </c>
      <c r="AS212" t="s">
        <v>3</v>
      </c>
      <c r="AT212" t="s">
        <v>3</v>
      </c>
      <c r="AU212" t="s">
        <v>3</v>
      </c>
      <c r="AV212" t="s">
        <v>3</v>
      </c>
      <c r="AW212" t="s">
        <v>11</v>
      </c>
      <c r="AX212">
        <f>Tabla1[[#This Row],[precio del paquete]]-Tabla1[[#This Row],[Saldo_Deudor]]</f>
        <v>50</v>
      </c>
      <c r="AY212">
        <v>14750</v>
      </c>
      <c r="AZ212" t="s">
        <v>1</v>
      </c>
      <c r="BA212" t="s">
        <v>1</v>
      </c>
      <c r="BB212" t="s">
        <v>1</v>
      </c>
      <c r="BC212" t="s">
        <v>1644</v>
      </c>
      <c r="BD212" t="s">
        <v>3313</v>
      </c>
      <c r="BE212" t="s">
        <v>3</v>
      </c>
      <c r="BF212" t="s">
        <v>3</v>
      </c>
      <c r="BG212" t="s">
        <v>3</v>
      </c>
      <c r="BH212" t="s">
        <v>3</v>
      </c>
      <c r="BI212" t="s">
        <v>3</v>
      </c>
      <c r="BJ212" t="s">
        <v>3373</v>
      </c>
      <c r="BK212" t="s">
        <v>3</v>
      </c>
      <c r="BL212" t="s">
        <v>132</v>
      </c>
      <c r="BM212" t="s">
        <v>1</v>
      </c>
      <c r="BN212">
        <f>Tabla1[[#This Row],[precio del paquete]]</f>
        <v>14800</v>
      </c>
      <c r="BO212" t="s">
        <v>1</v>
      </c>
      <c r="BP212" t="s">
        <v>1</v>
      </c>
      <c r="BQ212" t="s">
        <v>1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0</v>
      </c>
      <c r="BX212" t="s">
        <v>1</v>
      </c>
      <c r="BY212" t="s">
        <v>1</v>
      </c>
      <c r="BZ212" t="s">
        <v>1</v>
      </c>
      <c r="CA212" t="s">
        <v>1</v>
      </c>
      <c r="CB212" t="s">
        <v>3382</v>
      </c>
      <c r="CD212" t="str" cm="1">
        <f t="array" aca="1" ref="CD212" ca="1">eConcatenar(A212:CB212,"|")</f>
        <v>Txd9Zh827BOZTrPJ|COM2021-3756|3|MEMORIAL|TABASCO|COMALCALCO|COMALCALCO|2021-11-23|14800|0|50|50|1|0|0|0|0|0|0|0|0|0|0||0|0|0|HERNANDEZ|CHABLE|JUAN IGNAIO|SOLTERO|X|X|MOCTEZUMA|RANCHERIA MOCTEZUMA TERCERA|X|9331352687|X|X|X|MOCTEZUMA|X|LUNES|x|x|x|x|x|DOMICILIO |50|14750|X|X|X|2021-11-22|2021-11-29|x|x|x|x|x|QX002MIY9KVTQO|x|HOMBRE|X|14800|X|X|X|X|X|X|X|X|CARDENAS|X|X|X|X|FINAL</v>
      </c>
    </row>
    <row r="213" spans="1:82" x14ac:dyDescent="0.25">
      <c r="A213" t="s">
        <v>540</v>
      </c>
      <c r="B213" t="s">
        <v>541</v>
      </c>
      <c r="C213">
        <v>3</v>
      </c>
      <c r="D213" t="s">
        <v>1369</v>
      </c>
      <c r="E213" t="s">
        <v>1380</v>
      </c>
      <c r="F213" t="s">
        <v>1384</v>
      </c>
      <c r="G213" t="s">
        <v>1384</v>
      </c>
      <c r="H213" t="s">
        <v>1423</v>
      </c>
      <c r="I213">
        <v>14800</v>
      </c>
      <c r="J213">
        <v>0</v>
      </c>
      <c r="K213">
        <v>200</v>
      </c>
      <c r="L213">
        <v>50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Y213">
        <v>0</v>
      </c>
      <c r="Z213">
        <v>0</v>
      </c>
      <c r="AA213">
        <v>0</v>
      </c>
      <c r="AB213" t="s">
        <v>1758</v>
      </c>
      <c r="AC213" t="s">
        <v>1989</v>
      </c>
      <c r="AD213" s="18" t="s">
        <v>1990</v>
      </c>
      <c r="AE213" t="s">
        <v>4</v>
      </c>
      <c r="AF213" t="s">
        <v>1</v>
      </c>
      <c r="AG213" t="s">
        <v>1</v>
      </c>
      <c r="AH213" t="s">
        <v>2619</v>
      </c>
      <c r="AI213" t="s">
        <v>3070</v>
      </c>
      <c r="AJ213" t="s">
        <v>1</v>
      </c>
      <c r="AK213">
        <v>9332070476</v>
      </c>
      <c r="AL213" t="s">
        <v>1</v>
      </c>
      <c r="AM213" t="s">
        <v>1</v>
      </c>
      <c r="AN213" t="s">
        <v>1</v>
      </c>
      <c r="AO213" t="s">
        <v>2619</v>
      </c>
      <c r="AP213" t="s">
        <v>1</v>
      </c>
      <c r="AQ213" t="s">
        <v>2</v>
      </c>
      <c r="AR213" t="s">
        <v>3</v>
      </c>
      <c r="AS213" t="s">
        <v>3</v>
      </c>
      <c r="AT213" t="s">
        <v>3</v>
      </c>
      <c r="AU213" t="s">
        <v>3</v>
      </c>
      <c r="AV213" t="s">
        <v>3</v>
      </c>
      <c r="AW213" t="s">
        <v>11</v>
      </c>
      <c r="AX213">
        <f>Tabla1[[#This Row],[precio del paquete]]-Tabla1[[#This Row],[Saldo_Deudor]]</f>
        <v>500</v>
      </c>
      <c r="AY213">
        <v>14300</v>
      </c>
      <c r="AZ213" t="s">
        <v>1</v>
      </c>
      <c r="BA213" t="s">
        <v>1</v>
      </c>
      <c r="BB213" t="s">
        <v>1</v>
      </c>
      <c r="BC213" t="s">
        <v>3258</v>
      </c>
      <c r="BD213" t="s">
        <v>1526</v>
      </c>
      <c r="BE213" t="s">
        <v>3</v>
      </c>
      <c r="BF213" t="s">
        <v>3</v>
      </c>
      <c r="BG213" t="s">
        <v>3</v>
      </c>
      <c r="BH213" t="s">
        <v>3</v>
      </c>
      <c r="BI213" t="s">
        <v>3</v>
      </c>
      <c r="BJ213" t="s">
        <v>3373</v>
      </c>
      <c r="BK213" t="s">
        <v>3</v>
      </c>
      <c r="BL213" t="s">
        <v>132</v>
      </c>
      <c r="BM213" t="s">
        <v>1</v>
      </c>
      <c r="BN213">
        <f>Tabla1[[#This Row],[precio del paquete]]</f>
        <v>14800</v>
      </c>
      <c r="BO213" t="s">
        <v>1</v>
      </c>
      <c r="BP213" t="s">
        <v>1</v>
      </c>
      <c r="BQ213" t="s">
        <v>1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0</v>
      </c>
      <c r="BX213" t="s">
        <v>1</v>
      </c>
      <c r="BY213" t="s">
        <v>1</v>
      </c>
      <c r="BZ213" t="s">
        <v>1</v>
      </c>
      <c r="CA213" t="s">
        <v>1</v>
      </c>
      <c r="CB213" t="s">
        <v>3382</v>
      </c>
      <c r="CD213" t="str" cm="1">
        <f t="array" aca="1" ref="CD213" ca="1">eConcatenar(A213:CB213,"|")</f>
        <v>UEtttknEfpOno6R9|COM2021-1957|3|MEMORIAL|TABASCO|COMALCALCO|COMALCALCO|2021-06-10|14800|0|200|50|1|0|0|0|0|0|0|0|0|0|0||0|0|0|ARIAS|TRINIDAD|NOE|SOLTERO|X|X|CARRETERA A POTRERITOS SIN NUMERO|RANCHERIA ZAPOTAL TERCERA SECCION |X|9332070476|X|X|X|CARRETERA A POTRERITOS SIN NUMERO|X|LUNES|x|x|x|x|x|DOMICILIO |500|14300|X|X|X|2021-07-06|2021-07-13|x|x|x|x|x|QX002MIY9KVTQO|x|HOMBRE|X|14800|X|X|X|X|X|X|X|X|CARDENAS|X|X|X|X|FINAL</v>
      </c>
    </row>
    <row r="214" spans="1:82" x14ac:dyDescent="0.25">
      <c r="A214" t="s">
        <v>542</v>
      </c>
      <c r="B214" t="s">
        <v>543</v>
      </c>
      <c r="C214">
        <v>3</v>
      </c>
      <c r="D214" t="s">
        <v>1369</v>
      </c>
      <c r="E214" t="s">
        <v>1380</v>
      </c>
      <c r="F214" t="s">
        <v>1384</v>
      </c>
      <c r="G214" t="s">
        <v>1384</v>
      </c>
      <c r="H214" t="s">
        <v>1424</v>
      </c>
      <c r="I214">
        <v>14800</v>
      </c>
      <c r="J214">
        <v>0</v>
      </c>
      <c r="K214">
        <v>200</v>
      </c>
      <c r="L214">
        <v>50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Y214">
        <v>0</v>
      </c>
      <c r="Z214">
        <v>0</v>
      </c>
      <c r="AA214">
        <v>0</v>
      </c>
      <c r="AB214" t="s">
        <v>1744</v>
      </c>
      <c r="AC214" t="s">
        <v>1790</v>
      </c>
      <c r="AD214" s="18" t="s">
        <v>1991</v>
      </c>
      <c r="AE214" t="s">
        <v>4</v>
      </c>
      <c r="AF214" t="s">
        <v>1</v>
      </c>
      <c r="AG214" t="s">
        <v>1</v>
      </c>
      <c r="AH214" t="s">
        <v>2620</v>
      </c>
      <c r="AI214" t="s">
        <v>3071</v>
      </c>
      <c r="AJ214" t="s">
        <v>1</v>
      </c>
      <c r="AK214">
        <v>9331255918</v>
      </c>
      <c r="AL214" t="s">
        <v>1</v>
      </c>
      <c r="AM214" t="s">
        <v>1</v>
      </c>
      <c r="AN214" t="s">
        <v>1</v>
      </c>
      <c r="AO214" t="s">
        <v>2620</v>
      </c>
      <c r="AP214" t="s">
        <v>1</v>
      </c>
      <c r="AQ214" t="s">
        <v>2</v>
      </c>
      <c r="AR214" t="s">
        <v>3</v>
      </c>
      <c r="AS214" t="s">
        <v>3</v>
      </c>
      <c r="AT214" t="s">
        <v>3</v>
      </c>
      <c r="AU214" t="s">
        <v>3</v>
      </c>
      <c r="AV214" t="s">
        <v>3</v>
      </c>
      <c r="AW214" t="s">
        <v>11</v>
      </c>
      <c r="AX214">
        <f>Tabla1[[#This Row],[precio del paquete]]-Tabla1[[#This Row],[Saldo_Deudor]]</f>
        <v>400</v>
      </c>
      <c r="AY214">
        <v>14400</v>
      </c>
      <c r="AZ214" t="s">
        <v>1</v>
      </c>
      <c r="BA214" t="s">
        <v>1</v>
      </c>
      <c r="BB214" t="s">
        <v>1</v>
      </c>
      <c r="BC214" t="s">
        <v>3259</v>
      </c>
      <c r="BD214" t="s">
        <v>1403</v>
      </c>
      <c r="BE214" t="s">
        <v>3</v>
      </c>
      <c r="BF214" t="s">
        <v>3</v>
      </c>
      <c r="BG214" t="s">
        <v>3</v>
      </c>
      <c r="BH214" t="s">
        <v>3</v>
      </c>
      <c r="BI214" t="s">
        <v>3</v>
      </c>
      <c r="BJ214" t="s">
        <v>3373</v>
      </c>
      <c r="BK214" t="s">
        <v>3</v>
      </c>
      <c r="BL214" t="s">
        <v>132</v>
      </c>
      <c r="BM214" t="s">
        <v>1</v>
      </c>
      <c r="BN214">
        <f>Tabla1[[#This Row],[precio del paquete]]</f>
        <v>14800</v>
      </c>
      <c r="BO214" t="s">
        <v>1</v>
      </c>
      <c r="BP214" t="s">
        <v>1</v>
      </c>
      <c r="BQ214" t="s">
        <v>1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0</v>
      </c>
      <c r="BX214" t="s">
        <v>1</v>
      </c>
      <c r="BY214" t="s">
        <v>1</v>
      </c>
      <c r="BZ214" t="s">
        <v>1</v>
      </c>
      <c r="CA214" t="s">
        <v>1</v>
      </c>
      <c r="CB214" t="s">
        <v>3382</v>
      </c>
      <c r="CD214" t="str" cm="1">
        <f t="array" aca="1" ref="CD214" ca="1">eConcatenar(A214:CB214,"|")</f>
        <v>n7d8i93qNnuLfU2X|COM2022-0153|3|MEMORIAL|TABASCO|COMALCALCO|COMALCALCO|2022-01-14|14800|0|200|50|1|0|0|0|0|0|0|0|0|0|0||0|0|0|PEREZ|DOMINGUEZ|VERONICA|SOLTERO|X|X|FRANCISCO I MADERO|RANCHERIA FRANCISCO I MADERO PRIMEA SECCION|X|9331255918|X|X|X|FRANCISCO I MADERO|X|LUNES|x|x|x|x|x|DOMICILIO |400|14400|X|X|X|2022-01-03|2022-01-10|x|x|x|x|x|QX002MIY9KVTQO|x|HOMBRE|X|14800|X|X|X|X|X|X|X|X|CARDENAS|X|X|X|X|FINAL</v>
      </c>
    </row>
    <row r="215" spans="1:82" x14ac:dyDescent="0.25">
      <c r="A215" t="s">
        <v>544</v>
      </c>
      <c r="B215" t="s">
        <v>545</v>
      </c>
      <c r="C215">
        <v>3</v>
      </c>
      <c r="D215" t="s">
        <v>1369</v>
      </c>
      <c r="E215" t="s">
        <v>1380</v>
      </c>
      <c r="F215" t="s">
        <v>1385</v>
      </c>
      <c r="G215" t="s">
        <v>1385</v>
      </c>
      <c r="H215" t="s">
        <v>1425</v>
      </c>
      <c r="I215">
        <v>14800</v>
      </c>
      <c r="J215">
        <v>0</v>
      </c>
      <c r="K215">
        <v>500</v>
      </c>
      <c r="L215">
        <v>50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Y215">
        <v>0</v>
      </c>
      <c r="Z215">
        <v>0</v>
      </c>
      <c r="AA215">
        <v>0</v>
      </c>
      <c r="AB215" t="s">
        <v>1992</v>
      </c>
      <c r="AC215" t="s">
        <v>1713</v>
      </c>
      <c r="AD215" s="18" t="s">
        <v>1993</v>
      </c>
      <c r="AE215" t="s">
        <v>4</v>
      </c>
      <c r="AF215" t="s">
        <v>1</v>
      </c>
      <c r="AG215" t="s">
        <v>1</v>
      </c>
      <c r="AH215" t="s">
        <v>2621</v>
      </c>
      <c r="AI215" t="s">
        <v>3072</v>
      </c>
      <c r="AJ215" t="s">
        <v>1</v>
      </c>
      <c r="AK215">
        <v>9331350185</v>
      </c>
      <c r="AL215" t="s">
        <v>1</v>
      </c>
      <c r="AM215" t="s">
        <v>1</v>
      </c>
      <c r="AN215" t="s">
        <v>1</v>
      </c>
      <c r="AO215" t="s">
        <v>2621</v>
      </c>
      <c r="AP215" t="s">
        <v>1</v>
      </c>
      <c r="AQ215" t="s">
        <v>2</v>
      </c>
      <c r="AR215" t="s">
        <v>3</v>
      </c>
      <c r="AS215" t="s">
        <v>3</v>
      </c>
      <c r="AT215" t="s">
        <v>3</v>
      </c>
      <c r="AU215" t="s">
        <v>3</v>
      </c>
      <c r="AV215" t="s">
        <v>3</v>
      </c>
      <c r="AW215" t="s">
        <v>11</v>
      </c>
      <c r="AX215">
        <f>Tabla1[[#This Row],[precio del paquete]]-Tabla1[[#This Row],[Saldo_Deudor]]</f>
        <v>700</v>
      </c>
      <c r="AY215">
        <v>14100</v>
      </c>
      <c r="AZ215" t="s">
        <v>1</v>
      </c>
      <c r="BA215" t="s">
        <v>1</v>
      </c>
      <c r="BB215" t="s">
        <v>1</v>
      </c>
      <c r="BC215" t="s">
        <v>3260</v>
      </c>
      <c r="BD215" t="s">
        <v>3314</v>
      </c>
      <c r="BE215" t="s">
        <v>3</v>
      </c>
      <c r="BF215" t="s">
        <v>3</v>
      </c>
      <c r="BG215" t="s">
        <v>3</v>
      </c>
      <c r="BH215" t="s">
        <v>3</v>
      </c>
      <c r="BI215" t="s">
        <v>3</v>
      </c>
      <c r="BJ215" t="s">
        <v>3373</v>
      </c>
      <c r="BK215" t="s">
        <v>3</v>
      </c>
      <c r="BL215" t="s">
        <v>132</v>
      </c>
      <c r="BM215" t="s">
        <v>1</v>
      </c>
      <c r="BN215">
        <f>Tabla1[[#This Row],[precio del paquete]]</f>
        <v>14800</v>
      </c>
      <c r="BO215" t="s">
        <v>1</v>
      </c>
      <c r="BP215" t="s">
        <v>1</v>
      </c>
      <c r="BQ215" t="s">
        <v>1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0</v>
      </c>
      <c r="BX215" t="s">
        <v>1</v>
      </c>
      <c r="BY215" t="s">
        <v>1</v>
      </c>
      <c r="BZ215" t="s">
        <v>1</v>
      </c>
      <c r="CA215" t="s">
        <v>1</v>
      </c>
      <c r="CB215" t="s">
        <v>3382</v>
      </c>
      <c r="CD215" t="str" cm="1">
        <f t="array" aca="1" ref="CD215" ca="1">eConcatenar(A215:CB215,"|")</f>
        <v>ORGct4V8YSj2oQ5a|PAR2021-3993|3|MEMORIAL|TABASCO|PARAISO|PARAISO|2021-12-24|14800|0|500|50|1|0|0|0|0|0|0|0|0|0|0||0|0|0|ESPERANZA|DE LA CRUZ|GLORIA|SOLTERO|X|X|CARRETERA VECINAL PARAISO COMALCALCO|COLONIA FRANCISCO I MADERO  (MADERO)|X|9331350185|X|X|X|CARRETERA VECINAL PARAISO COMALCALCO|X|LUNES|x|x|x|x|x|DOMICILIO |700|14100|X|X|X|2021-10-03|2021-10-10|x|x|x|x|x|QX002MIY9KVTQO|x|HOMBRE|X|14800|X|X|X|X|X|X|X|X|CARDENAS|X|X|X|X|FINAL</v>
      </c>
    </row>
    <row r="216" spans="1:82" x14ac:dyDescent="0.25">
      <c r="A216" t="s">
        <v>546</v>
      </c>
      <c r="B216" t="s">
        <v>547</v>
      </c>
      <c r="C216">
        <v>3</v>
      </c>
      <c r="D216" t="s">
        <v>1369</v>
      </c>
      <c r="E216" t="s">
        <v>1380</v>
      </c>
      <c r="F216" t="s">
        <v>1385</v>
      </c>
      <c r="G216" t="s">
        <v>1385</v>
      </c>
      <c r="H216" t="s">
        <v>1425</v>
      </c>
      <c r="I216">
        <v>14800</v>
      </c>
      <c r="J216">
        <v>0</v>
      </c>
      <c r="K216">
        <v>200</v>
      </c>
      <c r="L216">
        <v>50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Y216">
        <v>0</v>
      </c>
      <c r="Z216">
        <v>0</v>
      </c>
      <c r="AA216">
        <v>0</v>
      </c>
      <c r="AB216" t="s">
        <v>1699</v>
      </c>
      <c r="AC216" t="s">
        <v>1744</v>
      </c>
      <c r="AD216" s="18" t="s">
        <v>1994</v>
      </c>
      <c r="AE216" t="s">
        <v>4</v>
      </c>
      <c r="AF216" t="s">
        <v>1</v>
      </c>
      <c r="AG216" t="s">
        <v>1</v>
      </c>
      <c r="AH216" t="s">
        <v>2622</v>
      </c>
      <c r="AI216" t="s">
        <v>3072</v>
      </c>
      <c r="AJ216" t="s">
        <v>1</v>
      </c>
      <c r="AK216">
        <v>9381285345</v>
      </c>
      <c r="AL216" t="s">
        <v>1</v>
      </c>
      <c r="AM216" t="s">
        <v>1</v>
      </c>
      <c r="AN216" t="s">
        <v>1</v>
      </c>
      <c r="AO216" t="s">
        <v>2622</v>
      </c>
      <c r="AP216" t="s">
        <v>1</v>
      </c>
      <c r="AQ216" t="s">
        <v>2</v>
      </c>
      <c r="AR216" t="s">
        <v>3</v>
      </c>
      <c r="AS216" t="s">
        <v>3</v>
      </c>
      <c r="AT216" t="s">
        <v>3</v>
      </c>
      <c r="AU216" t="s">
        <v>3</v>
      </c>
      <c r="AV216" t="s">
        <v>3</v>
      </c>
      <c r="AW216" t="s">
        <v>11</v>
      </c>
      <c r="AX216">
        <f>Tabla1[[#This Row],[precio del paquete]]-Tabla1[[#This Row],[Saldo_Deudor]]</f>
        <v>900</v>
      </c>
      <c r="AY216">
        <v>13900</v>
      </c>
      <c r="AZ216" t="s">
        <v>1</v>
      </c>
      <c r="BA216" t="s">
        <v>1</v>
      </c>
      <c r="BB216" t="s">
        <v>1</v>
      </c>
      <c r="BC216" t="s">
        <v>1387</v>
      </c>
      <c r="BD216" t="s">
        <v>1397</v>
      </c>
      <c r="BE216" t="s">
        <v>3</v>
      </c>
      <c r="BF216" t="s">
        <v>3</v>
      </c>
      <c r="BG216" t="s">
        <v>3</v>
      </c>
      <c r="BH216" t="s">
        <v>3</v>
      </c>
      <c r="BI216" t="s">
        <v>3</v>
      </c>
      <c r="BJ216" t="s">
        <v>3373</v>
      </c>
      <c r="BK216" t="s">
        <v>3</v>
      </c>
      <c r="BL216" t="s">
        <v>132</v>
      </c>
      <c r="BM216" t="s">
        <v>1</v>
      </c>
      <c r="BN216">
        <f>Tabla1[[#This Row],[precio del paquete]]</f>
        <v>14800</v>
      </c>
      <c r="BO216" t="s">
        <v>1</v>
      </c>
      <c r="BP216" t="s">
        <v>1</v>
      </c>
      <c r="BQ216" t="s">
        <v>1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0</v>
      </c>
      <c r="BX216" t="s">
        <v>1</v>
      </c>
      <c r="BY216" t="s">
        <v>1</v>
      </c>
      <c r="BZ216" t="s">
        <v>1</v>
      </c>
      <c r="CA216" t="s">
        <v>1</v>
      </c>
      <c r="CB216" t="s">
        <v>3382</v>
      </c>
      <c r="CD216" t="str" cm="1">
        <f t="array" aca="1" ref="CD216" ca="1">eConcatenar(A216:CB216,"|")</f>
        <v>P4WEflStc2NP5EEL|PAR2021-3992|3|MEMORIAL|TABASCO|PARAISO|PARAISO|2021-12-24|14800|0|200|50|1|0|0|0|0|0|0|0|0|0|0||0|0|0|CORDOVA|PEREZ|MARIA DEL ROCIO|SOLTERO|X|X|ENTRADA DON TICO|COLONIA FRANCISCO I MADERO  (MADERO)|X|9381285345|X|X|X|ENTRADA DON TICO|X|LUNES|x|x|x|x|x|DOMICILIO |900|13900|X|X|X|2022-01-31|2022-02-07|x|x|x|x|x|QX002MIY9KVTQO|x|HOMBRE|X|14800|X|X|X|X|X|X|X|X|CARDENAS|X|X|X|X|FINAL</v>
      </c>
    </row>
    <row r="217" spans="1:82" x14ac:dyDescent="0.25">
      <c r="A217" t="s">
        <v>548</v>
      </c>
      <c r="B217" t="s">
        <v>549</v>
      </c>
      <c r="C217">
        <v>3</v>
      </c>
      <c r="D217" t="s">
        <v>1369</v>
      </c>
      <c r="E217" t="s">
        <v>1380</v>
      </c>
      <c r="F217" t="s">
        <v>1385</v>
      </c>
      <c r="G217" t="s">
        <v>1385</v>
      </c>
      <c r="H217" t="s">
        <v>1426</v>
      </c>
      <c r="I217">
        <v>14800</v>
      </c>
      <c r="J217">
        <v>0</v>
      </c>
      <c r="K217">
        <v>200</v>
      </c>
      <c r="L217">
        <v>50</v>
      </c>
      <c r="M217">
        <v>1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Y217">
        <v>0</v>
      </c>
      <c r="Z217">
        <v>0</v>
      </c>
      <c r="AA217">
        <v>0</v>
      </c>
      <c r="AB217" t="s">
        <v>1719</v>
      </c>
      <c r="AC217" t="s">
        <v>1995</v>
      </c>
      <c r="AD217" s="18" t="s">
        <v>1996</v>
      </c>
      <c r="AE217" t="s">
        <v>4</v>
      </c>
      <c r="AF217" t="s">
        <v>1</v>
      </c>
      <c r="AG217" t="s">
        <v>1</v>
      </c>
      <c r="AH217" t="s">
        <v>2623</v>
      </c>
      <c r="AI217" t="s">
        <v>3073</v>
      </c>
      <c r="AJ217" t="s">
        <v>1</v>
      </c>
      <c r="AK217">
        <v>9331544660</v>
      </c>
      <c r="AL217" t="s">
        <v>1</v>
      </c>
      <c r="AM217" t="s">
        <v>1</v>
      </c>
      <c r="AN217" t="s">
        <v>1</v>
      </c>
      <c r="AO217" t="s">
        <v>2623</v>
      </c>
      <c r="AP217" t="s">
        <v>1</v>
      </c>
      <c r="AQ217" t="s">
        <v>2</v>
      </c>
      <c r="AR217" t="s">
        <v>3</v>
      </c>
      <c r="AS217" t="s">
        <v>3</v>
      </c>
      <c r="AT217" t="s">
        <v>3</v>
      </c>
      <c r="AU217" t="s">
        <v>3</v>
      </c>
      <c r="AV217" t="s">
        <v>3</v>
      </c>
      <c r="AW217" t="s">
        <v>11</v>
      </c>
      <c r="AX217">
        <f>Tabla1[[#This Row],[precio del paquete]]-Tabla1[[#This Row],[Saldo_Deudor]]</f>
        <v>200</v>
      </c>
      <c r="AY217">
        <v>14600</v>
      </c>
      <c r="AZ217" t="s">
        <v>1</v>
      </c>
      <c r="BA217" t="s">
        <v>1</v>
      </c>
      <c r="BB217" t="s">
        <v>1</v>
      </c>
      <c r="BC217" t="s">
        <v>1426</v>
      </c>
      <c r="BD217" t="s">
        <v>3273</v>
      </c>
      <c r="BE217" t="s">
        <v>3</v>
      </c>
      <c r="BF217" t="s">
        <v>3</v>
      </c>
      <c r="BG217" t="s">
        <v>3</v>
      </c>
      <c r="BH217" t="s">
        <v>3</v>
      </c>
      <c r="BI217" t="s">
        <v>3</v>
      </c>
      <c r="BJ217" t="s">
        <v>3373</v>
      </c>
      <c r="BK217" t="s">
        <v>3</v>
      </c>
      <c r="BL217" t="s">
        <v>132</v>
      </c>
      <c r="BM217" t="s">
        <v>1</v>
      </c>
      <c r="BN217">
        <f>Tabla1[[#This Row],[precio del paquete]]</f>
        <v>14800</v>
      </c>
      <c r="BO217" t="s">
        <v>1</v>
      </c>
      <c r="BP217" t="s">
        <v>1</v>
      </c>
      <c r="BQ217" t="s">
        <v>1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0</v>
      </c>
      <c r="BX217" t="s">
        <v>1</v>
      </c>
      <c r="BY217" t="s">
        <v>1</v>
      </c>
      <c r="BZ217" t="s">
        <v>1</v>
      </c>
      <c r="CA217" t="s">
        <v>1</v>
      </c>
      <c r="CB217" t="s">
        <v>3382</v>
      </c>
      <c r="CD217" t="str" cm="1">
        <f t="array" aca="1" ref="CD217" ca="1">eConcatenar(A217:CB217,"|")</f>
        <v>tUMUbolDlcOTsvz7|PAR2022-0145|3|MEMORIAL|TABASCO|PARAISO|PARAISO|2022-01-11|14800|0|200|50|1|0|0|0|0|0|0|0|0|0|0||0|0|0|PALMA|OLIVE|AMINADAD|SOLTERO|X|X|CARRETERA A GREGORIO MENDEZ|RANCHERIA ZAPOTAL RIMERA SECCION|X|9331544660|X|X|X|CARRETERA A GREGORIO MENDEZ|X|LUNES|x|x|x|x|x|DOMICILIO |200|14600|X|X|X|2022-01-11|2022-01-18|x|x|x|x|x|QX002MIY9KVTQO|x|HOMBRE|X|14800|X|X|X|X|X|X|X|X|CARDENAS|X|X|X|X|FINAL</v>
      </c>
    </row>
    <row r="218" spans="1:82" x14ac:dyDescent="0.25">
      <c r="A218" t="s">
        <v>550</v>
      </c>
      <c r="B218" t="s">
        <v>551</v>
      </c>
      <c r="C218">
        <v>3</v>
      </c>
      <c r="D218" t="s">
        <v>1369</v>
      </c>
      <c r="E218" t="s">
        <v>1380</v>
      </c>
      <c r="F218" t="s">
        <v>0</v>
      </c>
      <c r="G218" t="s">
        <v>0</v>
      </c>
      <c r="H218" t="s">
        <v>1427</v>
      </c>
      <c r="I218">
        <v>14800</v>
      </c>
      <c r="J218">
        <v>0</v>
      </c>
      <c r="K218">
        <v>100</v>
      </c>
      <c r="L218">
        <v>50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Y218">
        <v>0</v>
      </c>
      <c r="Z218">
        <v>0</v>
      </c>
      <c r="AA218">
        <v>0</v>
      </c>
      <c r="AB218" t="s">
        <v>1812</v>
      </c>
      <c r="AC218" t="s">
        <v>1997</v>
      </c>
      <c r="AD218" s="18" t="s">
        <v>1998</v>
      </c>
      <c r="AE218" t="s">
        <v>4</v>
      </c>
      <c r="AF218" t="s">
        <v>1</v>
      </c>
      <c r="AG218" t="s">
        <v>1</v>
      </c>
      <c r="AH218" t="s">
        <v>2624</v>
      </c>
      <c r="AI218" t="s">
        <v>3074</v>
      </c>
      <c r="AJ218" t="s">
        <v>1</v>
      </c>
      <c r="AK218">
        <v>9371657583</v>
      </c>
      <c r="AL218" t="s">
        <v>1</v>
      </c>
      <c r="AM218" t="s">
        <v>1</v>
      </c>
      <c r="AN218" t="s">
        <v>1</v>
      </c>
      <c r="AO218" t="s">
        <v>2624</v>
      </c>
      <c r="AP218" t="s">
        <v>1</v>
      </c>
      <c r="AQ218" t="s">
        <v>2</v>
      </c>
      <c r="AR218" t="s">
        <v>3</v>
      </c>
      <c r="AS218" t="s">
        <v>3</v>
      </c>
      <c r="AT218" t="s">
        <v>3</v>
      </c>
      <c r="AU218" t="s">
        <v>3</v>
      </c>
      <c r="AV218" t="s">
        <v>3</v>
      </c>
      <c r="AW218" t="s">
        <v>11</v>
      </c>
      <c r="AX218">
        <f>Tabla1[[#This Row],[precio del paquete]]-Tabla1[[#This Row],[Saldo_Deudor]]</f>
        <v>1350</v>
      </c>
      <c r="AY218">
        <v>13450</v>
      </c>
      <c r="AZ218" t="s">
        <v>1</v>
      </c>
      <c r="BA218" t="s">
        <v>1</v>
      </c>
      <c r="BB218" t="s">
        <v>1</v>
      </c>
      <c r="BC218" t="s">
        <v>1403</v>
      </c>
      <c r="BD218" t="s">
        <v>3315</v>
      </c>
      <c r="BE218" t="s">
        <v>3</v>
      </c>
      <c r="BF218" t="s">
        <v>3</v>
      </c>
      <c r="BG218" t="s">
        <v>3</v>
      </c>
      <c r="BH218" t="s">
        <v>3</v>
      </c>
      <c r="BI218" t="s">
        <v>3</v>
      </c>
      <c r="BJ218" t="s">
        <v>3351</v>
      </c>
      <c r="BK218" t="s">
        <v>3</v>
      </c>
      <c r="BL218" t="s">
        <v>132</v>
      </c>
      <c r="BM218" t="s">
        <v>1</v>
      </c>
      <c r="BN218">
        <f>Tabla1[[#This Row],[precio del paquete]]</f>
        <v>14800</v>
      </c>
      <c r="BO218" t="s">
        <v>1</v>
      </c>
      <c r="BP218" t="s">
        <v>1</v>
      </c>
      <c r="BQ218" t="s">
        <v>1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0</v>
      </c>
      <c r="BX218" t="s">
        <v>1</v>
      </c>
      <c r="BY218" t="s">
        <v>1</v>
      </c>
      <c r="BZ218" t="s">
        <v>1</v>
      </c>
      <c r="CA218" t="s">
        <v>1</v>
      </c>
      <c r="CB218" t="s">
        <v>3382</v>
      </c>
      <c r="CD218" t="str" cm="1">
        <f t="array" aca="1" ref="CD218" ca="1">eConcatenar(A218:CB218,"|")</f>
        <v>H7SPdsnFTSXdXde7|CAR2021-1499|3|MEMORIAL|TABASCO|CARDENAS|CARDENAS|2021-04-24|14800|0|100|50|0|0|0|0|0|0|0|0|0|0|0||0|0|0|SANCHEZ|SANTANA|OBED|SOLTERO|X|X|CARRETERA NORTE NUMERO 10 SIN NUMERO|RANCHERIA RIO SECO SEGUNDA SECCION|X|9371657583|X|X|X|CARRETERA NORTE NUMERO 10 SIN NUMERO|X|LUNES|x|x|x|x|x|DOMICILIO |1350|13450|X|X|X|2022-01-10|2022-01-17|x|x|x|x|x|QWZHGJ0U9KVTQO|x|HOMBRE|X|14800|X|X|X|X|X|X|X|X|CARDENAS|X|X|X|X|FINAL</v>
      </c>
    </row>
    <row r="219" spans="1:82" x14ac:dyDescent="0.25">
      <c r="A219" t="s">
        <v>552</v>
      </c>
      <c r="B219" t="s">
        <v>553</v>
      </c>
      <c r="C219">
        <v>3</v>
      </c>
      <c r="D219" t="s">
        <v>1369</v>
      </c>
      <c r="E219" t="s">
        <v>1380</v>
      </c>
      <c r="F219" t="s">
        <v>1384</v>
      </c>
      <c r="G219" t="s">
        <v>1384</v>
      </c>
      <c r="H219" t="s">
        <v>1428</v>
      </c>
      <c r="I219">
        <v>14800</v>
      </c>
      <c r="J219">
        <v>0</v>
      </c>
      <c r="K219">
        <v>100</v>
      </c>
      <c r="L219">
        <v>50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Y219">
        <v>0</v>
      </c>
      <c r="Z219">
        <v>0</v>
      </c>
      <c r="AA219">
        <v>0</v>
      </c>
      <c r="AB219" t="s">
        <v>1758</v>
      </c>
      <c r="AC219" t="s">
        <v>1713</v>
      </c>
      <c r="AD219" s="18" t="s">
        <v>1999</v>
      </c>
      <c r="AE219" t="s">
        <v>4</v>
      </c>
      <c r="AF219" t="s">
        <v>1</v>
      </c>
      <c r="AG219" t="s">
        <v>1</v>
      </c>
      <c r="AH219" t="s">
        <v>2585</v>
      </c>
      <c r="AI219" t="s">
        <v>3075</v>
      </c>
      <c r="AJ219" t="s">
        <v>1</v>
      </c>
      <c r="AK219">
        <v>9984292354</v>
      </c>
      <c r="AL219" t="s">
        <v>1</v>
      </c>
      <c r="AM219" t="s">
        <v>1</v>
      </c>
      <c r="AN219" t="s">
        <v>1</v>
      </c>
      <c r="AO219" t="s">
        <v>2585</v>
      </c>
      <c r="AP219" t="s">
        <v>1</v>
      </c>
      <c r="AQ219" t="s">
        <v>2</v>
      </c>
      <c r="AR219" t="s">
        <v>3</v>
      </c>
      <c r="AS219" t="s">
        <v>3</v>
      </c>
      <c r="AT219" t="s">
        <v>3</v>
      </c>
      <c r="AU219" t="s">
        <v>3</v>
      </c>
      <c r="AV219" t="s">
        <v>3</v>
      </c>
      <c r="AW219" t="s">
        <v>11</v>
      </c>
      <c r="AX219">
        <f>Tabla1[[#This Row],[precio del paquete]]-Tabla1[[#This Row],[Saldo_Deudor]]</f>
        <v>1200</v>
      </c>
      <c r="AY219">
        <v>13600</v>
      </c>
      <c r="AZ219" t="s">
        <v>1</v>
      </c>
      <c r="BA219" t="s">
        <v>1</v>
      </c>
      <c r="BB219" t="s">
        <v>1</v>
      </c>
      <c r="BC219" t="s">
        <v>1400</v>
      </c>
      <c r="BD219" t="s">
        <v>3277</v>
      </c>
      <c r="BE219" t="s">
        <v>3</v>
      </c>
      <c r="BF219" t="s">
        <v>3</v>
      </c>
      <c r="BG219" t="s">
        <v>3</v>
      </c>
      <c r="BH219" t="s">
        <v>3</v>
      </c>
      <c r="BI219" t="s">
        <v>3</v>
      </c>
      <c r="BJ219" t="s">
        <v>3351</v>
      </c>
      <c r="BK219" t="s">
        <v>3</v>
      </c>
      <c r="BL219" t="s">
        <v>132</v>
      </c>
      <c r="BM219" t="s">
        <v>1</v>
      </c>
      <c r="BN219">
        <f>Tabla1[[#This Row],[precio del paquete]]</f>
        <v>14800</v>
      </c>
      <c r="BO219" t="s">
        <v>1</v>
      </c>
      <c r="BP219" t="s">
        <v>1</v>
      </c>
      <c r="BQ219" t="s">
        <v>1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0</v>
      </c>
      <c r="BX219" t="s">
        <v>1</v>
      </c>
      <c r="BY219" t="s">
        <v>1</v>
      </c>
      <c r="BZ219" t="s">
        <v>1</v>
      </c>
      <c r="CA219" t="s">
        <v>1</v>
      </c>
      <c r="CB219" t="s">
        <v>3382</v>
      </c>
      <c r="CD219" t="str" cm="1">
        <f t="array" aca="1" ref="CD219" ca="1">eConcatenar(A219:CB219,"|")</f>
        <v>N9lw1TxtNpiySV1O|COM2021-6245|3|MEMORIAL|TABASCO|COMALCALCO|COMALCALCO|2021-10-19|14800|0|100|50|0|0|0|0|0|0|0|0|0|0|0||0|0|0|ARIAS|DE LA CRUZ|ROSA MARIA|SOLTERO|X|X|CALLE NUMERO 2|POBLADO TIERRA Y LIBERTAD|X|9984292354|X|X|X|CALLE NUMERO 2|X|LUNES|x|x|x|x|x|DOMICILIO |1200|13600|X|X|X|2022-02-10|2022-02-17|x|x|x|x|x|QWZHGJ0U9KVTQO|x|HOMBRE|X|14800|X|X|X|X|X|X|X|X|CARDENAS|X|X|X|X|FINAL</v>
      </c>
    </row>
    <row r="220" spans="1:82" x14ac:dyDescent="0.25">
      <c r="A220" t="s">
        <v>554</v>
      </c>
      <c r="B220" t="s">
        <v>555</v>
      </c>
      <c r="C220">
        <v>3</v>
      </c>
      <c r="D220" t="s">
        <v>1369</v>
      </c>
      <c r="E220" t="s">
        <v>1380</v>
      </c>
      <c r="F220" t="s">
        <v>0</v>
      </c>
      <c r="G220" t="s">
        <v>0</v>
      </c>
      <c r="H220" t="s">
        <v>1429</v>
      </c>
      <c r="I220">
        <v>14800</v>
      </c>
      <c r="J220">
        <v>0</v>
      </c>
      <c r="K220">
        <v>100</v>
      </c>
      <c r="L220">
        <v>50</v>
      </c>
      <c r="M220">
        <v>2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Y220">
        <v>0</v>
      </c>
      <c r="Z220">
        <v>0</v>
      </c>
      <c r="AA220">
        <v>0</v>
      </c>
      <c r="AB220" t="s">
        <v>1713</v>
      </c>
      <c r="AC220" t="s">
        <v>1783</v>
      </c>
      <c r="AD220" s="18" t="s">
        <v>2000</v>
      </c>
      <c r="AE220" t="s">
        <v>4</v>
      </c>
      <c r="AF220" t="s">
        <v>1</v>
      </c>
      <c r="AG220" t="s">
        <v>1</v>
      </c>
      <c r="AH220" t="s">
        <v>2625</v>
      </c>
      <c r="AI220" t="s">
        <v>3076</v>
      </c>
      <c r="AJ220" t="s">
        <v>1</v>
      </c>
      <c r="AK220">
        <v>9371417166</v>
      </c>
      <c r="AL220" t="s">
        <v>1</v>
      </c>
      <c r="AM220" t="s">
        <v>1</v>
      </c>
      <c r="AN220" t="s">
        <v>1</v>
      </c>
      <c r="AO220" t="s">
        <v>2625</v>
      </c>
      <c r="AP220" t="s">
        <v>1</v>
      </c>
      <c r="AQ220" t="s">
        <v>2</v>
      </c>
      <c r="AR220" t="s">
        <v>3</v>
      </c>
      <c r="AS220" t="s">
        <v>3</v>
      </c>
      <c r="AT220" t="s">
        <v>3</v>
      </c>
      <c r="AU220" t="s">
        <v>3</v>
      </c>
      <c r="AV220" t="s">
        <v>3</v>
      </c>
      <c r="AW220" t="s">
        <v>11</v>
      </c>
      <c r="AX220">
        <f>Tabla1[[#This Row],[precio del paquete]]-Tabla1[[#This Row],[Saldo_Deudor]]</f>
        <v>6300</v>
      </c>
      <c r="AY220">
        <v>8500</v>
      </c>
      <c r="AZ220" t="s">
        <v>1</v>
      </c>
      <c r="BA220" t="s">
        <v>1</v>
      </c>
      <c r="BB220" t="s">
        <v>1</v>
      </c>
      <c r="BC220" t="s">
        <v>1401</v>
      </c>
      <c r="BD220" t="s">
        <v>1406</v>
      </c>
      <c r="BE220" t="s">
        <v>3</v>
      </c>
      <c r="BF220" t="s">
        <v>3</v>
      </c>
      <c r="BG220" t="s">
        <v>3</v>
      </c>
      <c r="BH220" t="s">
        <v>3</v>
      </c>
      <c r="BI220" t="s">
        <v>3</v>
      </c>
      <c r="BJ220" t="s">
        <v>3351</v>
      </c>
      <c r="BK220" t="s">
        <v>3</v>
      </c>
      <c r="BL220" t="s">
        <v>132</v>
      </c>
      <c r="BM220" t="s">
        <v>1</v>
      </c>
      <c r="BN220">
        <f>Tabla1[[#This Row],[precio del paquete]]</f>
        <v>14800</v>
      </c>
      <c r="BO220" t="s">
        <v>1</v>
      </c>
      <c r="BP220" t="s">
        <v>1</v>
      </c>
      <c r="BQ220" t="s">
        <v>1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0</v>
      </c>
      <c r="BX220" t="s">
        <v>1</v>
      </c>
      <c r="BY220" t="s">
        <v>1</v>
      </c>
      <c r="BZ220" t="s">
        <v>1</v>
      </c>
      <c r="CA220" t="s">
        <v>1</v>
      </c>
      <c r="CB220" t="s">
        <v>3382</v>
      </c>
      <c r="CD220" t="str" cm="1">
        <f t="array" aca="1" ref="CD220" ca="1">eConcatenar(A220:CB220,"|")</f>
        <v>E2cB4K1z3QtJefjg|CAR2021-0833-1|3|MEMORIAL|TABASCO|CARDENAS|CARDENAS|2021-03-06|14800|0|100|50|2|0|0|0|0|0|0|0|0|0|0||0|0|0|DE LA CRUZ|MENDEZ|OLIVIA|SOLTERO|X|X|CALLE DEL TEMPLO|EJIDO LIBERTAD TERCERA SECCION|X|9371417166|X|X|X|CALLE DEL TEMPLO|X|LUNES|x|x|x|x|x|DOMICILIO |6300|8500|X|X|X|2022-02-09|2022-02-16|x|x|x|x|x|QWZHGJ0U9KVTQO|x|HOMBRE|X|14800|X|X|X|X|X|X|X|X|CARDENAS|X|X|X|X|FINAL</v>
      </c>
    </row>
    <row r="221" spans="1:82" x14ac:dyDescent="0.25">
      <c r="A221" t="s">
        <v>556</v>
      </c>
      <c r="B221" t="s">
        <v>557</v>
      </c>
      <c r="C221">
        <v>3</v>
      </c>
      <c r="D221" t="s">
        <v>1370</v>
      </c>
      <c r="E221" t="s">
        <v>1380</v>
      </c>
      <c r="F221" t="s">
        <v>1385</v>
      </c>
      <c r="G221" t="s">
        <v>1385</v>
      </c>
      <c r="H221" t="s">
        <v>1430</v>
      </c>
      <c r="I221">
        <v>35000</v>
      </c>
      <c r="J221">
        <v>0</v>
      </c>
      <c r="K221">
        <v>500</v>
      </c>
      <c r="L221">
        <v>50</v>
      </c>
      <c r="M221">
        <v>2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Y221">
        <v>0</v>
      </c>
      <c r="Z221">
        <v>0</v>
      </c>
      <c r="AA221">
        <v>0</v>
      </c>
      <c r="AB221" t="s">
        <v>1812</v>
      </c>
      <c r="AC221" t="s">
        <v>7</v>
      </c>
      <c r="AD221" s="18" t="s">
        <v>2001</v>
      </c>
      <c r="AE221" t="s">
        <v>4</v>
      </c>
      <c r="AF221" t="s">
        <v>1</v>
      </c>
      <c r="AG221" t="s">
        <v>1</v>
      </c>
      <c r="AH221" t="s">
        <v>2626</v>
      </c>
      <c r="AI221" t="s">
        <v>3077</v>
      </c>
      <c r="AJ221" t="s">
        <v>1</v>
      </c>
      <c r="AK221">
        <v>9334060891</v>
      </c>
      <c r="AL221" t="s">
        <v>1</v>
      </c>
      <c r="AM221" t="s">
        <v>1</v>
      </c>
      <c r="AN221" t="s">
        <v>1</v>
      </c>
      <c r="AO221" t="s">
        <v>2626</v>
      </c>
      <c r="AP221" t="s">
        <v>1</v>
      </c>
      <c r="AQ221" t="s">
        <v>2</v>
      </c>
      <c r="AR221" t="s">
        <v>3</v>
      </c>
      <c r="AS221" t="s">
        <v>3</v>
      </c>
      <c r="AT221" t="s">
        <v>3</v>
      </c>
      <c r="AU221" t="s">
        <v>3</v>
      </c>
      <c r="AV221" t="s">
        <v>3</v>
      </c>
      <c r="AW221" t="s">
        <v>11</v>
      </c>
      <c r="AX221">
        <f>Tabla1[[#This Row],[precio del paquete]]-Tabla1[[#This Row],[Saldo_Deudor]]</f>
        <v>2700</v>
      </c>
      <c r="AY221">
        <v>32300</v>
      </c>
      <c r="AZ221" t="s">
        <v>1</v>
      </c>
      <c r="BA221" t="s">
        <v>1</v>
      </c>
      <c r="BB221" t="s">
        <v>1</v>
      </c>
      <c r="BC221" t="s">
        <v>1401</v>
      </c>
      <c r="BD221" t="s">
        <v>1406</v>
      </c>
      <c r="BE221" t="s">
        <v>3</v>
      </c>
      <c r="BF221" t="s">
        <v>3</v>
      </c>
      <c r="BG221" t="s">
        <v>3</v>
      </c>
      <c r="BH221" t="s">
        <v>3</v>
      </c>
      <c r="BI221" t="s">
        <v>3</v>
      </c>
      <c r="BJ221" t="s">
        <v>3374</v>
      </c>
      <c r="BK221" t="s">
        <v>3</v>
      </c>
      <c r="BL221" t="s">
        <v>132</v>
      </c>
      <c r="BM221" t="s">
        <v>1</v>
      </c>
      <c r="BN221">
        <f>Tabla1[[#This Row],[precio del paquete]]</f>
        <v>35000</v>
      </c>
      <c r="BO221" t="s">
        <v>1</v>
      </c>
      <c r="BP221" t="s">
        <v>1</v>
      </c>
      <c r="BQ221" t="s">
        <v>1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0</v>
      </c>
      <c r="BX221" t="s">
        <v>1</v>
      </c>
      <c r="BY221" t="s">
        <v>1</v>
      </c>
      <c r="BZ221" t="s">
        <v>1</v>
      </c>
      <c r="CA221" t="s">
        <v>1</v>
      </c>
      <c r="CB221" t="s">
        <v>3382</v>
      </c>
      <c r="CD221" t="str" cm="1">
        <f t="array" aca="1" ref="CD221" ca="1">eConcatenar(A221:CB221,"|")</f>
        <v>WaHYYqFQTnbN4rzO|PAR2021-1551|3|DELUX|TABASCO|PARAISO|PARAISO|2021-05-10|35000|0|500|50|2|0|0|0|0|0|0|0|0|0|0||0|0|0|SANCHEZ|LOPEZ|CECILIA|SOLTERO|X|X|SAN FRANCISCO|EJIDO SAN FRANCISCO|X|9334060891|X|X|X|SAN FRANCISCO|X|LUNES|x|x|x|x|x|DOMICILIO |2700|32300|X|X|X|2022-02-09|2022-02-16|x|x|x|x|x|ZGSYJGLZUXA73WJ|x|HOMBRE|X|35000|X|X|X|X|X|X|X|X|CARDENAS|X|X|X|X|FINAL</v>
      </c>
    </row>
    <row r="222" spans="1:82" x14ac:dyDescent="0.25">
      <c r="A222" t="s">
        <v>558</v>
      </c>
      <c r="B222" t="s">
        <v>559</v>
      </c>
      <c r="C222">
        <v>3</v>
      </c>
      <c r="D222" t="s">
        <v>1373</v>
      </c>
      <c r="E222" t="s">
        <v>1380</v>
      </c>
      <c r="F222" t="s">
        <v>1385</v>
      </c>
      <c r="G222" t="s">
        <v>1385</v>
      </c>
      <c r="H222" t="s">
        <v>1431</v>
      </c>
      <c r="I222">
        <v>19800</v>
      </c>
      <c r="J222">
        <v>0</v>
      </c>
      <c r="K222">
        <v>100</v>
      </c>
      <c r="L222">
        <v>50</v>
      </c>
      <c r="M222">
        <v>2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Y222">
        <v>0</v>
      </c>
      <c r="Z222">
        <v>0</v>
      </c>
      <c r="AA222">
        <v>0</v>
      </c>
      <c r="AB222" t="s">
        <v>1783</v>
      </c>
      <c r="AC222" t="s">
        <v>2002</v>
      </c>
      <c r="AD222" s="18" t="s">
        <v>2003</v>
      </c>
      <c r="AE222" t="s">
        <v>4</v>
      </c>
      <c r="AF222" t="s">
        <v>1</v>
      </c>
      <c r="AG222" t="s">
        <v>1</v>
      </c>
      <c r="AH222" t="s">
        <v>2594</v>
      </c>
      <c r="AI222" t="s">
        <v>3078</v>
      </c>
      <c r="AJ222" t="s">
        <v>1</v>
      </c>
      <c r="AK222">
        <v>9331339992</v>
      </c>
      <c r="AL222" t="s">
        <v>1</v>
      </c>
      <c r="AM222" t="s">
        <v>1</v>
      </c>
      <c r="AN222" t="s">
        <v>1</v>
      </c>
      <c r="AO222" t="s">
        <v>2594</v>
      </c>
      <c r="AP222" t="s">
        <v>1</v>
      </c>
      <c r="AQ222" t="s">
        <v>2</v>
      </c>
      <c r="AR222" t="s">
        <v>3</v>
      </c>
      <c r="AS222" t="s">
        <v>3</v>
      </c>
      <c r="AT222" t="s">
        <v>3</v>
      </c>
      <c r="AU222" t="s">
        <v>3</v>
      </c>
      <c r="AV222" t="s">
        <v>3</v>
      </c>
      <c r="AW222" t="s">
        <v>11</v>
      </c>
      <c r="AX222">
        <f>Tabla1[[#This Row],[precio del paquete]]-Tabla1[[#This Row],[Saldo_Deudor]]</f>
        <v>7600</v>
      </c>
      <c r="AY222">
        <v>12200</v>
      </c>
      <c r="AZ222" t="s">
        <v>1</v>
      </c>
      <c r="BA222" t="s">
        <v>1</v>
      </c>
      <c r="BB222" t="s">
        <v>1</v>
      </c>
      <c r="BC222" t="s">
        <v>1663</v>
      </c>
      <c r="BD222" t="s">
        <v>3284</v>
      </c>
      <c r="BE222" t="s">
        <v>3</v>
      </c>
      <c r="BF222" t="s">
        <v>3</v>
      </c>
      <c r="BG222" t="s">
        <v>3</v>
      </c>
      <c r="BH222" t="s">
        <v>3</v>
      </c>
      <c r="BI222" t="s">
        <v>3</v>
      </c>
      <c r="BJ222" t="s">
        <v>3374</v>
      </c>
      <c r="BK222" t="s">
        <v>3</v>
      </c>
      <c r="BL222" t="s">
        <v>132</v>
      </c>
      <c r="BM222" t="s">
        <v>1</v>
      </c>
      <c r="BN222">
        <f>Tabla1[[#This Row],[precio del paquete]]</f>
        <v>19800</v>
      </c>
      <c r="BO222" t="s">
        <v>1</v>
      </c>
      <c r="BP222" t="s">
        <v>1</v>
      </c>
      <c r="BQ222" t="s">
        <v>1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0</v>
      </c>
      <c r="BX222" t="s">
        <v>1</v>
      </c>
      <c r="BY222" t="s">
        <v>1</v>
      </c>
      <c r="BZ222" t="s">
        <v>1</v>
      </c>
      <c r="CA222" t="s">
        <v>1</v>
      </c>
      <c r="CB222" t="s">
        <v>3382</v>
      </c>
      <c r="CD222" t="str" cm="1">
        <f t="array" aca="1" ref="CD222" ca="1">eConcatenar(A222:CB222,"|")</f>
        <v>UK1DGoTn47HNwnp6|PAR2020-0953|3|ZAFIRO|TABASCO|PARAISO|PARAISO|2020-07-26|19800|0|100|50|2|0|0|0|0|0|0|0|0|0|0||0|0|0|MENDEZ|ANGULO|EDUVIGES|SOLTERO|X|X|CARRETERA PRINCIPAL|RANCHERIA ZAPOTAL SEGUNDA|X|9331339992|X|X|X|CARRETERA PRINCIPAL|X|LUNES|x|x|x|x|x|DOMICILIO |7600|12200|X|X|X|2022-01-13|2022-01-20|x|x|x|x|x|ZGSYJGLZUXA73WJ|x|HOMBRE|X|19800|X|X|X|X|X|X|X|X|CARDENAS|X|X|X|X|FINAL</v>
      </c>
    </row>
    <row r="223" spans="1:82" x14ac:dyDescent="0.25">
      <c r="A223" t="s">
        <v>560</v>
      </c>
      <c r="B223" t="s">
        <v>561</v>
      </c>
      <c r="C223">
        <v>3</v>
      </c>
      <c r="D223" t="s">
        <v>1369</v>
      </c>
      <c r="E223" t="s">
        <v>1380</v>
      </c>
      <c r="F223" t="s">
        <v>1385</v>
      </c>
      <c r="G223" t="s">
        <v>1385</v>
      </c>
      <c r="H223" t="s">
        <v>1432</v>
      </c>
      <c r="I223">
        <v>14800</v>
      </c>
      <c r="J223">
        <v>0</v>
      </c>
      <c r="K223">
        <v>100</v>
      </c>
      <c r="L223">
        <v>50</v>
      </c>
      <c r="M223">
        <v>2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Y223">
        <v>0</v>
      </c>
      <c r="Z223">
        <v>0</v>
      </c>
      <c r="AA223">
        <v>0</v>
      </c>
      <c r="AB223" t="s">
        <v>1693</v>
      </c>
      <c r="AC223" t="s">
        <v>1744</v>
      </c>
      <c r="AD223" s="18" t="s">
        <v>1725</v>
      </c>
      <c r="AE223" t="s">
        <v>4</v>
      </c>
      <c r="AF223" t="s">
        <v>1</v>
      </c>
      <c r="AG223" t="s">
        <v>1</v>
      </c>
      <c r="AH223" t="s">
        <v>2627</v>
      </c>
      <c r="AI223" t="s">
        <v>3079</v>
      </c>
      <c r="AJ223" t="s">
        <v>1</v>
      </c>
      <c r="AK223">
        <v>9331150707</v>
      </c>
      <c r="AL223" t="s">
        <v>1</v>
      </c>
      <c r="AM223" t="s">
        <v>1</v>
      </c>
      <c r="AN223" t="s">
        <v>1</v>
      </c>
      <c r="AO223" t="s">
        <v>2627</v>
      </c>
      <c r="AP223" t="s">
        <v>1</v>
      </c>
      <c r="AQ223" t="s">
        <v>2</v>
      </c>
      <c r="AR223" t="s">
        <v>3</v>
      </c>
      <c r="AS223" t="s">
        <v>3</v>
      </c>
      <c r="AT223" t="s">
        <v>3</v>
      </c>
      <c r="AU223" t="s">
        <v>3</v>
      </c>
      <c r="AV223" t="s">
        <v>3</v>
      </c>
      <c r="AW223" t="s">
        <v>11</v>
      </c>
      <c r="AX223">
        <f>Tabla1[[#This Row],[precio del paquete]]-Tabla1[[#This Row],[Saldo_Deudor]]</f>
        <v>11900</v>
      </c>
      <c r="AY223">
        <v>2900</v>
      </c>
      <c r="AZ223" t="s">
        <v>1</v>
      </c>
      <c r="BA223" t="s">
        <v>1</v>
      </c>
      <c r="BB223" t="s">
        <v>1</v>
      </c>
      <c r="BC223" t="s">
        <v>1394</v>
      </c>
      <c r="BD223" t="s">
        <v>1400</v>
      </c>
      <c r="BE223" t="s">
        <v>3</v>
      </c>
      <c r="BF223" t="s">
        <v>3</v>
      </c>
      <c r="BG223" t="s">
        <v>3</v>
      </c>
      <c r="BH223" t="s">
        <v>3</v>
      </c>
      <c r="BI223" t="s">
        <v>3</v>
      </c>
      <c r="BJ223" t="s">
        <v>3374</v>
      </c>
      <c r="BK223" t="s">
        <v>3</v>
      </c>
      <c r="BL223" t="s">
        <v>132</v>
      </c>
      <c r="BM223" t="s">
        <v>1</v>
      </c>
      <c r="BN223">
        <f>Tabla1[[#This Row],[precio del paquete]]</f>
        <v>14800</v>
      </c>
      <c r="BO223" t="s">
        <v>1</v>
      </c>
      <c r="BP223" t="s">
        <v>1</v>
      </c>
      <c r="BQ223" t="s">
        <v>1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0</v>
      </c>
      <c r="BX223" t="s">
        <v>1</v>
      </c>
      <c r="BY223" t="s">
        <v>1</v>
      </c>
      <c r="BZ223" t="s">
        <v>1</v>
      </c>
      <c r="CA223" t="s">
        <v>1</v>
      </c>
      <c r="CB223" t="s">
        <v>3382</v>
      </c>
      <c r="CD223" t="str" cm="1">
        <f t="array" aca="1" ref="CD223" ca="1">eConcatenar(A223:CB223,"|")</f>
        <v>vJuLdsg7vTvZNiTd|PAR2019-3094|3|MEMORIAL|TABASCO|PARAISO|PARAISO|2019-11-19|14800|0|100|50|2|0|0|0|0|0|0|0|0|0|0||0|0|0|RODRIGUEZ|PEREZ|SANTOS|SOLTERO|X|X|CARRETERA FEDERAL COMALCALCO PARAISO|RANCHERIA NORTE PRIMERA SECCION |X|9331150707|X|X|X|CARRETERA FEDERAL COMALCALCO PARAISO|X|LUNES|x|x|x|x|x|DOMICILIO |11900|2900|X|X|X|2022-02-03|2022-02-10|x|x|x|x|x|ZGSYJGLZUXA73WJ|x|HOMBRE|X|14800|X|X|X|X|X|X|X|X|CARDENAS|X|X|X|X|FINAL</v>
      </c>
    </row>
    <row r="224" spans="1:82" x14ac:dyDescent="0.25">
      <c r="A224" t="s">
        <v>562</v>
      </c>
      <c r="B224" t="s">
        <v>563</v>
      </c>
      <c r="C224">
        <v>3</v>
      </c>
      <c r="D224" t="s">
        <v>1372</v>
      </c>
      <c r="E224" t="s">
        <v>1380</v>
      </c>
      <c r="F224" t="s">
        <v>1385</v>
      </c>
      <c r="G224" t="s">
        <v>1385</v>
      </c>
      <c r="H224" t="s">
        <v>1433</v>
      </c>
      <c r="I224">
        <v>12900</v>
      </c>
      <c r="J224">
        <v>0</v>
      </c>
      <c r="K224">
        <v>100</v>
      </c>
      <c r="L224">
        <v>50</v>
      </c>
      <c r="M224">
        <v>2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Y224">
        <v>0</v>
      </c>
      <c r="Z224">
        <v>0</v>
      </c>
      <c r="AA224">
        <v>0</v>
      </c>
      <c r="AB224" t="s">
        <v>1790</v>
      </c>
      <c r="AC224" t="s">
        <v>1963</v>
      </c>
      <c r="AD224" s="18" t="s">
        <v>2004</v>
      </c>
      <c r="AE224" t="s">
        <v>4</v>
      </c>
      <c r="AF224" t="s">
        <v>1</v>
      </c>
      <c r="AG224" t="s">
        <v>1</v>
      </c>
      <c r="AH224" t="s">
        <v>2627</v>
      </c>
      <c r="AI224" t="s">
        <v>3080</v>
      </c>
      <c r="AJ224" t="s">
        <v>1</v>
      </c>
      <c r="AK224">
        <v>9331539875</v>
      </c>
      <c r="AL224" t="s">
        <v>1</v>
      </c>
      <c r="AM224" t="s">
        <v>1</v>
      </c>
      <c r="AN224" t="s">
        <v>1</v>
      </c>
      <c r="AO224" t="s">
        <v>2627</v>
      </c>
      <c r="AP224" t="s">
        <v>1</v>
      </c>
      <c r="AQ224" t="s">
        <v>2</v>
      </c>
      <c r="AR224" t="s">
        <v>3</v>
      </c>
      <c r="AS224" t="s">
        <v>3</v>
      </c>
      <c r="AT224" t="s">
        <v>3</v>
      </c>
      <c r="AU224" t="s">
        <v>3</v>
      </c>
      <c r="AV224" t="s">
        <v>3</v>
      </c>
      <c r="AW224" t="s">
        <v>11</v>
      </c>
      <c r="AX224">
        <f>Tabla1[[#This Row],[precio del paquete]]-Tabla1[[#This Row],[Saldo_Deudor]]</f>
        <v>4900</v>
      </c>
      <c r="AY224">
        <v>8000</v>
      </c>
      <c r="AZ224" t="s">
        <v>1</v>
      </c>
      <c r="BA224" t="s">
        <v>1</v>
      </c>
      <c r="BB224" t="s">
        <v>1</v>
      </c>
      <c r="BC224" t="s">
        <v>1394</v>
      </c>
      <c r="BD224" t="s">
        <v>1400</v>
      </c>
      <c r="BE224" t="s">
        <v>3</v>
      </c>
      <c r="BF224" t="s">
        <v>3</v>
      </c>
      <c r="BG224" t="s">
        <v>3</v>
      </c>
      <c r="BH224" t="s">
        <v>3</v>
      </c>
      <c r="BI224" t="s">
        <v>3</v>
      </c>
      <c r="BJ224" t="s">
        <v>3374</v>
      </c>
      <c r="BK224" t="s">
        <v>3</v>
      </c>
      <c r="BL224" t="s">
        <v>132</v>
      </c>
      <c r="BM224" t="s">
        <v>1</v>
      </c>
      <c r="BN224">
        <f>Tabla1[[#This Row],[precio del paquete]]</f>
        <v>12900</v>
      </c>
      <c r="BO224" t="s">
        <v>1</v>
      </c>
      <c r="BP224" t="s">
        <v>1</v>
      </c>
      <c r="BQ224" t="s">
        <v>1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0</v>
      </c>
      <c r="BX224" t="s">
        <v>1</v>
      </c>
      <c r="BY224" t="s">
        <v>1</v>
      </c>
      <c r="BZ224" t="s">
        <v>1</v>
      </c>
      <c r="CA224" t="s">
        <v>1</v>
      </c>
      <c r="CB224" t="s">
        <v>3382</v>
      </c>
      <c r="CD224" t="str" cm="1">
        <f t="array" aca="1" ref="CD224" ca="1">eConcatenar(A224:CB224,"|")</f>
        <v>ZKU0KrLPu9ZWg4ro|PAR2021-0810|3|IMPERIAL DE LUJO|TABASCO|PARAISO|PARAISO|2021-03-08|12900|0|100|50|2|0|0|0|0|0|0|0|0|0|0||0|0|0|DOMINGUEZ|HERRERA|CORINA|SOLTERO|X|X|CARRETERA FEDERAL COMALCALCO PARAISO| HUESO DE PUERCO ( COLONIA QUINTIN ARAUZ)|X|9331539875|X|X|X|CARRETERA FEDERAL COMALCALCO PARAISO|X|LUNES|x|x|x|x|x|DOMICILIO |4900|8000|X|X|X|2022-02-03|2022-02-10|x|x|x|x|x|ZGSYJGLZUXA73WJ|x|HOMBRE|X|12900|X|X|X|X|X|X|X|X|CARDENAS|X|X|X|X|FINAL</v>
      </c>
    </row>
    <row r="225" spans="1:82" x14ac:dyDescent="0.25">
      <c r="A225" t="s">
        <v>564</v>
      </c>
      <c r="B225" t="s">
        <v>565</v>
      </c>
      <c r="C225">
        <v>3</v>
      </c>
      <c r="D225" t="s">
        <v>1369</v>
      </c>
      <c r="E225" t="s">
        <v>1380</v>
      </c>
      <c r="F225" t="s">
        <v>1385</v>
      </c>
      <c r="G225" t="s">
        <v>1385</v>
      </c>
      <c r="H225" t="s">
        <v>1434</v>
      </c>
      <c r="I225">
        <v>14800</v>
      </c>
      <c r="J225">
        <v>0</v>
      </c>
      <c r="K225">
        <v>100</v>
      </c>
      <c r="L225">
        <v>50</v>
      </c>
      <c r="M225">
        <v>2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Y225">
        <v>0</v>
      </c>
      <c r="Z225">
        <v>0</v>
      </c>
      <c r="AA225">
        <v>0</v>
      </c>
      <c r="AB225" t="s">
        <v>2005</v>
      </c>
      <c r="AC225" t="s">
        <v>1820</v>
      </c>
      <c r="AD225" s="18" t="s">
        <v>2006</v>
      </c>
      <c r="AE225" t="s">
        <v>4</v>
      </c>
      <c r="AF225" t="s">
        <v>1</v>
      </c>
      <c r="AG225" t="s">
        <v>1</v>
      </c>
      <c r="AH225" t="s">
        <v>2628</v>
      </c>
      <c r="AI225" t="s">
        <v>3081</v>
      </c>
      <c r="AJ225" t="s">
        <v>1</v>
      </c>
      <c r="AK225">
        <v>933117365</v>
      </c>
      <c r="AL225" t="s">
        <v>1</v>
      </c>
      <c r="AM225" t="s">
        <v>1</v>
      </c>
      <c r="AN225" t="s">
        <v>1</v>
      </c>
      <c r="AO225" t="s">
        <v>2628</v>
      </c>
      <c r="AP225" t="s">
        <v>1</v>
      </c>
      <c r="AQ225" t="s">
        <v>2</v>
      </c>
      <c r="AR225" t="s">
        <v>3</v>
      </c>
      <c r="AS225" t="s">
        <v>3</v>
      </c>
      <c r="AT225" t="s">
        <v>3</v>
      </c>
      <c r="AU225" t="s">
        <v>3</v>
      </c>
      <c r="AV225" t="s">
        <v>3</v>
      </c>
      <c r="AW225" t="s">
        <v>11</v>
      </c>
      <c r="AX225">
        <f>Tabla1[[#This Row],[precio del paquete]]-Tabla1[[#This Row],[Saldo_Deudor]]</f>
        <v>12800</v>
      </c>
      <c r="AY225">
        <v>2000</v>
      </c>
      <c r="AZ225" t="s">
        <v>1</v>
      </c>
      <c r="BA225" t="s">
        <v>1</v>
      </c>
      <c r="BB225" t="s">
        <v>1</v>
      </c>
      <c r="BC225" t="s">
        <v>1394</v>
      </c>
      <c r="BD225" t="s">
        <v>1400</v>
      </c>
      <c r="BE225" t="s">
        <v>3</v>
      </c>
      <c r="BF225" t="s">
        <v>3</v>
      </c>
      <c r="BG225" t="s">
        <v>3</v>
      </c>
      <c r="BH225" t="s">
        <v>3</v>
      </c>
      <c r="BI225" t="s">
        <v>3</v>
      </c>
      <c r="BJ225" t="s">
        <v>3374</v>
      </c>
      <c r="BK225" t="s">
        <v>3</v>
      </c>
      <c r="BL225" t="s">
        <v>132</v>
      </c>
      <c r="BM225" t="s">
        <v>1</v>
      </c>
      <c r="BN225">
        <f>Tabla1[[#This Row],[precio del paquete]]</f>
        <v>14800</v>
      </c>
      <c r="BO225" t="s">
        <v>1</v>
      </c>
      <c r="BP225" t="s">
        <v>1</v>
      </c>
      <c r="BQ225" t="s">
        <v>1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0</v>
      </c>
      <c r="BX225" t="s">
        <v>1</v>
      </c>
      <c r="BY225" t="s">
        <v>1</v>
      </c>
      <c r="BZ225" t="s">
        <v>1</v>
      </c>
      <c r="CA225" t="s">
        <v>1</v>
      </c>
      <c r="CB225" t="s">
        <v>3382</v>
      </c>
      <c r="CD225" t="str" cm="1">
        <f t="array" aca="1" ref="CD225" ca="1">eConcatenar(A225:CB225,"|")</f>
        <v>xDPiFRvkk9VlXwk8|PAR2020-0353|3|MEMORIAL|TABASCO|PARAISO|PARAISO|2020-01-31|14800|0|100|50|2|0|0|0|0|0|0|0|0|0|0||0|0|0|FUENTE|MONTEJO|ESAU|SOLTERO|X|X|CALLE LAZARO CARDENAS|EJIDO OCCIDENTE SAN FRANCISCO|X|933117365|X|X|X|CALLE LAZARO CARDENAS|X|LUNES|x|x|x|x|x|DOMICILIO |12800|2000|X|X|X|2022-02-03|2022-02-10|x|x|x|x|x|ZGSYJGLZUXA73WJ|x|HOMBRE|X|14800|X|X|X|X|X|X|X|X|CARDENAS|X|X|X|X|FINAL</v>
      </c>
    </row>
    <row r="226" spans="1:82" x14ac:dyDescent="0.25">
      <c r="A226" t="s">
        <v>566</v>
      </c>
      <c r="B226" t="s">
        <v>567</v>
      </c>
      <c r="C226">
        <v>3</v>
      </c>
      <c r="D226" t="s">
        <v>1371</v>
      </c>
      <c r="E226" t="s">
        <v>1380</v>
      </c>
      <c r="F226" t="s">
        <v>1385</v>
      </c>
      <c r="G226" t="s">
        <v>1385</v>
      </c>
      <c r="H226" t="s">
        <v>1435</v>
      </c>
      <c r="I226">
        <v>11500</v>
      </c>
      <c r="J226">
        <v>0</v>
      </c>
      <c r="K226">
        <v>100</v>
      </c>
      <c r="L226">
        <v>50</v>
      </c>
      <c r="M226">
        <v>2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Y226">
        <v>0</v>
      </c>
      <c r="Z226">
        <v>0</v>
      </c>
      <c r="AA226">
        <v>0</v>
      </c>
      <c r="AB226" t="s">
        <v>2007</v>
      </c>
      <c r="AC226" t="s">
        <v>1739</v>
      </c>
      <c r="AD226" s="18" t="s">
        <v>2008</v>
      </c>
      <c r="AE226" t="s">
        <v>4</v>
      </c>
      <c r="AF226" t="s">
        <v>1</v>
      </c>
      <c r="AG226" t="s">
        <v>1</v>
      </c>
      <c r="AH226" t="s">
        <v>2629</v>
      </c>
      <c r="AI226" t="s">
        <v>3082</v>
      </c>
      <c r="AJ226" t="s">
        <v>1</v>
      </c>
      <c r="AK226" t="s">
        <v>1</v>
      </c>
      <c r="AL226" t="s">
        <v>1</v>
      </c>
      <c r="AM226" t="s">
        <v>1</v>
      </c>
      <c r="AN226" t="s">
        <v>1</v>
      </c>
      <c r="AO226" t="s">
        <v>2629</v>
      </c>
      <c r="AP226" t="s">
        <v>1</v>
      </c>
      <c r="AQ226" t="s">
        <v>2</v>
      </c>
      <c r="AR226" t="s">
        <v>3</v>
      </c>
      <c r="AS226" t="s">
        <v>3</v>
      </c>
      <c r="AT226" t="s">
        <v>3</v>
      </c>
      <c r="AU226" t="s">
        <v>3</v>
      </c>
      <c r="AV226" t="s">
        <v>3</v>
      </c>
      <c r="AW226" t="s">
        <v>11</v>
      </c>
      <c r="AX226">
        <f>Tabla1[[#This Row],[precio del paquete]]-Tabla1[[#This Row],[Saldo_Deudor]]</f>
        <v>9200</v>
      </c>
      <c r="AY226">
        <v>2300</v>
      </c>
      <c r="AZ226" t="s">
        <v>1</v>
      </c>
      <c r="BA226" t="s">
        <v>1</v>
      </c>
      <c r="BB226" t="s">
        <v>1</v>
      </c>
      <c r="BC226" t="s">
        <v>1394</v>
      </c>
      <c r="BD226" t="s">
        <v>1400</v>
      </c>
      <c r="BE226" t="s">
        <v>3</v>
      </c>
      <c r="BF226" t="s">
        <v>3</v>
      </c>
      <c r="BG226" t="s">
        <v>3</v>
      </c>
      <c r="BH226" t="s">
        <v>3</v>
      </c>
      <c r="BI226" t="s">
        <v>3</v>
      </c>
      <c r="BJ226" t="s">
        <v>3374</v>
      </c>
      <c r="BK226" t="s">
        <v>3</v>
      </c>
      <c r="BL226" t="s">
        <v>132</v>
      </c>
      <c r="BM226" t="s">
        <v>1</v>
      </c>
      <c r="BN226">
        <f>Tabla1[[#This Row],[precio del paquete]]</f>
        <v>11500</v>
      </c>
      <c r="BO226" t="s">
        <v>1</v>
      </c>
      <c r="BP226" t="s">
        <v>1</v>
      </c>
      <c r="BQ226" t="s">
        <v>1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0</v>
      </c>
      <c r="BX226" t="s">
        <v>1</v>
      </c>
      <c r="BY226" t="s">
        <v>1</v>
      </c>
      <c r="BZ226" t="s">
        <v>1</v>
      </c>
      <c r="CA226" t="s">
        <v>1</v>
      </c>
      <c r="CB226" t="s">
        <v>3382</v>
      </c>
      <c r="CD226" t="str" cm="1">
        <f t="array" aca="1" ref="CD226" ca="1">eConcatenar(A226:CB226,"|")</f>
        <v>t949Enh4CjnvKbMB|PAR2016-1639|3|ECONOLINE|TABASCO|PARAISO|PARAISO|2016-06-23|11500|0|100|50|2|0|0|0|0|0|0|0|0|0|0||0|0|0|HRNANDEZ|DE LOS SANTOS|ROSENDO|SOLTERO|X|X|RANCHERIA OCCIDENTE SEGUNDA|RANCHERIA OCCIDENTE SEGUNDA SECCION|X|X|X|X|X|RANCHERIA OCCIDENTE SEGUNDA|X|LUNES|x|x|x|x|x|DOMICILIO |9200|2300|X|X|X|2022-02-03|2022-02-10|x|x|x|x|x|ZGSYJGLZUXA73WJ|x|HOMBRE|X|11500|X|X|X|X|X|X|X|X|CARDENAS|X|X|X|X|FINAL</v>
      </c>
    </row>
    <row r="227" spans="1:82" x14ac:dyDescent="0.25">
      <c r="A227" t="s">
        <v>568</v>
      </c>
      <c r="B227" t="s">
        <v>569</v>
      </c>
      <c r="C227">
        <v>3</v>
      </c>
      <c r="D227" t="s">
        <v>1372</v>
      </c>
      <c r="E227" t="s">
        <v>1380</v>
      </c>
      <c r="F227" t="s">
        <v>1385</v>
      </c>
      <c r="G227" t="s">
        <v>1385</v>
      </c>
      <c r="H227" t="s">
        <v>1436</v>
      </c>
      <c r="I227">
        <v>12900</v>
      </c>
      <c r="J227">
        <v>0</v>
      </c>
      <c r="K227">
        <v>200</v>
      </c>
      <c r="L227">
        <v>50</v>
      </c>
      <c r="M227">
        <v>2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Y227">
        <v>0</v>
      </c>
      <c r="Z227">
        <v>0</v>
      </c>
      <c r="AA227">
        <v>0</v>
      </c>
      <c r="AB227" t="s">
        <v>2009</v>
      </c>
      <c r="AC227" t="s">
        <v>1693</v>
      </c>
      <c r="AD227" s="18" t="s">
        <v>2010</v>
      </c>
      <c r="AE227" t="s">
        <v>4</v>
      </c>
      <c r="AF227" t="s">
        <v>1</v>
      </c>
      <c r="AG227" t="s">
        <v>1</v>
      </c>
      <c r="AH227" t="s">
        <v>2630</v>
      </c>
      <c r="AI227" t="s">
        <v>3070</v>
      </c>
      <c r="AJ227" t="s">
        <v>1</v>
      </c>
      <c r="AK227">
        <v>9331205514</v>
      </c>
      <c r="AL227" t="s">
        <v>1</v>
      </c>
      <c r="AM227" t="s">
        <v>1</v>
      </c>
      <c r="AN227" t="s">
        <v>1</v>
      </c>
      <c r="AO227" t="s">
        <v>2630</v>
      </c>
      <c r="AP227" t="s">
        <v>1</v>
      </c>
      <c r="AQ227" t="s">
        <v>2</v>
      </c>
      <c r="AR227" t="s">
        <v>3</v>
      </c>
      <c r="AS227" t="s">
        <v>3</v>
      </c>
      <c r="AT227" t="s">
        <v>3</v>
      </c>
      <c r="AU227" t="s">
        <v>3</v>
      </c>
      <c r="AV227" t="s">
        <v>3</v>
      </c>
      <c r="AW227" t="s">
        <v>11</v>
      </c>
      <c r="AX227">
        <f>Tabla1[[#This Row],[precio del paquete]]-Tabla1[[#This Row],[Saldo_Deudor]]</f>
        <v>5400</v>
      </c>
      <c r="AY227">
        <v>7500</v>
      </c>
      <c r="AZ227" t="s">
        <v>1</v>
      </c>
      <c r="BA227" t="s">
        <v>1</v>
      </c>
      <c r="BB227" t="s">
        <v>1</v>
      </c>
      <c r="BC227" t="s">
        <v>1394</v>
      </c>
      <c r="BD227" t="s">
        <v>1400</v>
      </c>
      <c r="BE227" t="s">
        <v>3</v>
      </c>
      <c r="BF227" t="s">
        <v>3</v>
      </c>
      <c r="BG227" t="s">
        <v>3</v>
      </c>
      <c r="BH227" t="s">
        <v>3</v>
      </c>
      <c r="BI227" t="s">
        <v>3</v>
      </c>
      <c r="BJ227" t="s">
        <v>3374</v>
      </c>
      <c r="BK227" t="s">
        <v>3</v>
      </c>
      <c r="BL227" t="s">
        <v>132</v>
      </c>
      <c r="BM227" t="s">
        <v>1</v>
      </c>
      <c r="BN227">
        <f>Tabla1[[#This Row],[precio del paquete]]</f>
        <v>12900</v>
      </c>
      <c r="BO227" t="s">
        <v>1</v>
      </c>
      <c r="BP227" t="s">
        <v>1</v>
      </c>
      <c r="BQ227" t="s">
        <v>1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0</v>
      </c>
      <c r="BX227" t="s">
        <v>1</v>
      </c>
      <c r="BY227" t="s">
        <v>1</v>
      </c>
      <c r="BZ227" t="s">
        <v>1</v>
      </c>
      <c r="CA227" t="s">
        <v>1</v>
      </c>
      <c r="CB227" t="s">
        <v>3382</v>
      </c>
      <c r="CD227" t="str" cm="1">
        <f t="array" aca="1" ref="CD227" ca="1">eConcatenar(A227:CB227,"|")</f>
        <v>PnxJKw5UvXY4Q66n|PAR2020-3397|3|IMPERIAL DE LUJO|TABASCO|PARAISO|PARAISO|2020-12-22|12900|0|200|50|2|0|0|0|0|0|0|0|0|0|0||0|0|0|CASTELLANOS|RODRIGUEZ|NERIA|SOLTERO|X|X|CARRETERA A SAN FRANCISCO|RANCHERIA ZAPOTAL TERCERA SECCION |X|9331205514|X|X|X|CARRETERA A SAN FRANCISCO|X|LUNES|x|x|x|x|x|DOMICILIO |5400|7500|X|X|X|2022-02-03|2022-02-10|x|x|x|x|x|ZGSYJGLZUXA73WJ|x|HOMBRE|X|12900|X|X|X|X|X|X|X|X|CARDENAS|X|X|X|X|FINAL</v>
      </c>
    </row>
    <row r="228" spans="1:82" x14ac:dyDescent="0.25">
      <c r="A228" t="s">
        <v>570</v>
      </c>
      <c r="B228" t="s">
        <v>571</v>
      </c>
      <c r="C228">
        <v>3</v>
      </c>
      <c r="D228" t="s">
        <v>1369</v>
      </c>
      <c r="E228" t="s">
        <v>1380</v>
      </c>
      <c r="F228" t="s">
        <v>1385</v>
      </c>
      <c r="G228" t="s">
        <v>1385</v>
      </c>
      <c r="H228" t="s">
        <v>1437</v>
      </c>
      <c r="I228">
        <v>14800</v>
      </c>
      <c r="J228">
        <v>0</v>
      </c>
      <c r="K228">
        <v>100</v>
      </c>
      <c r="L228">
        <v>50</v>
      </c>
      <c r="M228">
        <v>2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Y228">
        <v>0</v>
      </c>
      <c r="Z228">
        <v>0</v>
      </c>
      <c r="AA228">
        <v>0</v>
      </c>
      <c r="AB228" t="s">
        <v>2011</v>
      </c>
      <c r="AC228" t="s">
        <v>2011</v>
      </c>
      <c r="AD228" s="18" t="s">
        <v>2012</v>
      </c>
      <c r="AE228" t="s">
        <v>4</v>
      </c>
      <c r="AF228" t="s">
        <v>1</v>
      </c>
      <c r="AG228" t="s">
        <v>1</v>
      </c>
      <c r="AH228" t="s">
        <v>2462</v>
      </c>
      <c r="AI228" t="s">
        <v>2660</v>
      </c>
      <c r="AJ228" t="s">
        <v>1</v>
      </c>
      <c r="AK228">
        <v>9331464633</v>
      </c>
      <c r="AL228" t="s">
        <v>1</v>
      </c>
      <c r="AM228" t="s">
        <v>1</v>
      </c>
      <c r="AN228" t="s">
        <v>1</v>
      </c>
      <c r="AO228" t="s">
        <v>2462</v>
      </c>
      <c r="AP228" t="s">
        <v>1</v>
      </c>
      <c r="AQ228" t="s">
        <v>2</v>
      </c>
      <c r="AR228" t="s">
        <v>3</v>
      </c>
      <c r="AS228" t="s">
        <v>3</v>
      </c>
      <c r="AT228" t="s">
        <v>3</v>
      </c>
      <c r="AU228" t="s">
        <v>3</v>
      </c>
      <c r="AV228" t="s">
        <v>3</v>
      </c>
      <c r="AW228" t="s">
        <v>11</v>
      </c>
      <c r="AX228">
        <f>Tabla1[[#This Row],[precio del paquete]]-Tabla1[[#This Row],[Saldo_Deudor]]</f>
        <v>11300</v>
      </c>
      <c r="AY228">
        <v>3500</v>
      </c>
      <c r="AZ228" t="s">
        <v>1</v>
      </c>
      <c r="BA228" t="s">
        <v>1</v>
      </c>
      <c r="BB228" t="s">
        <v>1</v>
      </c>
      <c r="BC228" t="s">
        <v>1394</v>
      </c>
      <c r="BD228" t="s">
        <v>1400</v>
      </c>
      <c r="BE228" t="s">
        <v>3</v>
      </c>
      <c r="BF228" t="s">
        <v>3</v>
      </c>
      <c r="BG228" t="s">
        <v>3</v>
      </c>
      <c r="BH228" t="s">
        <v>3</v>
      </c>
      <c r="BI228" t="s">
        <v>3</v>
      </c>
      <c r="BJ228" t="s">
        <v>3374</v>
      </c>
      <c r="BK228" t="s">
        <v>3</v>
      </c>
      <c r="BL228" t="s">
        <v>132</v>
      </c>
      <c r="BM228" t="s">
        <v>1</v>
      </c>
      <c r="BN228">
        <f>Tabla1[[#This Row],[precio del paquete]]</f>
        <v>14800</v>
      </c>
      <c r="BO228" t="s">
        <v>1</v>
      </c>
      <c r="BP228" t="s">
        <v>1</v>
      </c>
      <c r="BQ228" t="s">
        <v>1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0</v>
      </c>
      <c r="BX228" t="s">
        <v>1</v>
      </c>
      <c r="BY228" t="s">
        <v>1</v>
      </c>
      <c r="BZ228" t="s">
        <v>1</v>
      </c>
      <c r="CA228" t="s">
        <v>1</v>
      </c>
      <c r="CB228" t="s">
        <v>3382</v>
      </c>
      <c r="CD228" t="str" cm="1">
        <f t="array" aca="1" ref="CD228" ca="1">eConcatenar(A228:CB228,"|")</f>
        <v>WloEfXywzi9um2ZD|PAR2020-0941|3|MEMORIAL|TABASCO|PARAISO|PARAISO|2022-06-23|14800|0|100|50|2|0|0|0|0|0|0|0|0|0|0||0|0|0|ALEJANDRO|ALEJANDRO|JOSE CRUZ|SOLTERO|X|X|CALLE PRINCIPAL |COLONIA TOMAS GARRIDO|X|9331464633|X|X|X|CALLE PRINCIPAL |X|LUNES|x|x|x|x|x|DOMICILIO |11300|3500|X|X|X|2022-02-03|2022-02-10|x|x|x|x|x|ZGSYJGLZUXA73WJ|x|HOMBRE|X|14800|X|X|X|X|X|X|X|X|CARDENAS|X|X|X|X|FINAL</v>
      </c>
    </row>
    <row r="229" spans="1:82" x14ac:dyDescent="0.25">
      <c r="A229" t="s">
        <v>572</v>
      </c>
      <c r="B229" t="s">
        <v>573</v>
      </c>
      <c r="C229">
        <v>3</v>
      </c>
      <c r="D229" t="s">
        <v>1373</v>
      </c>
      <c r="E229" t="s">
        <v>1380</v>
      </c>
      <c r="F229" t="s">
        <v>1385</v>
      </c>
      <c r="G229" t="s">
        <v>1385</v>
      </c>
      <c r="H229" t="s">
        <v>1438</v>
      </c>
      <c r="I229">
        <v>19800</v>
      </c>
      <c r="J229">
        <v>0</v>
      </c>
      <c r="K229">
        <v>100</v>
      </c>
      <c r="L229">
        <v>50</v>
      </c>
      <c r="M229">
        <v>2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Y229">
        <v>0</v>
      </c>
      <c r="Z229">
        <v>0</v>
      </c>
      <c r="AA229">
        <v>0</v>
      </c>
      <c r="AB229" t="s">
        <v>2011</v>
      </c>
      <c r="AC229" t="s">
        <v>1713</v>
      </c>
      <c r="AD229" s="18" t="s">
        <v>2013</v>
      </c>
      <c r="AE229" t="s">
        <v>4</v>
      </c>
      <c r="AF229" t="s">
        <v>1</v>
      </c>
      <c r="AG229" t="s">
        <v>1</v>
      </c>
      <c r="AH229" t="s">
        <v>2631</v>
      </c>
      <c r="AI229" t="s">
        <v>3080</v>
      </c>
      <c r="AJ229" t="s">
        <v>1</v>
      </c>
      <c r="AK229">
        <v>9331063825</v>
      </c>
      <c r="AL229" t="s">
        <v>1</v>
      </c>
      <c r="AM229" t="s">
        <v>1</v>
      </c>
      <c r="AN229" t="s">
        <v>1</v>
      </c>
      <c r="AO229" t="s">
        <v>2631</v>
      </c>
      <c r="AP229" t="s">
        <v>1</v>
      </c>
      <c r="AQ229" t="s">
        <v>2</v>
      </c>
      <c r="AR229" t="s">
        <v>3</v>
      </c>
      <c r="AS229" t="s">
        <v>3</v>
      </c>
      <c r="AT229" t="s">
        <v>3</v>
      </c>
      <c r="AU229" t="s">
        <v>3</v>
      </c>
      <c r="AV229" t="s">
        <v>3</v>
      </c>
      <c r="AW229" t="s">
        <v>11</v>
      </c>
      <c r="AX229">
        <f>Tabla1[[#This Row],[precio del paquete]]-Tabla1[[#This Row],[Saldo_Deudor]]</f>
        <v>12950</v>
      </c>
      <c r="AY229">
        <v>6850</v>
      </c>
      <c r="AZ229" t="s">
        <v>1</v>
      </c>
      <c r="BA229" t="s">
        <v>1</v>
      </c>
      <c r="BB229" t="s">
        <v>1</v>
      </c>
      <c r="BC229" t="s">
        <v>1390</v>
      </c>
      <c r="BD229" t="s">
        <v>1401</v>
      </c>
      <c r="BE229" t="s">
        <v>3</v>
      </c>
      <c r="BF229" t="s">
        <v>3</v>
      </c>
      <c r="BG229" t="s">
        <v>3</v>
      </c>
      <c r="BH229" t="s">
        <v>3</v>
      </c>
      <c r="BI229" t="s">
        <v>3</v>
      </c>
      <c r="BJ229" t="s">
        <v>3374</v>
      </c>
      <c r="BK229" t="s">
        <v>3</v>
      </c>
      <c r="BL229" t="s">
        <v>132</v>
      </c>
      <c r="BM229" t="s">
        <v>1</v>
      </c>
      <c r="BN229">
        <f>Tabla1[[#This Row],[precio del paquete]]</f>
        <v>19800</v>
      </c>
      <c r="BO229" t="s">
        <v>1</v>
      </c>
      <c r="BP229" t="s">
        <v>1</v>
      </c>
      <c r="BQ229" t="s">
        <v>1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0</v>
      </c>
      <c r="BX229" t="s">
        <v>1</v>
      </c>
      <c r="BY229" t="s">
        <v>1</v>
      </c>
      <c r="BZ229" t="s">
        <v>1</v>
      </c>
      <c r="CA229" t="s">
        <v>1</v>
      </c>
      <c r="CB229" t="s">
        <v>3382</v>
      </c>
      <c r="CD229" t="str" cm="1">
        <f t="array" aca="1" ref="CD229" ca="1">eConcatenar(A229:CB229,"|")</f>
        <v>mRkfdDnheztPQANQ|PAR2019-3019|3|ZAFIRO|TABASCO|PARAISO|PARAISO|2020-07-02|19800|0|100|50|2|0|0|0|0|0|0|0|0|0|0||0|0|0|ALEJANDRO|DE LA CRUZ|BRENDA ISELL|SOLTERO|X|X|CARRETERA COMALCALCO PARAISO| HUESO DE PUERCO ( COLONIA QUINTIN ARAUZ)|X|9331063825|X|X|X|CARRETERA COMALCALCO PARAISO|X|LUNES|x|x|x|x|x|DOMICILIO |12950|6850|X|X|X|2022-02-02|2022-02-09|x|x|x|x|x|ZGSYJGLZUXA73WJ|x|HOMBRE|X|19800|X|X|X|X|X|X|X|X|CARDENAS|X|X|X|X|FINAL</v>
      </c>
    </row>
    <row r="230" spans="1:82" x14ac:dyDescent="0.25">
      <c r="A230" t="s">
        <v>574</v>
      </c>
      <c r="B230" t="s">
        <v>575</v>
      </c>
      <c r="C230">
        <v>3</v>
      </c>
      <c r="D230" t="s">
        <v>1372</v>
      </c>
      <c r="E230" t="s">
        <v>1380</v>
      </c>
      <c r="F230" t="s">
        <v>1385</v>
      </c>
      <c r="G230" t="s">
        <v>1385</v>
      </c>
      <c r="H230" t="s">
        <v>1439</v>
      </c>
      <c r="I230">
        <v>12900</v>
      </c>
      <c r="J230">
        <v>0</v>
      </c>
      <c r="K230">
        <v>100</v>
      </c>
      <c r="L230">
        <v>50</v>
      </c>
      <c r="M230">
        <v>2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Y230">
        <v>0</v>
      </c>
      <c r="Z230">
        <v>0</v>
      </c>
      <c r="AA230">
        <v>0</v>
      </c>
      <c r="AB230" t="s">
        <v>1851</v>
      </c>
      <c r="AC230" t="s">
        <v>1698</v>
      </c>
      <c r="AD230" s="18" t="s">
        <v>2014</v>
      </c>
      <c r="AE230" t="s">
        <v>4</v>
      </c>
      <c r="AF230" t="s">
        <v>1</v>
      </c>
      <c r="AG230" t="s">
        <v>1</v>
      </c>
      <c r="AH230" t="s">
        <v>2632</v>
      </c>
      <c r="AI230" t="s">
        <v>3083</v>
      </c>
      <c r="AJ230" t="s">
        <v>1</v>
      </c>
      <c r="AK230">
        <v>933578184</v>
      </c>
      <c r="AL230" t="s">
        <v>1</v>
      </c>
      <c r="AM230" t="s">
        <v>1</v>
      </c>
      <c r="AN230" t="s">
        <v>1</v>
      </c>
      <c r="AO230" t="s">
        <v>2632</v>
      </c>
      <c r="AP230" t="s">
        <v>1</v>
      </c>
      <c r="AQ230" t="s">
        <v>2</v>
      </c>
      <c r="AR230" t="s">
        <v>3</v>
      </c>
      <c r="AS230" t="s">
        <v>3</v>
      </c>
      <c r="AT230" t="s">
        <v>3</v>
      </c>
      <c r="AU230" t="s">
        <v>3</v>
      </c>
      <c r="AV230" t="s">
        <v>3</v>
      </c>
      <c r="AW230" t="s">
        <v>11</v>
      </c>
      <c r="AX230">
        <f>Tabla1[[#This Row],[precio del paquete]]-Tabla1[[#This Row],[Saldo_Deudor]]</f>
        <v>11200</v>
      </c>
      <c r="AY230">
        <v>1700</v>
      </c>
      <c r="AZ230" t="s">
        <v>1</v>
      </c>
      <c r="BA230" t="s">
        <v>1</v>
      </c>
      <c r="BB230" t="s">
        <v>1</v>
      </c>
      <c r="BC230" t="s">
        <v>1390</v>
      </c>
      <c r="BD230" t="s">
        <v>1401</v>
      </c>
      <c r="BE230" t="s">
        <v>3</v>
      </c>
      <c r="BF230" t="s">
        <v>3</v>
      </c>
      <c r="BG230" t="s">
        <v>3</v>
      </c>
      <c r="BH230" t="s">
        <v>3</v>
      </c>
      <c r="BI230" t="s">
        <v>3</v>
      </c>
      <c r="BJ230" t="s">
        <v>3374</v>
      </c>
      <c r="BK230" t="s">
        <v>3</v>
      </c>
      <c r="BL230" t="s">
        <v>132</v>
      </c>
      <c r="BM230" t="s">
        <v>1</v>
      </c>
      <c r="BN230">
        <f>Tabla1[[#This Row],[precio del paquete]]</f>
        <v>12900</v>
      </c>
      <c r="BO230" t="s">
        <v>1</v>
      </c>
      <c r="BP230" t="s">
        <v>1</v>
      </c>
      <c r="BQ230" t="s">
        <v>1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0</v>
      </c>
      <c r="BX230" t="s">
        <v>1</v>
      </c>
      <c r="BY230" t="s">
        <v>1</v>
      </c>
      <c r="BZ230" t="s">
        <v>1</v>
      </c>
      <c r="CA230" t="s">
        <v>1</v>
      </c>
      <c r="CB230" t="s">
        <v>3382</v>
      </c>
      <c r="CD230" t="str" cm="1">
        <f t="array" aca="1" ref="CD230" ca="1">eConcatenar(A230:CB230,"|")</f>
        <v>bgJlaZGbTg0eo2OD|PAR2019-1675|3|IMPERIAL DE LUJO|TABASCO|PARAISO|PARAISO|2019-06-30|12900|0|100|50|2|0|0|0|0|0|0|0|0|0|0||0|0|0|JAVIER|VAZQUEZ|MARILU|SOLTERO|X|X|CARRETERA ARTURO FLORES |COLONIA ORIENTE SAN CAYETANO|X|933578184|X|X|X|CARRETERA ARTURO FLORES |X|LUNES|x|x|x|x|x|DOMICILIO |11200|1700|X|X|X|2022-02-02|2022-02-09|x|x|x|x|x|ZGSYJGLZUXA73WJ|x|HOMBRE|X|12900|X|X|X|X|X|X|X|X|CARDENAS|X|X|X|X|FINAL</v>
      </c>
    </row>
    <row r="231" spans="1:82" x14ac:dyDescent="0.25">
      <c r="A231" t="s">
        <v>576</v>
      </c>
      <c r="B231" t="s">
        <v>577</v>
      </c>
      <c r="C231">
        <v>3</v>
      </c>
      <c r="D231" t="s">
        <v>1371</v>
      </c>
      <c r="E231" t="s">
        <v>1380</v>
      </c>
      <c r="F231" t="s">
        <v>1385</v>
      </c>
      <c r="G231" t="s">
        <v>1385</v>
      </c>
      <c r="H231" t="s">
        <v>1440</v>
      </c>
      <c r="I231">
        <v>12900</v>
      </c>
      <c r="J231">
        <v>0</v>
      </c>
      <c r="K231">
        <v>100</v>
      </c>
      <c r="L231">
        <v>50</v>
      </c>
      <c r="M231">
        <v>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Y231">
        <v>0</v>
      </c>
      <c r="Z231">
        <v>0</v>
      </c>
      <c r="AA231">
        <v>0</v>
      </c>
      <c r="AB231" t="s">
        <v>1693</v>
      </c>
      <c r="AC231" t="s">
        <v>2011</v>
      </c>
      <c r="AD231" s="18" t="s">
        <v>1746</v>
      </c>
      <c r="AE231" t="s">
        <v>4</v>
      </c>
      <c r="AF231" t="s">
        <v>1</v>
      </c>
      <c r="AG231" t="s">
        <v>1</v>
      </c>
      <c r="AH231" t="s">
        <v>2633</v>
      </c>
      <c r="AI231" t="s">
        <v>2633</v>
      </c>
      <c r="AJ231" t="s">
        <v>1</v>
      </c>
      <c r="AK231" t="s">
        <v>1</v>
      </c>
      <c r="AL231" t="s">
        <v>1</v>
      </c>
      <c r="AM231" t="s">
        <v>1</v>
      </c>
      <c r="AN231" t="s">
        <v>1</v>
      </c>
      <c r="AO231" t="s">
        <v>2633</v>
      </c>
      <c r="AP231" t="s">
        <v>1</v>
      </c>
      <c r="AQ231" t="s">
        <v>2</v>
      </c>
      <c r="AR231" t="s">
        <v>3</v>
      </c>
      <c r="AS231" t="s">
        <v>3</v>
      </c>
      <c r="AT231" t="s">
        <v>3</v>
      </c>
      <c r="AU231" t="s">
        <v>3</v>
      </c>
      <c r="AV231" t="s">
        <v>3</v>
      </c>
      <c r="AW231" t="s">
        <v>11</v>
      </c>
      <c r="AX231">
        <f>Tabla1[[#This Row],[precio del paquete]]-Tabla1[[#This Row],[Saldo_Deudor]]</f>
        <v>11600</v>
      </c>
      <c r="AY231">
        <v>1300</v>
      </c>
      <c r="AZ231" t="s">
        <v>1</v>
      </c>
      <c r="BA231" t="s">
        <v>1</v>
      </c>
      <c r="BB231" t="s">
        <v>1</v>
      </c>
      <c r="BC231" t="s">
        <v>1390</v>
      </c>
      <c r="BD231" t="s">
        <v>1401</v>
      </c>
      <c r="BE231" t="s">
        <v>3</v>
      </c>
      <c r="BF231" t="s">
        <v>3</v>
      </c>
      <c r="BG231" t="s">
        <v>3</v>
      </c>
      <c r="BH231" t="s">
        <v>3</v>
      </c>
      <c r="BI231" t="s">
        <v>3</v>
      </c>
      <c r="BJ231" t="s">
        <v>3374</v>
      </c>
      <c r="BK231" t="s">
        <v>3</v>
      </c>
      <c r="BL231" t="s">
        <v>132</v>
      </c>
      <c r="BM231" t="s">
        <v>1</v>
      </c>
      <c r="BN231">
        <f>Tabla1[[#This Row],[precio del paquete]]</f>
        <v>12900</v>
      </c>
      <c r="BO231" t="s">
        <v>1</v>
      </c>
      <c r="BP231" t="s">
        <v>1</v>
      </c>
      <c r="BQ231" t="s">
        <v>1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0</v>
      </c>
      <c r="BX231" t="s">
        <v>1</v>
      </c>
      <c r="BY231" t="s">
        <v>1</v>
      </c>
      <c r="BZ231" t="s">
        <v>1</v>
      </c>
      <c r="CA231" t="s">
        <v>1</v>
      </c>
      <c r="CB231" t="s">
        <v>3382</v>
      </c>
      <c r="CD231" t="str" cm="1">
        <f t="array" aca="1" ref="CD231" ca="1">eConcatenar(A231:CB231,"|")</f>
        <v>wfL6fruatTLT62tR|PAR2019-2351|3|ECONOLINE|TABASCO|PARAISO|PARAISO|2019-08-27|12900|0|100|50|2|0|0|0|0|0|0|0|0|0|0||0|0|0|RODRIGUEZ|ALEJANDRO|SEBASTIAN|SOLTERO|X|X|RANCHERIA PRIMERA SECCION |RANCHERIA PRIMERA SECCION |X|X|X|X|X|RANCHERIA PRIMERA SECCION |X|LUNES|x|x|x|x|x|DOMICILIO |11600|1300|X|X|X|2022-02-02|2022-02-09|x|x|x|x|x|ZGSYJGLZUXA73WJ|x|HOMBRE|X|12900|X|X|X|X|X|X|X|X|CARDENAS|X|X|X|X|FINAL</v>
      </c>
    </row>
    <row r="232" spans="1:82" x14ac:dyDescent="0.25">
      <c r="A232" t="s">
        <v>578</v>
      </c>
      <c r="B232" t="s">
        <v>579</v>
      </c>
      <c r="C232">
        <v>3</v>
      </c>
      <c r="D232" t="s">
        <v>1371</v>
      </c>
      <c r="E232" t="s">
        <v>1380</v>
      </c>
      <c r="F232" t="s">
        <v>1385</v>
      </c>
      <c r="G232" t="s">
        <v>1385</v>
      </c>
      <c r="H232" t="s">
        <v>1441</v>
      </c>
      <c r="I232">
        <v>12900</v>
      </c>
      <c r="J232">
        <v>0</v>
      </c>
      <c r="K232">
        <v>100</v>
      </c>
      <c r="L232">
        <v>50</v>
      </c>
      <c r="M232">
        <v>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Y232">
        <v>0</v>
      </c>
      <c r="Z232">
        <v>0</v>
      </c>
      <c r="AA232">
        <v>0</v>
      </c>
      <c r="AB232" t="s">
        <v>1820</v>
      </c>
      <c r="AC232" t="s">
        <v>1711</v>
      </c>
      <c r="AD232" s="18" t="s">
        <v>2015</v>
      </c>
      <c r="AE232" t="s">
        <v>4</v>
      </c>
      <c r="AF232" t="s">
        <v>1</v>
      </c>
      <c r="AG232" t="s">
        <v>1</v>
      </c>
      <c r="AH232" t="s">
        <v>2634</v>
      </c>
      <c r="AI232" t="s">
        <v>2634</v>
      </c>
      <c r="AJ232" t="s">
        <v>1</v>
      </c>
      <c r="AK232">
        <v>9331115097</v>
      </c>
      <c r="AL232" t="s">
        <v>1</v>
      </c>
      <c r="AM232" t="s">
        <v>1</v>
      </c>
      <c r="AN232" t="s">
        <v>1</v>
      </c>
      <c r="AO232" t="s">
        <v>2634</v>
      </c>
      <c r="AP232" t="s">
        <v>1</v>
      </c>
      <c r="AQ232" t="s">
        <v>2</v>
      </c>
      <c r="AR232" t="s">
        <v>3</v>
      </c>
      <c r="AS232" t="s">
        <v>3</v>
      </c>
      <c r="AT232" t="s">
        <v>3</v>
      </c>
      <c r="AU232" t="s">
        <v>3</v>
      </c>
      <c r="AV232" t="s">
        <v>3</v>
      </c>
      <c r="AW232" t="s">
        <v>11</v>
      </c>
      <c r="AX232">
        <f>Tabla1[[#This Row],[precio del paquete]]-Tabla1[[#This Row],[Saldo_Deudor]]</f>
        <v>6400</v>
      </c>
      <c r="AY232">
        <v>6500</v>
      </c>
      <c r="AZ232" t="s">
        <v>1</v>
      </c>
      <c r="BA232" t="s">
        <v>1</v>
      </c>
      <c r="BB232" t="s">
        <v>1</v>
      </c>
      <c r="BC232" t="s">
        <v>1390</v>
      </c>
      <c r="BD232" t="s">
        <v>1401</v>
      </c>
      <c r="BE232" t="s">
        <v>3</v>
      </c>
      <c r="BF232" t="s">
        <v>3</v>
      </c>
      <c r="BG232" t="s">
        <v>3</v>
      </c>
      <c r="BH232" t="s">
        <v>3</v>
      </c>
      <c r="BI232" t="s">
        <v>3</v>
      </c>
      <c r="BJ232" t="s">
        <v>3374</v>
      </c>
      <c r="BK232" t="s">
        <v>3</v>
      </c>
      <c r="BL232" t="s">
        <v>132</v>
      </c>
      <c r="BM232" t="s">
        <v>1</v>
      </c>
      <c r="BN232">
        <f>Tabla1[[#This Row],[precio del paquete]]</f>
        <v>12900</v>
      </c>
      <c r="BO232" t="s">
        <v>1</v>
      </c>
      <c r="BP232" t="s">
        <v>1</v>
      </c>
      <c r="BQ232" t="s">
        <v>1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0</v>
      </c>
      <c r="BX232" t="s">
        <v>1</v>
      </c>
      <c r="BY232" t="s">
        <v>1</v>
      </c>
      <c r="BZ232" t="s">
        <v>1</v>
      </c>
      <c r="CA232" t="s">
        <v>1</v>
      </c>
      <c r="CB232" t="s">
        <v>3382</v>
      </c>
      <c r="CD232" t="str" cm="1">
        <f t="array" aca="1" ref="CD232" ca="1">eConcatenar(A232:CB232,"|")</f>
        <v>uUL4wVGPbBl4EWjG|PAR2020-0346|3|ECONOLINE|TABASCO|PARAISO|PARAISO|2020-01-30|12900|0|100|50|2|0|0|0|0|0|0|0|0|0|0||0|0|0|MONTEJO|HERNANDEZ|LORENA|SOLTERO|X|X|RANCHERIA ORIENTE SEGUNDA SECCION|RANCHERIA ORIENTE SEGUNDA SECCION|X|9331115097|X|X|X|RANCHERIA ORIENTE SEGUNDA SECCION|X|LUNES|x|x|x|x|x|DOMICILIO |6400|6500|X|X|X|2022-02-02|2022-02-09|x|x|x|x|x|ZGSYJGLZUXA73WJ|x|HOMBRE|X|12900|X|X|X|X|X|X|X|X|CARDENAS|X|X|X|X|FINAL</v>
      </c>
    </row>
    <row r="233" spans="1:82" x14ac:dyDescent="0.25">
      <c r="A233" t="s">
        <v>580</v>
      </c>
      <c r="B233" t="s">
        <v>581</v>
      </c>
      <c r="C233">
        <v>3</v>
      </c>
      <c r="D233" t="s">
        <v>1369</v>
      </c>
      <c r="E233" t="s">
        <v>1380</v>
      </c>
      <c r="F233" t="s">
        <v>0</v>
      </c>
      <c r="G233" t="s">
        <v>0</v>
      </c>
      <c r="H233" t="s">
        <v>1442</v>
      </c>
      <c r="I233">
        <v>14800</v>
      </c>
      <c r="J233">
        <v>0</v>
      </c>
      <c r="K233">
        <v>200</v>
      </c>
      <c r="L233">
        <v>50</v>
      </c>
      <c r="M233">
        <v>1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Y233">
        <v>0</v>
      </c>
      <c r="Z233">
        <v>0</v>
      </c>
      <c r="AA233">
        <v>0</v>
      </c>
      <c r="AB233" t="s">
        <v>7</v>
      </c>
      <c r="AC233" t="s">
        <v>1750</v>
      </c>
      <c r="AD233" s="18" t="s">
        <v>2016</v>
      </c>
      <c r="AE233" t="s">
        <v>4</v>
      </c>
      <c r="AF233" t="s">
        <v>1</v>
      </c>
      <c r="AG233" t="s">
        <v>1</v>
      </c>
      <c r="AH233" t="s">
        <v>2635</v>
      </c>
      <c r="AI233" t="s">
        <v>2787</v>
      </c>
      <c r="AJ233" t="s">
        <v>1</v>
      </c>
      <c r="AK233">
        <v>9331370928</v>
      </c>
      <c r="AL233" t="s">
        <v>1</v>
      </c>
      <c r="AM233" t="s">
        <v>1</v>
      </c>
      <c r="AN233" t="s">
        <v>1</v>
      </c>
      <c r="AO233" t="s">
        <v>2635</v>
      </c>
      <c r="AP233" t="s">
        <v>1</v>
      </c>
      <c r="AQ233" t="s">
        <v>2</v>
      </c>
      <c r="AR233" t="s">
        <v>3</v>
      </c>
      <c r="AS233" t="s">
        <v>3</v>
      </c>
      <c r="AT233" t="s">
        <v>3</v>
      </c>
      <c r="AU233" t="s">
        <v>3</v>
      </c>
      <c r="AV233" t="s">
        <v>3</v>
      </c>
      <c r="AW233" t="s">
        <v>11</v>
      </c>
      <c r="AX233">
        <f>Tabla1[[#This Row],[precio del paquete]]-Tabla1[[#This Row],[Saldo_Deudor]]</f>
        <v>400</v>
      </c>
      <c r="AY233">
        <v>14400</v>
      </c>
      <c r="AZ233" t="s">
        <v>1</v>
      </c>
      <c r="BA233" t="s">
        <v>1</v>
      </c>
      <c r="BB233" t="s">
        <v>1</v>
      </c>
      <c r="BC233" t="s">
        <v>1504</v>
      </c>
      <c r="BD233" t="s">
        <v>1425</v>
      </c>
      <c r="BE233" t="s">
        <v>3</v>
      </c>
      <c r="BF233" t="s">
        <v>3</v>
      </c>
      <c r="BG233" t="s">
        <v>3</v>
      </c>
      <c r="BH233" t="s">
        <v>3</v>
      </c>
      <c r="BI233" t="s">
        <v>3</v>
      </c>
      <c r="BJ233" t="s">
        <v>3374</v>
      </c>
      <c r="BK233" t="s">
        <v>3</v>
      </c>
      <c r="BL233" t="s">
        <v>132</v>
      </c>
      <c r="BM233" t="s">
        <v>1</v>
      </c>
      <c r="BN233">
        <f>Tabla1[[#This Row],[precio del paquete]]</f>
        <v>14800</v>
      </c>
      <c r="BO233" t="s">
        <v>1</v>
      </c>
      <c r="BP233" t="s">
        <v>1</v>
      </c>
      <c r="BQ233" t="s">
        <v>1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0</v>
      </c>
      <c r="BX233" t="s">
        <v>1</v>
      </c>
      <c r="BY233" t="s">
        <v>1</v>
      </c>
      <c r="BZ233" t="s">
        <v>1</v>
      </c>
      <c r="CA233" t="s">
        <v>1</v>
      </c>
      <c r="CB233" t="s">
        <v>3382</v>
      </c>
      <c r="CD233" t="str" cm="1">
        <f t="array" aca="1" ref="CD233" ca="1">eConcatenar(A233:CB233,"|")</f>
        <v>buKzRPIMYP0dXn77|CAR2021-5684|3|MEMORIAL|TABASCO|CARDENAS|CARDENAS|2021-09-29|14800|0|200|50|1|0|0|0|0|0|0|0|0|0|0||0|0|0|LOPEZ|IZQUIERDO|CELIA GUADALUPE|SOLTERO|X|X|CALLE DOROTEO ARANGO|COLONIA NUEVO PROGRESO|X|9331370928|X|X|X|CALLE DOROTEO ARANGO|X|LUNES|x|x|x|x|x|DOMICILIO |400|14400|X|X|X|2021-12-17|2021-12-24|x|x|x|x|x|ZGSYJGLZUXA73WJ|x|HOMBRE|X|14800|X|X|X|X|X|X|X|X|CARDENAS|X|X|X|X|FINAL</v>
      </c>
    </row>
    <row r="234" spans="1:82" x14ac:dyDescent="0.25">
      <c r="A234" t="s">
        <v>582</v>
      </c>
      <c r="B234" t="s">
        <v>583</v>
      </c>
      <c r="C234">
        <v>3</v>
      </c>
      <c r="D234" t="s">
        <v>1368</v>
      </c>
      <c r="E234" t="s">
        <v>1380</v>
      </c>
      <c r="F234" t="s">
        <v>0</v>
      </c>
      <c r="G234" t="s">
        <v>0</v>
      </c>
      <c r="H234" t="s">
        <v>1443</v>
      </c>
      <c r="I234">
        <v>24500</v>
      </c>
      <c r="J234">
        <v>0</v>
      </c>
      <c r="K234">
        <v>100</v>
      </c>
      <c r="L234">
        <v>50</v>
      </c>
      <c r="M234">
        <v>2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Y234">
        <v>0</v>
      </c>
      <c r="Z234">
        <v>0</v>
      </c>
      <c r="AA234">
        <v>0</v>
      </c>
      <c r="AB234" t="s">
        <v>7</v>
      </c>
      <c r="AC234" t="s">
        <v>2017</v>
      </c>
      <c r="AD234" s="18" t="s">
        <v>2018</v>
      </c>
      <c r="AE234" t="s">
        <v>4</v>
      </c>
      <c r="AF234" t="s">
        <v>1</v>
      </c>
      <c r="AG234" t="s">
        <v>1</v>
      </c>
      <c r="AH234" t="s">
        <v>2636</v>
      </c>
      <c r="AI234" t="s">
        <v>3084</v>
      </c>
      <c r="AJ234" t="s">
        <v>1</v>
      </c>
      <c r="AK234">
        <v>9371005522</v>
      </c>
      <c r="AL234" t="s">
        <v>1</v>
      </c>
      <c r="AM234" t="s">
        <v>1</v>
      </c>
      <c r="AN234" t="s">
        <v>1</v>
      </c>
      <c r="AO234" t="s">
        <v>2636</v>
      </c>
      <c r="AP234" t="s">
        <v>1</v>
      </c>
      <c r="AQ234" t="s">
        <v>2</v>
      </c>
      <c r="AR234" t="s">
        <v>3</v>
      </c>
      <c r="AS234" t="s">
        <v>3</v>
      </c>
      <c r="AT234" t="s">
        <v>3</v>
      </c>
      <c r="AU234" t="s">
        <v>3</v>
      </c>
      <c r="AV234" t="s">
        <v>3</v>
      </c>
      <c r="AW234" t="s">
        <v>11</v>
      </c>
      <c r="AX234">
        <f>Tabla1[[#This Row],[precio del paquete]]-Tabla1[[#This Row],[Saldo_Deudor]]</f>
        <v>100</v>
      </c>
      <c r="AY234">
        <v>24400</v>
      </c>
      <c r="AZ234" t="s">
        <v>1</v>
      </c>
      <c r="BA234" t="s">
        <v>1</v>
      </c>
      <c r="BB234" t="s">
        <v>1</v>
      </c>
      <c r="BC234" t="s">
        <v>1443</v>
      </c>
      <c r="BD234" t="s">
        <v>1449</v>
      </c>
      <c r="BE234" t="s">
        <v>3</v>
      </c>
      <c r="BF234" t="s">
        <v>3</v>
      </c>
      <c r="BG234" t="s">
        <v>3</v>
      </c>
      <c r="BH234" t="s">
        <v>3</v>
      </c>
      <c r="BI234" t="s">
        <v>3</v>
      </c>
      <c r="BJ234" t="s">
        <v>3374</v>
      </c>
      <c r="BK234" t="s">
        <v>3</v>
      </c>
      <c r="BL234" t="s">
        <v>132</v>
      </c>
      <c r="BM234" t="s">
        <v>1</v>
      </c>
      <c r="BN234">
        <f>Tabla1[[#This Row],[precio del paquete]]</f>
        <v>24500</v>
      </c>
      <c r="BO234" t="s">
        <v>1</v>
      </c>
      <c r="BP234" t="s">
        <v>1</v>
      </c>
      <c r="BQ234" t="s">
        <v>1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0</v>
      </c>
      <c r="BX234" t="s">
        <v>1</v>
      </c>
      <c r="BY234" t="s">
        <v>1</v>
      </c>
      <c r="BZ234" t="s">
        <v>1</v>
      </c>
      <c r="CA234" t="s">
        <v>1</v>
      </c>
      <c r="CB234" t="s">
        <v>3382</v>
      </c>
      <c r="CD234" t="str" cm="1">
        <f t="array" aca="1" ref="CD234" ca="1">eConcatenar(A234:CB234,"|")</f>
        <v>7xqrNek8mlOLH51z|CAR2021-6639|3|DIGNITY|TABASCO|CARDENAS|CARDENAS|2021-11-06|24500|0|100|50|2|0|0|0|0|0|0|0|0|0|0||0|0|0|LOPEZ|NARVAEZ|RICARDO|SOLTERO|X|X|VICENTE GUERRERO|COLONIA EL TOLOQUE|X|9371005522|X|X|X|VICENTE GUERRERO|X|LUNES|x|x|x|x|x|DOMICILIO |100|24400|X|X|X|2021-11-06|2021-11-13|x|x|x|x|x|ZGSYJGLZUXA73WJ|x|HOMBRE|X|24500|X|X|X|X|X|X|X|X|CARDENAS|X|X|X|X|FINAL</v>
      </c>
    </row>
    <row r="235" spans="1:82" x14ac:dyDescent="0.25">
      <c r="A235" t="s">
        <v>584</v>
      </c>
      <c r="B235" t="s">
        <v>585</v>
      </c>
      <c r="C235">
        <v>3</v>
      </c>
      <c r="D235" t="s">
        <v>1370</v>
      </c>
      <c r="E235" t="s">
        <v>1380</v>
      </c>
      <c r="F235" t="s">
        <v>0</v>
      </c>
      <c r="G235" t="s">
        <v>0</v>
      </c>
      <c r="H235" t="s">
        <v>1444</v>
      </c>
      <c r="I235">
        <v>35000</v>
      </c>
      <c r="J235">
        <v>0</v>
      </c>
      <c r="K235">
        <v>800</v>
      </c>
      <c r="L235">
        <v>50</v>
      </c>
      <c r="M235">
        <v>2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Y235">
        <v>0</v>
      </c>
      <c r="Z235">
        <v>0</v>
      </c>
      <c r="AA235">
        <v>0</v>
      </c>
      <c r="AB235" t="s">
        <v>2019</v>
      </c>
      <c r="AC235" t="s">
        <v>1695</v>
      </c>
      <c r="AD235" s="18" t="s">
        <v>2020</v>
      </c>
      <c r="AE235" t="s">
        <v>4</v>
      </c>
      <c r="AF235" t="s">
        <v>1</v>
      </c>
      <c r="AG235" t="s">
        <v>1</v>
      </c>
      <c r="AH235" t="s">
        <v>2637</v>
      </c>
      <c r="AI235" t="s">
        <v>3085</v>
      </c>
      <c r="AJ235" t="s">
        <v>1</v>
      </c>
      <c r="AK235">
        <v>9371217487</v>
      </c>
      <c r="AL235" t="s">
        <v>1</v>
      </c>
      <c r="AM235" t="s">
        <v>1</v>
      </c>
      <c r="AN235" t="s">
        <v>1</v>
      </c>
      <c r="AO235" t="s">
        <v>2637</v>
      </c>
      <c r="AP235" t="s">
        <v>1</v>
      </c>
      <c r="AQ235" t="s">
        <v>2</v>
      </c>
      <c r="AR235" t="s">
        <v>3</v>
      </c>
      <c r="AS235" t="s">
        <v>3</v>
      </c>
      <c r="AT235" t="s">
        <v>3</v>
      </c>
      <c r="AU235" t="s">
        <v>3</v>
      </c>
      <c r="AV235" t="s">
        <v>3</v>
      </c>
      <c r="AW235" t="s">
        <v>11</v>
      </c>
      <c r="AX235">
        <f>Tabla1[[#This Row],[precio del paquete]]-Tabla1[[#This Row],[Saldo_Deudor]]</f>
        <v>22000</v>
      </c>
      <c r="AY235">
        <v>13000</v>
      </c>
      <c r="AZ235" t="s">
        <v>1</v>
      </c>
      <c r="BA235" t="s">
        <v>1</v>
      </c>
      <c r="BB235" t="s">
        <v>1</v>
      </c>
      <c r="BC235" t="s">
        <v>3261</v>
      </c>
      <c r="BD235" t="s">
        <v>1426</v>
      </c>
      <c r="BE235" t="s">
        <v>3</v>
      </c>
      <c r="BF235" t="s">
        <v>3</v>
      </c>
      <c r="BG235" t="s">
        <v>3</v>
      </c>
      <c r="BH235" t="s">
        <v>3</v>
      </c>
      <c r="BI235" t="s">
        <v>3</v>
      </c>
      <c r="BJ235" t="s">
        <v>3374</v>
      </c>
      <c r="BK235" t="s">
        <v>3</v>
      </c>
      <c r="BL235" t="s">
        <v>132</v>
      </c>
      <c r="BM235" t="s">
        <v>1</v>
      </c>
      <c r="BN235">
        <f>Tabla1[[#This Row],[precio del paquete]]</f>
        <v>35000</v>
      </c>
      <c r="BO235" t="s">
        <v>1</v>
      </c>
      <c r="BP235" t="s">
        <v>1</v>
      </c>
      <c r="BQ235" t="s">
        <v>1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0</v>
      </c>
      <c r="BX235" t="s">
        <v>1</v>
      </c>
      <c r="BY235" t="s">
        <v>1</v>
      </c>
      <c r="BZ235" t="s">
        <v>1</v>
      </c>
      <c r="CA235" t="s">
        <v>1</v>
      </c>
      <c r="CB235" t="s">
        <v>3382</v>
      </c>
      <c r="CD235" t="str" cm="1">
        <f t="array" aca="1" ref="CD235" ca="1">eConcatenar(A235:CB235,"|")</f>
        <v>n7P8Np6faGhjpvpp|CAR2021-6675|3|DELUX|TABASCO|CARDENAS|CARDENAS|2021-11-05|35000|0|800|50|2|0|0|0|0|0|0|0|0|0|0||0|0|0|CASTRO|MORALES|EVELIO|SOLTERO|X|X|CALLE FRONTERA NUMERO 7|COLONIA SECCION 40|X|9371217487|X|X|X|CALLE FRONTERA NUMERO 7|X|LUNES|x|x|x|x|x|DOMICILIO |22000|13000|X|X|X|2022-01-04|2022-01-11|x|x|x|x|x|ZGSYJGLZUXA73WJ|x|HOMBRE|X|35000|X|X|X|X|X|X|X|X|CARDENAS|X|X|X|X|FINAL</v>
      </c>
    </row>
    <row r="236" spans="1:82" x14ac:dyDescent="0.25">
      <c r="A236" t="s">
        <v>586</v>
      </c>
      <c r="B236" t="s">
        <v>587</v>
      </c>
      <c r="C236">
        <v>3</v>
      </c>
      <c r="D236" t="s">
        <v>1368</v>
      </c>
      <c r="E236" t="s">
        <v>1380</v>
      </c>
      <c r="F236" t="s">
        <v>0</v>
      </c>
      <c r="G236" t="s">
        <v>0</v>
      </c>
      <c r="H236" t="s">
        <v>1445</v>
      </c>
      <c r="I236">
        <v>24500</v>
      </c>
      <c r="J236">
        <v>0</v>
      </c>
      <c r="K236">
        <v>200</v>
      </c>
      <c r="L236">
        <v>50</v>
      </c>
      <c r="M236">
        <v>2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Y236">
        <v>0</v>
      </c>
      <c r="Z236">
        <v>0</v>
      </c>
      <c r="AA236">
        <v>0</v>
      </c>
      <c r="AB236" t="s">
        <v>1713</v>
      </c>
      <c r="AC236" t="s">
        <v>8</v>
      </c>
      <c r="AD236" s="18" t="s">
        <v>1888</v>
      </c>
      <c r="AE236" t="s">
        <v>4</v>
      </c>
      <c r="AF236" t="s">
        <v>1</v>
      </c>
      <c r="AG236" t="s">
        <v>1</v>
      </c>
      <c r="AH236" t="s">
        <v>2638</v>
      </c>
      <c r="AI236" t="s">
        <v>3060</v>
      </c>
      <c r="AJ236" t="s">
        <v>1</v>
      </c>
      <c r="AK236">
        <v>9371549795</v>
      </c>
      <c r="AL236" t="s">
        <v>1</v>
      </c>
      <c r="AM236" t="s">
        <v>1</v>
      </c>
      <c r="AN236" t="s">
        <v>1</v>
      </c>
      <c r="AO236" t="s">
        <v>2638</v>
      </c>
      <c r="AP236" t="s">
        <v>1</v>
      </c>
      <c r="AQ236" t="s">
        <v>2</v>
      </c>
      <c r="AR236" t="s">
        <v>3</v>
      </c>
      <c r="AS236" t="s">
        <v>3</v>
      </c>
      <c r="AT236" t="s">
        <v>3</v>
      </c>
      <c r="AU236" t="s">
        <v>3</v>
      </c>
      <c r="AV236" t="s">
        <v>3</v>
      </c>
      <c r="AW236" t="s">
        <v>11</v>
      </c>
      <c r="AX236">
        <f>Tabla1[[#This Row],[precio del paquete]]-Tabla1[[#This Row],[Saldo_Deudor]]</f>
        <v>1500</v>
      </c>
      <c r="AY236">
        <v>23000</v>
      </c>
      <c r="AZ236" t="s">
        <v>1</v>
      </c>
      <c r="BA236" t="s">
        <v>1</v>
      </c>
      <c r="BB236" t="s">
        <v>1</v>
      </c>
      <c r="BC236" t="s">
        <v>1391</v>
      </c>
      <c r="BD236" t="s">
        <v>1399</v>
      </c>
      <c r="BE236" t="s">
        <v>3</v>
      </c>
      <c r="BF236" t="s">
        <v>3</v>
      </c>
      <c r="BG236" t="s">
        <v>3</v>
      </c>
      <c r="BH236" t="s">
        <v>3</v>
      </c>
      <c r="BI236" t="s">
        <v>3</v>
      </c>
      <c r="BJ236" t="s">
        <v>3374</v>
      </c>
      <c r="BK236" t="s">
        <v>3</v>
      </c>
      <c r="BL236" t="s">
        <v>132</v>
      </c>
      <c r="BM236" t="s">
        <v>1</v>
      </c>
      <c r="BN236">
        <f>Tabla1[[#This Row],[precio del paquete]]</f>
        <v>24500</v>
      </c>
      <c r="BO236" t="s">
        <v>1</v>
      </c>
      <c r="BP236" t="s">
        <v>1</v>
      </c>
      <c r="BQ236" t="s">
        <v>1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0</v>
      </c>
      <c r="BX236" t="s">
        <v>1</v>
      </c>
      <c r="BY236" t="s">
        <v>1</v>
      </c>
      <c r="BZ236" t="s">
        <v>1</v>
      </c>
      <c r="CA236" t="s">
        <v>1</v>
      </c>
      <c r="CB236" t="s">
        <v>3382</v>
      </c>
      <c r="CD236" t="str" cm="1">
        <f t="array" aca="1" ref="CD236" ca="1">eConcatenar(A236:CB236,"|")</f>
        <v>jIokKOADcL5xfzG0|CAR2021-6876|3|DIGNITY|TABASCO|CARDENAS|CARDENAS|2021-11-12|24500|0|200|50|2|0|0|0|0|0|0|0|0|0|0||0|0|0|DE LA CRUZ|GOMEZ|SEBASTIANA|SOLTERO|X|X|CALLE NUMERO 5 DE MAYO |COLONIA PUEBLO NUEVO|X|9371549795|X|X|X|CALLE NUMERO 5 DE MAYO |X|LUNES|x|x|x|x|x|DOMICILIO |1500|23000|X|X|X|2022-02-04|2022-02-11|x|x|x|x|x|ZGSYJGLZUXA73WJ|x|HOMBRE|X|24500|X|X|X|X|X|X|X|X|CARDENAS|X|X|X|X|FINAL</v>
      </c>
    </row>
    <row r="237" spans="1:82" x14ac:dyDescent="0.25">
      <c r="A237" t="s">
        <v>588</v>
      </c>
      <c r="B237" t="s">
        <v>589</v>
      </c>
      <c r="C237">
        <v>3</v>
      </c>
      <c r="D237" t="s">
        <v>1373</v>
      </c>
      <c r="E237" t="s">
        <v>1380</v>
      </c>
      <c r="F237" t="s">
        <v>0</v>
      </c>
      <c r="G237" t="s">
        <v>0</v>
      </c>
      <c r="H237" t="s">
        <v>1446</v>
      </c>
      <c r="I237">
        <v>19800</v>
      </c>
      <c r="J237">
        <v>0</v>
      </c>
      <c r="K237">
        <v>0</v>
      </c>
      <c r="L237">
        <v>50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Y237">
        <v>0</v>
      </c>
      <c r="Z237">
        <v>0</v>
      </c>
      <c r="AA237">
        <v>0</v>
      </c>
      <c r="AB237" t="s">
        <v>1695</v>
      </c>
      <c r="AC237" t="s">
        <v>1774</v>
      </c>
      <c r="AD237" s="18" t="s">
        <v>2021</v>
      </c>
      <c r="AE237" t="s">
        <v>4</v>
      </c>
      <c r="AF237" t="s">
        <v>1</v>
      </c>
      <c r="AG237" t="s">
        <v>1</v>
      </c>
      <c r="AH237" t="s">
        <v>2639</v>
      </c>
      <c r="AI237" t="s">
        <v>2794</v>
      </c>
      <c r="AJ237" t="s">
        <v>1</v>
      </c>
      <c r="AK237">
        <v>93713884486</v>
      </c>
      <c r="AL237" t="s">
        <v>1</v>
      </c>
      <c r="AM237" t="s">
        <v>1</v>
      </c>
      <c r="AN237" t="s">
        <v>1</v>
      </c>
      <c r="AO237" t="s">
        <v>2639</v>
      </c>
      <c r="AP237" t="s">
        <v>1</v>
      </c>
      <c r="AQ237" t="s">
        <v>2</v>
      </c>
      <c r="AR237" t="s">
        <v>3</v>
      </c>
      <c r="AS237" t="s">
        <v>3</v>
      </c>
      <c r="AT237" t="s">
        <v>3</v>
      </c>
      <c r="AU237" t="s">
        <v>3</v>
      </c>
      <c r="AV237" t="s">
        <v>3</v>
      </c>
      <c r="AW237" t="s">
        <v>11</v>
      </c>
      <c r="AX237">
        <f>Tabla1[[#This Row],[precio del paquete]]-Tabla1[[#This Row],[Saldo_Deudor]]</f>
        <v>16650</v>
      </c>
      <c r="AY237">
        <v>3150</v>
      </c>
      <c r="AZ237" t="s">
        <v>1</v>
      </c>
      <c r="BA237" t="s">
        <v>1</v>
      </c>
      <c r="BB237" t="s">
        <v>1</v>
      </c>
      <c r="BC237" t="s">
        <v>1391</v>
      </c>
      <c r="BD237" t="s">
        <v>1399</v>
      </c>
      <c r="BE237" t="s">
        <v>3</v>
      </c>
      <c r="BF237" t="s">
        <v>3</v>
      </c>
      <c r="BG237" t="s">
        <v>3</v>
      </c>
      <c r="BH237" t="s">
        <v>3</v>
      </c>
      <c r="BI237" t="s">
        <v>3</v>
      </c>
      <c r="BJ237" t="s">
        <v>3374</v>
      </c>
      <c r="BK237" t="s">
        <v>3</v>
      </c>
      <c r="BL237" t="s">
        <v>132</v>
      </c>
      <c r="BM237" t="s">
        <v>1</v>
      </c>
      <c r="BN237">
        <f>Tabla1[[#This Row],[precio del paquete]]</f>
        <v>19800</v>
      </c>
      <c r="BO237" t="s">
        <v>1</v>
      </c>
      <c r="BP237" t="s">
        <v>1</v>
      </c>
      <c r="BQ237" t="s">
        <v>1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0</v>
      </c>
      <c r="BX237" t="s">
        <v>1</v>
      </c>
      <c r="BY237" t="s">
        <v>1</v>
      </c>
      <c r="BZ237" t="s">
        <v>1</v>
      </c>
      <c r="CA237" t="s">
        <v>1</v>
      </c>
      <c r="CB237" t="s">
        <v>3382</v>
      </c>
      <c r="CD237" t="str" cm="1">
        <f t="array" aca="1" ref="CD237" ca="1">eConcatenar(A237:CB237,"|")</f>
        <v>Mfh1MuOyd9xnHNO4|CAR2020-4175|3|ZAFIRO|TABASCO|CARDENAS|CARDENAS|2020-03-09|19800|0|0|50|2|0|0|0|0|0|0|0|0|0|0||0|0|0|MORALES|GONZALEZ|JORGE LUIS|SOLTERO|X|X|CALLE CALZADA NUMERO 419|CALZADA PRIMERA SECCION|X|93713884486|X|X|X|CALLE CALZADA NUMERO 419|X|LUNES|x|x|x|x|x|DOMICILIO |16650|3150|X|X|X|2022-02-04|2022-02-11|x|x|x|x|x|ZGSYJGLZUXA73WJ|x|HOMBRE|X|19800|X|X|X|X|X|X|X|X|CARDENAS|X|X|X|X|FINAL</v>
      </c>
    </row>
    <row r="238" spans="1:82" x14ac:dyDescent="0.25">
      <c r="A238" t="s">
        <v>590</v>
      </c>
      <c r="B238" t="s">
        <v>591</v>
      </c>
      <c r="C238">
        <v>3</v>
      </c>
      <c r="D238" t="s">
        <v>1373</v>
      </c>
      <c r="E238" t="s">
        <v>1380</v>
      </c>
      <c r="F238" t="s">
        <v>0</v>
      </c>
      <c r="G238" t="s">
        <v>0</v>
      </c>
      <c r="H238" t="s">
        <v>1447</v>
      </c>
      <c r="I238">
        <v>19800</v>
      </c>
      <c r="J238">
        <v>0</v>
      </c>
      <c r="K238">
        <v>100</v>
      </c>
      <c r="L238">
        <v>50</v>
      </c>
      <c r="M238">
        <v>2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Y238">
        <v>0</v>
      </c>
      <c r="Z238">
        <v>0</v>
      </c>
      <c r="AA238">
        <v>0</v>
      </c>
      <c r="AB238" t="s">
        <v>1713</v>
      </c>
      <c r="AC238" t="s">
        <v>2022</v>
      </c>
      <c r="AD238" s="18" t="s">
        <v>2023</v>
      </c>
      <c r="AE238" t="s">
        <v>4</v>
      </c>
      <c r="AF238" t="s">
        <v>1</v>
      </c>
      <c r="AG238" t="s">
        <v>1</v>
      </c>
      <c r="AH238" t="s">
        <v>2640</v>
      </c>
      <c r="AI238" t="s">
        <v>2794</v>
      </c>
      <c r="AJ238" t="s">
        <v>1</v>
      </c>
      <c r="AK238">
        <v>9371013419</v>
      </c>
      <c r="AL238" t="s">
        <v>1</v>
      </c>
      <c r="AM238" t="s">
        <v>1</v>
      </c>
      <c r="AN238" t="s">
        <v>1</v>
      </c>
      <c r="AO238" t="s">
        <v>2640</v>
      </c>
      <c r="AP238" t="s">
        <v>1</v>
      </c>
      <c r="AQ238" t="s">
        <v>2</v>
      </c>
      <c r="AR238" t="s">
        <v>3</v>
      </c>
      <c r="AS238" t="s">
        <v>3</v>
      </c>
      <c r="AT238" t="s">
        <v>3</v>
      </c>
      <c r="AU238" t="s">
        <v>3</v>
      </c>
      <c r="AV238" t="s">
        <v>3</v>
      </c>
      <c r="AW238" t="s">
        <v>11</v>
      </c>
      <c r="AX238">
        <f>Tabla1[[#This Row],[precio del paquete]]-Tabla1[[#This Row],[Saldo_Deudor]]</f>
        <v>16800</v>
      </c>
      <c r="AY238">
        <v>3000</v>
      </c>
      <c r="AZ238" t="s">
        <v>1</v>
      </c>
      <c r="BA238" t="s">
        <v>1</v>
      </c>
      <c r="BB238" t="s">
        <v>1</v>
      </c>
      <c r="BC238" t="s">
        <v>1391</v>
      </c>
      <c r="BD238" t="s">
        <v>1399</v>
      </c>
      <c r="BE238" t="s">
        <v>3</v>
      </c>
      <c r="BF238" t="s">
        <v>3</v>
      </c>
      <c r="BG238" t="s">
        <v>3</v>
      </c>
      <c r="BH238" t="s">
        <v>3</v>
      </c>
      <c r="BI238" t="s">
        <v>3</v>
      </c>
      <c r="BJ238" t="s">
        <v>3374</v>
      </c>
      <c r="BK238" t="s">
        <v>3</v>
      </c>
      <c r="BL238" t="s">
        <v>132</v>
      </c>
      <c r="BM238" t="s">
        <v>1</v>
      </c>
      <c r="BN238">
        <f>Tabla1[[#This Row],[precio del paquete]]</f>
        <v>19800</v>
      </c>
      <c r="BO238" t="s">
        <v>1</v>
      </c>
      <c r="BP238" t="s">
        <v>1</v>
      </c>
      <c r="BQ238" t="s">
        <v>1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0</v>
      </c>
      <c r="BX238" t="s">
        <v>1</v>
      </c>
      <c r="BY238" t="s">
        <v>1</v>
      </c>
      <c r="BZ238" t="s">
        <v>1</v>
      </c>
      <c r="CA238" t="s">
        <v>1</v>
      </c>
      <c r="CB238" t="s">
        <v>3382</v>
      </c>
      <c r="CD238" t="str" cm="1">
        <f t="array" aca="1" ref="CD238" ca="1">eConcatenar(A238:CB238,"|")</f>
        <v>9yycE2Ro4MLNaQNY|CAR2017-4174|3|ZAFIRO|TABASCO|CARDENAS|CARDENAS|2017-12-02|19800|0|100|50|2|0|0|0|0|0|0|0|0|0|0||0|0|0|DE LA CRUZ|ISIDRO|CESARIA|SOLTERO|X|X|CALLE JOSE JIMENEZ Y CALLEJON EL TAMARINDO|CALZADA PRIMERA SECCION|X|9371013419|X|X|X|CALLE JOSE JIMENEZ Y CALLEJON EL TAMARINDO|X|LUNES|x|x|x|x|x|DOMICILIO |16800|3000|X|X|X|2022-02-04|2022-02-11|x|x|x|x|x|ZGSYJGLZUXA73WJ|x|HOMBRE|X|19800|X|X|X|X|X|X|X|X|CARDENAS|X|X|X|X|FINAL</v>
      </c>
    </row>
    <row r="239" spans="1:82" x14ac:dyDescent="0.25">
      <c r="A239" t="s">
        <v>592</v>
      </c>
      <c r="B239" t="s">
        <v>593</v>
      </c>
      <c r="C239">
        <v>3</v>
      </c>
      <c r="D239" t="s">
        <v>1369</v>
      </c>
      <c r="E239" t="s">
        <v>1380</v>
      </c>
      <c r="F239" t="s">
        <v>0</v>
      </c>
      <c r="G239" t="s">
        <v>0</v>
      </c>
      <c r="H239" t="s">
        <v>1448</v>
      </c>
      <c r="I239">
        <v>14800</v>
      </c>
      <c r="J239">
        <v>0</v>
      </c>
      <c r="K239">
        <v>1000</v>
      </c>
      <c r="L239">
        <v>50</v>
      </c>
      <c r="M239">
        <v>2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Y239">
        <v>0</v>
      </c>
      <c r="Z239">
        <v>0</v>
      </c>
      <c r="AA239">
        <v>0</v>
      </c>
      <c r="AB239" t="s">
        <v>2024</v>
      </c>
      <c r="AC239" t="s">
        <v>7</v>
      </c>
      <c r="AD239" s="18" t="s">
        <v>2025</v>
      </c>
      <c r="AE239" t="s">
        <v>4</v>
      </c>
      <c r="AF239" t="s">
        <v>1</v>
      </c>
      <c r="AG239" t="s">
        <v>1</v>
      </c>
      <c r="AH239" t="s">
        <v>2641</v>
      </c>
      <c r="AI239" t="s">
        <v>2787</v>
      </c>
      <c r="AJ239" t="s">
        <v>1</v>
      </c>
      <c r="AK239">
        <v>9371696856</v>
      </c>
      <c r="AL239" t="s">
        <v>1</v>
      </c>
      <c r="AM239" t="s">
        <v>1</v>
      </c>
      <c r="AN239" t="s">
        <v>1</v>
      </c>
      <c r="AO239" t="s">
        <v>2641</v>
      </c>
      <c r="AP239" t="s">
        <v>1</v>
      </c>
      <c r="AQ239" t="s">
        <v>2</v>
      </c>
      <c r="AR239" t="s">
        <v>3</v>
      </c>
      <c r="AS239" t="s">
        <v>3</v>
      </c>
      <c r="AT239" t="s">
        <v>3</v>
      </c>
      <c r="AU239" t="s">
        <v>3</v>
      </c>
      <c r="AV239" t="s">
        <v>3</v>
      </c>
      <c r="AW239" t="s">
        <v>11</v>
      </c>
      <c r="AX239">
        <f>Tabla1[[#This Row],[precio del paquete]]-Tabla1[[#This Row],[Saldo_Deudor]]</f>
        <v>7300</v>
      </c>
      <c r="AY239">
        <v>7500</v>
      </c>
      <c r="AZ239" t="s">
        <v>1</v>
      </c>
      <c r="BA239" t="s">
        <v>1</v>
      </c>
      <c r="BB239" t="s">
        <v>1</v>
      </c>
      <c r="BC239" t="s">
        <v>1391</v>
      </c>
      <c r="BD239" t="s">
        <v>1399</v>
      </c>
      <c r="BE239" t="s">
        <v>3</v>
      </c>
      <c r="BF239" t="s">
        <v>3</v>
      </c>
      <c r="BG239" t="s">
        <v>3</v>
      </c>
      <c r="BH239" t="s">
        <v>3</v>
      </c>
      <c r="BI239" t="s">
        <v>3</v>
      </c>
      <c r="BJ239" t="s">
        <v>3374</v>
      </c>
      <c r="BK239" t="s">
        <v>3</v>
      </c>
      <c r="BL239" t="s">
        <v>132</v>
      </c>
      <c r="BM239" t="s">
        <v>1</v>
      </c>
      <c r="BN239">
        <f>Tabla1[[#This Row],[precio del paquete]]</f>
        <v>14800</v>
      </c>
      <c r="BO239" t="s">
        <v>1</v>
      </c>
      <c r="BP239" t="s">
        <v>1</v>
      </c>
      <c r="BQ239" t="s">
        <v>1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0</v>
      </c>
      <c r="BX239" t="s">
        <v>1</v>
      </c>
      <c r="BY239" t="s">
        <v>1</v>
      </c>
      <c r="BZ239" t="s">
        <v>1</v>
      </c>
      <c r="CA239" t="s">
        <v>1</v>
      </c>
      <c r="CB239" t="s">
        <v>3382</v>
      </c>
      <c r="CD239" t="str" cm="1">
        <f t="array" aca="1" ref="CD239" ca="1">eConcatenar(A239:CB239,"|")</f>
        <v>uJ6R0DIjNxd5KlnU|CAR2021-5861-1|3|MEMORIAL|TABASCO|CARDENAS|CARDENAS|2021-10-06|14800|0|1000|50|2|0|0|0|0|0|0|0|0|0|0||0|0|0|ZAPATA|LOPEZ|JOSE ALCIDET|SOLTERO|X|X|CERRADA NARCIZO|COLONIA NUEVO PROGRESO|X|9371696856|X|X|X|CERRADA NARCIZO|X|LUNES|x|x|x|x|x|DOMICILIO |7300|7500|X|X|X|2022-02-04|2022-02-11|x|x|x|x|x|ZGSYJGLZUXA73WJ|x|HOMBRE|X|14800|X|X|X|X|X|X|X|X|CARDENAS|X|X|X|X|FINAL</v>
      </c>
    </row>
    <row r="240" spans="1:82" x14ac:dyDescent="0.25">
      <c r="A240" t="s">
        <v>594</v>
      </c>
      <c r="B240" t="s">
        <v>595</v>
      </c>
      <c r="C240">
        <v>3</v>
      </c>
      <c r="D240" t="s">
        <v>1374</v>
      </c>
      <c r="E240" t="s">
        <v>1380</v>
      </c>
      <c r="F240" t="s">
        <v>0</v>
      </c>
      <c r="G240" t="s">
        <v>0</v>
      </c>
      <c r="H240" t="s">
        <v>1449</v>
      </c>
      <c r="I240">
        <v>35000</v>
      </c>
      <c r="J240">
        <v>0</v>
      </c>
      <c r="K240">
        <v>33300</v>
      </c>
      <c r="L240">
        <v>50</v>
      </c>
      <c r="M240">
        <v>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Y240">
        <v>0</v>
      </c>
      <c r="Z240">
        <v>0</v>
      </c>
      <c r="AA240">
        <v>0</v>
      </c>
      <c r="AB240" t="s">
        <v>1989</v>
      </c>
      <c r="AC240" t="s">
        <v>1769</v>
      </c>
      <c r="AD240" s="18" t="s">
        <v>2026</v>
      </c>
      <c r="AE240" t="s">
        <v>4</v>
      </c>
      <c r="AF240" t="s">
        <v>1</v>
      </c>
      <c r="AG240" t="s">
        <v>1</v>
      </c>
      <c r="AH240" t="s">
        <v>2642</v>
      </c>
      <c r="AI240" t="s">
        <v>2642</v>
      </c>
      <c r="AJ240" t="s">
        <v>1</v>
      </c>
      <c r="AK240">
        <v>9372721342</v>
      </c>
      <c r="AL240" t="s">
        <v>1</v>
      </c>
      <c r="AM240" t="s">
        <v>1</v>
      </c>
      <c r="AN240" t="s">
        <v>1</v>
      </c>
      <c r="AO240" t="s">
        <v>2642</v>
      </c>
      <c r="AP240" t="s">
        <v>1</v>
      </c>
      <c r="AQ240" t="s">
        <v>2</v>
      </c>
      <c r="AR240" t="s">
        <v>3</v>
      </c>
      <c r="AS240" t="s">
        <v>3</v>
      </c>
      <c r="AT240" t="s">
        <v>3</v>
      </c>
      <c r="AU240" t="s">
        <v>3</v>
      </c>
      <c r="AV240" t="s">
        <v>3</v>
      </c>
      <c r="AW240" t="s">
        <v>11</v>
      </c>
      <c r="AX240">
        <f>Tabla1[[#This Row],[precio del paquete]]-Tabla1[[#This Row],[Saldo_Deudor]]</f>
        <v>1700</v>
      </c>
      <c r="AY240">
        <v>33300</v>
      </c>
      <c r="AZ240" t="s">
        <v>1</v>
      </c>
      <c r="BA240" t="s">
        <v>1</v>
      </c>
      <c r="BB240" t="s">
        <v>1</v>
      </c>
      <c r="BC240" t="s">
        <v>1391</v>
      </c>
      <c r="BD240" t="s">
        <v>1399</v>
      </c>
      <c r="BE240" t="s">
        <v>3</v>
      </c>
      <c r="BF240" t="s">
        <v>3</v>
      </c>
      <c r="BG240" t="s">
        <v>3</v>
      </c>
      <c r="BH240" t="s">
        <v>3</v>
      </c>
      <c r="BI240" t="s">
        <v>3</v>
      </c>
      <c r="BJ240" t="s">
        <v>3374</v>
      </c>
      <c r="BK240" t="s">
        <v>3</v>
      </c>
      <c r="BL240" t="s">
        <v>132</v>
      </c>
      <c r="BM240" t="s">
        <v>1</v>
      </c>
      <c r="BN240">
        <f>Tabla1[[#This Row],[precio del paquete]]</f>
        <v>35000</v>
      </c>
      <c r="BO240" t="s">
        <v>1</v>
      </c>
      <c r="BP240" t="s">
        <v>1</v>
      </c>
      <c r="BQ240" t="s">
        <v>1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0</v>
      </c>
      <c r="BX240" t="s">
        <v>1</v>
      </c>
      <c r="BY240" t="s">
        <v>1</v>
      </c>
      <c r="BZ240" t="s">
        <v>1</v>
      </c>
      <c r="CA240" t="s">
        <v>1</v>
      </c>
      <c r="CB240" t="s">
        <v>3382</v>
      </c>
      <c r="CD240" t="str" cm="1">
        <f t="array" aca="1" ref="CD240" ca="1">eConcatenar(A240:CB240,"|")</f>
        <v>f4VUuBlO1MZX4BeW|CAR2021-6896|3|DEUX|TABASCO|CARDENAS|CARDENAS|2021-11-13|35000|0|33300|50|2|0|0|0|0|0|0|0|0|0|0||0|0|0|TRINIDAD|TORRES|JOSE EDUARDO|SOLTERO|X|X|UNIDAD HABITACIONAL INFONAVIT DEPORTIVA|UNIDAD HABITACIONAL INFONAVIT DEPORTIVA|X|9372721342|X|X|X|UNIDAD HABITACIONAL INFONAVIT DEPORTIVA|X|LUNES|x|x|x|x|x|DOMICILIO |1700|33300|X|X|X|2022-02-04|2022-02-11|x|x|x|x|x|ZGSYJGLZUXA73WJ|x|HOMBRE|X|35000|X|X|X|X|X|X|X|X|CARDENAS|X|X|X|X|FINAL</v>
      </c>
    </row>
    <row r="241" spans="1:82" x14ac:dyDescent="0.25">
      <c r="A241" t="s">
        <v>596</v>
      </c>
      <c r="B241" t="s">
        <v>597</v>
      </c>
      <c r="C241">
        <v>3</v>
      </c>
      <c r="D241" t="s">
        <v>1369</v>
      </c>
      <c r="E241" t="s">
        <v>1380</v>
      </c>
      <c r="F241" t="s">
        <v>0</v>
      </c>
      <c r="G241" t="s">
        <v>0</v>
      </c>
      <c r="H241" t="s">
        <v>1450</v>
      </c>
      <c r="I241">
        <v>14800</v>
      </c>
      <c r="J241">
        <v>0</v>
      </c>
      <c r="K241">
        <v>300</v>
      </c>
      <c r="L241">
        <v>50</v>
      </c>
      <c r="M241">
        <v>2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Y241">
        <v>0</v>
      </c>
      <c r="Z241">
        <v>0</v>
      </c>
      <c r="AA241">
        <v>0</v>
      </c>
      <c r="AB241" t="s">
        <v>1695</v>
      </c>
      <c r="AC241" t="s">
        <v>1816</v>
      </c>
      <c r="AD241" s="18" t="s">
        <v>2027</v>
      </c>
      <c r="AE241" t="s">
        <v>4</v>
      </c>
      <c r="AF241" t="s">
        <v>1</v>
      </c>
      <c r="AG241" t="s">
        <v>1</v>
      </c>
      <c r="AH241" t="s">
        <v>2643</v>
      </c>
      <c r="AI241" t="s">
        <v>3086</v>
      </c>
      <c r="AJ241" t="s">
        <v>1</v>
      </c>
      <c r="AK241">
        <v>9371646199</v>
      </c>
      <c r="AL241" t="s">
        <v>1</v>
      </c>
      <c r="AM241" t="s">
        <v>1</v>
      </c>
      <c r="AN241" t="s">
        <v>1</v>
      </c>
      <c r="AO241" t="s">
        <v>2643</v>
      </c>
      <c r="AP241" t="s">
        <v>1</v>
      </c>
      <c r="AQ241" t="s">
        <v>2</v>
      </c>
      <c r="AR241" t="s">
        <v>3</v>
      </c>
      <c r="AS241" t="s">
        <v>3</v>
      </c>
      <c r="AT241" t="s">
        <v>3</v>
      </c>
      <c r="AU241" t="s">
        <v>3</v>
      </c>
      <c r="AV241" t="s">
        <v>3</v>
      </c>
      <c r="AW241" t="s">
        <v>11</v>
      </c>
      <c r="AX241">
        <f>Tabla1[[#This Row],[precio del paquete]]-Tabla1[[#This Row],[Saldo_Deudor]]</f>
        <v>1500</v>
      </c>
      <c r="AY241">
        <v>13300</v>
      </c>
      <c r="AZ241" t="s">
        <v>1</v>
      </c>
      <c r="BA241" t="s">
        <v>1</v>
      </c>
      <c r="BB241" t="s">
        <v>1</v>
      </c>
      <c r="BC241" t="s">
        <v>1388</v>
      </c>
      <c r="BD241" t="s">
        <v>1398</v>
      </c>
      <c r="BE241" t="s">
        <v>3</v>
      </c>
      <c r="BF241" t="s">
        <v>3</v>
      </c>
      <c r="BG241" t="s">
        <v>3</v>
      </c>
      <c r="BH241" t="s">
        <v>3</v>
      </c>
      <c r="BI241" t="s">
        <v>3</v>
      </c>
      <c r="BJ241" t="s">
        <v>3374</v>
      </c>
      <c r="BK241" t="s">
        <v>3</v>
      </c>
      <c r="BL241" t="s">
        <v>132</v>
      </c>
      <c r="BM241" t="s">
        <v>1</v>
      </c>
      <c r="BN241">
        <f>Tabla1[[#This Row],[precio del paquete]]</f>
        <v>14800</v>
      </c>
      <c r="BO241" t="s">
        <v>1</v>
      </c>
      <c r="BP241" t="s">
        <v>1</v>
      </c>
      <c r="BQ241" t="s">
        <v>1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0</v>
      </c>
      <c r="BX241" t="s">
        <v>1</v>
      </c>
      <c r="BY241" t="s">
        <v>1</v>
      </c>
      <c r="BZ241" t="s">
        <v>1</v>
      </c>
      <c r="CA241" t="s">
        <v>1</v>
      </c>
      <c r="CB241" t="s">
        <v>3382</v>
      </c>
      <c r="CD241" t="str" cm="1">
        <f t="array" aca="1" ref="CD241" ca="1">eConcatenar(A241:CB241,"|")</f>
        <v>4cjHveYRGfdH0feA|CAR2021-6070|3|MEMORIAL|TABASCO|CARDENAS|CARDENAS|2021-10-14|14800|0|300|50|2|0|0|0|0|0|0|0|0|0|0||0|0|0|MORALES|DE DIOS|YANE|SOLTERO|X|X|CALLE TOMAS GARRIDO |COLONIA CARDENAS CENTRO|X|9371646199|X|X|X|CALLE TOMAS GARRIDO |X|LUNES|x|x|x|x|x|DOMICILIO |1500|13300|X|X|X|2022-02-05|2022-02-12|x|x|x|x|x|ZGSYJGLZUXA73WJ|x|HOMBRE|X|14800|X|X|X|X|X|X|X|X|CARDENAS|X|X|X|X|FINAL</v>
      </c>
    </row>
    <row r="242" spans="1:82" x14ac:dyDescent="0.25">
      <c r="A242" t="s">
        <v>598</v>
      </c>
      <c r="B242" t="s">
        <v>599</v>
      </c>
      <c r="C242">
        <v>3</v>
      </c>
      <c r="D242" t="s">
        <v>1370</v>
      </c>
      <c r="E242" t="s">
        <v>1380</v>
      </c>
      <c r="F242" t="s">
        <v>0</v>
      </c>
      <c r="G242" t="s">
        <v>0</v>
      </c>
      <c r="H242" t="s">
        <v>1451</v>
      </c>
      <c r="I242">
        <v>35000</v>
      </c>
      <c r="J242">
        <v>0</v>
      </c>
      <c r="K242">
        <v>200</v>
      </c>
      <c r="L242">
        <v>50</v>
      </c>
      <c r="M242">
        <v>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Y242">
        <v>0</v>
      </c>
      <c r="Z242">
        <v>0</v>
      </c>
      <c r="AA242">
        <v>0</v>
      </c>
      <c r="AB242" t="s">
        <v>1818</v>
      </c>
      <c r="AC242" t="s">
        <v>2028</v>
      </c>
      <c r="AD242" s="18" t="s">
        <v>2029</v>
      </c>
      <c r="AE242" t="s">
        <v>4</v>
      </c>
      <c r="AF242" t="s">
        <v>1</v>
      </c>
      <c r="AG242" t="s">
        <v>1</v>
      </c>
      <c r="AH242" t="s">
        <v>2644</v>
      </c>
      <c r="AI242" t="s">
        <v>3086</v>
      </c>
      <c r="AJ242" t="s">
        <v>1</v>
      </c>
      <c r="AK242">
        <v>9372032309</v>
      </c>
      <c r="AL242" t="s">
        <v>1</v>
      </c>
      <c r="AM242" t="s">
        <v>1</v>
      </c>
      <c r="AN242" t="s">
        <v>1</v>
      </c>
      <c r="AO242" t="s">
        <v>2644</v>
      </c>
      <c r="AP242" t="s">
        <v>1</v>
      </c>
      <c r="AQ242" t="s">
        <v>2</v>
      </c>
      <c r="AR242" t="s">
        <v>3</v>
      </c>
      <c r="AS242" t="s">
        <v>3</v>
      </c>
      <c r="AT242" t="s">
        <v>3</v>
      </c>
      <c r="AU242" t="s">
        <v>3</v>
      </c>
      <c r="AV242" t="s">
        <v>3</v>
      </c>
      <c r="AW242" t="s">
        <v>11</v>
      </c>
      <c r="AX242">
        <f>Tabla1[[#This Row],[precio del paquete]]-Tabla1[[#This Row],[Saldo_Deudor]]</f>
        <v>1400</v>
      </c>
      <c r="AY242">
        <v>33600</v>
      </c>
      <c r="AZ242" t="s">
        <v>1</v>
      </c>
      <c r="BA242" t="s">
        <v>1</v>
      </c>
      <c r="BB242" t="s">
        <v>1</v>
      </c>
      <c r="BC242" t="s">
        <v>1388</v>
      </c>
      <c r="BD242" t="s">
        <v>1398</v>
      </c>
      <c r="BE242" t="s">
        <v>3</v>
      </c>
      <c r="BF242" t="s">
        <v>3</v>
      </c>
      <c r="BG242" t="s">
        <v>3</v>
      </c>
      <c r="BH242" t="s">
        <v>3</v>
      </c>
      <c r="BI242" t="s">
        <v>3</v>
      </c>
      <c r="BJ242" t="s">
        <v>3374</v>
      </c>
      <c r="BK242" t="s">
        <v>3</v>
      </c>
      <c r="BL242" t="s">
        <v>132</v>
      </c>
      <c r="BM242" t="s">
        <v>1</v>
      </c>
      <c r="BN242">
        <f>Tabla1[[#This Row],[precio del paquete]]</f>
        <v>35000</v>
      </c>
      <c r="BO242" t="s">
        <v>1</v>
      </c>
      <c r="BP242" t="s">
        <v>1</v>
      </c>
      <c r="BQ242" t="s">
        <v>1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0</v>
      </c>
      <c r="BX242" t="s">
        <v>1</v>
      </c>
      <c r="BY242" t="s">
        <v>1</v>
      </c>
      <c r="BZ242" t="s">
        <v>1</v>
      </c>
      <c r="CA242" t="s">
        <v>1</v>
      </c>
      <c r="CB242" t="s">
        <v>3382</v>
      </c>
      <c r="CD242" t="str" cm="1">
        <f t="array" aca="1" ref="CD242" ca="1">eConcatenar(A242:CB242,"|")</f>
        <v>SQQ2MCojkQC1Cl3y|CAR2021-6842|3|DELUX|TABASCO|CARDENAS|CARDENAS|2021-11-11|35000|0|200|50|2|0|0|0|0|0|0|0|0|0|0||0|0|0|CASTILLO|VILLEGAS|ANALLELY DEL CARMEN|SOLTERO|X|X|CALLE XICOTENCATL|COLONIA CARDENAS CENTRO|X|9372032309|X|X|X|CALLE XICOTENCATL|X|LUNES|x|x|x|x|x|DOMICILIO |1400|33600|X|X|X|2022-02-05|2022-02-12|x|x|x|x|x|ZGSYJGLZUXA73WJ|x|HOMBRE|X|35000|X|X|X|X|X|X|X|X|CARDENAS|X|X|X|X|FINAL</v>
      </c>
    </row>
    <row r="243" spans="1:82" x14ac:dyDescent="0.25">
      <c r="A243" t="s">
        <v>600</v>
      </c>
      <c r="B243" t="s">
        <v>601</v>
      </c>
      <c r="C243">
        <v>3</v>
      </c>
      <c r="D243" t="s">
        <v>1371</v>
      </c>
      <c r="E243" t="s">
        <v>1380</v>
      </c>
      <c r="F243" t="s">
        <v>0</v>
      </c>
      <c r="G243" t="s">
        <v>0</v>
      </c>
      <c r="H243" t="s">
        <v>1452</v>
      </c>
      <c r="I243">
        <v>12900</v>
      </c>
      <c r="J243">
        <v>0</v>
      </c>
      <c r="K243">
        <v>100</v>
      </c>
      <c r="L243">
        <v>50</v>
      </c>
      <c r="M243">
        <v>2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Y243">
        <v>0</v>
      </c>
      <c r="Z243">
        <v>0</v>
      </c>
      <c r="AA243">
        <v>0</v>
      </c>
      <c r="AB243" t="s">
        <v>2030</v>
      </c>
      <c r="AC243" t="s">
        <v>1748</v>
      </c>
      <c r="AD243" s="18" t="s">
        <v>2031</v>
      </c>
      <c r="AE243" t="s">
        <v>4</v>
      </c>
      <c r="AF243" t="s">
        <v>1</v>
      </c>
      <c r="AG243" t="s">
        <v>1</v>
      </c>
      <c r="AH243" t="s">
        <v>2645</v>
      </c>
      <c r="AI243" t="s">
        <v>3087</v>
      </c>
      <c r="AJ243" t="s">
        <v>1</v>
      </c>
      <c r="AK243" t="s">
        <v>1</v>
      </c>
      <c r="AL243" t="s">
        <v>1</v>
      </c>
      <c r="AM243" t="s">
        <v>1</v>
      </c>
      <c r="AN243" t="s">
        <v>1</v>
      </c>
      <c r="AO243" t="s">
        <v>2645</v>
      </c>
      <c r="AP243" t="s">
        <v>1</v>
      </c>
      <c r="AQ243" t="s">
        <v>2</v>
      </c>
      <c r="AR243" t="s">
        <v>3</v>
      </c>
      <c r="AS243" t="s">
        <v>3</v>
      </c>
      <c r="AT243" t="s">
        <v>3</v>
      </c>
      <c r="AU243" t="s">
        <v>3</v>
      </c>
      <c r="AV243" t="s">
        <v>3</v>
      </c>
      <c r="AW243" t="s">
        <v>11</v>
      </c>
      <c r="AX243">
        <f>Tabla1[[#This Row],[precio del paquete]]-Tabla1[[#This Row],[Saldo_Deudor]]</f>
        <v>12700</v>
      </c>
      <c r="AY243">
        <v>200</v>
      </c>
      <c r="AZ243" t="s">
        <v>1</v>
      </c>
      <c r="BA243" t="s">
        <v>1</v>
      </c>
      <c r="BB243" t="s">
        <v>1</v>
      </c>
      <c r="BC243" t="s">
        <v>1388</v>
      </c>
      <c r="BD243" t="s">
        <v>1398</v>
      </c>
      <c r="BE243" t="s">
        <v>3</v>
      </c>
      <c r="BF243" t="s">
        <v>3</v>
      </c>
      <c r="BG243" t="s">
        <v>3</v>
      </c>
      <c r="BH243" t="s">
        <v>3</v>
      </c>
      <c r="BI243" t="s">
        <v>3</v>
      </c>
      <c r="BJ243" t="s">
        <v>3374</v>
      </c>
      <c r="BK243" t="s">
        <v>3</v>
      </c>
      <c r="BL243" t="s">
        <v>132</v>
      </c>
      <c r="BM243" t="s">
        <v>1</v>
      </c>
      <c r="BN243">
        <f>Tabla1[[#This Row],[precio del paquete]]</f>
        <v>12900</v>
      </c>
      <c r="BO243" t="s">
        <v>1</v>
      </c>
      <c r="BP243" t="s">
        <v>1</v>
      </c>
      <c r="BQ243" t="s">
        <v>1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0</v>
      </c>
      <c r="BX243" t="s">
        <v>1</v>
      </c>
      <c r="BY243" t="s">
        <v>1</v>
      </c>
      <c r="BZ243" t="s">
        <v>1</v>
      </c>
      <c r="CA243" t="s">
        <v>1</v>
      </c>
      <c r="CB243" t="s">
        <v>3382</v>
      </c>
      <c r="CD243" t="str" cm="1">
        <f t="array" aca="1" ref="CD243" ca="1">eConcatenar(A243:CB243,"|")</f>
        <v>3yLVSTroovG1u2Qd|CAR2017-2865|3|ECONOLINE|TABASCO|CARDENAS|CARDENAS|2017-03-06|12900|0|100|50|2|0|0|0|0|0|0|0|0|0|0||0|0|0|VELAZQUEZ|JIMENEZ|MARIA DEL CARMEN|SOLTERO|X|X|CALLE MIGUEL NOVEROLA|COLONIA INFONAVIT LOMABONITA|X|X|X|X|X|CALLE MIGUEL NOVEROLA|X|LUNES|x|x|x|x|x|DOMICILIO |12700|200|X|X|X|2022-02-05|2022-02-12|x|x|x|x|x|ZGSYJGLZUXA73WJ|x|HOMBRE|X|12900|X|X|X|X|X|X|X|X|CARDENAS|X|X|X|X|FINAL</v>
      </c>
    </row>
    <row r="244" spans="1:82" x14ac:dyDescent="0.25">
      <c r="A244" t="s">
        <v>602</v>
      </c>
      <c r="B244" t="s">
        <v>603</v>
      </c>
      <c r="C244">
        <v>3</v>
      </c>
      <c r="D244" t="s">
        <v>1369</v>
      </c>
      <c r="E244" t="s">
        <v>1380</v>
      </c>
      <c r="F244" t="s">
        <v>0</v>
      </c>
      <c r="G244" t="s">
        <v>0</v>
      </c>
      <c r="H244" t="s">
        <v>1445</v>
      </c>
      <c r="I244">
        <v>14800</v>
      </c>
      <c r="J244">
        <v>0</v>
      </c>
      <c r="K244">
        <v>100</v>
      </c>
      <c r="L244">
        <v>50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Y244">
        <v>0</v>
      </c>
      <c r="Z244">
        <v>0</v>
      </c>
      <c r="AA244">
        <v>0</v>
      </c>
      <c r="AB244" t="s">
        <v>1748</v>
      </c>
      <c r="AC244" t="s">
        <v>1772</v>
      </c>
      <c r="AD244" s="18" t="s">
        <v>1956</v>
      </c>
      <c r="AE244" t="s">
        <v>4</v>
      </c>
      <c r="AF244" t="s">
        <v>1</v>
      </c>
      <c r="AG244" t="s">
        <v>1</v>
      </c>
      <c r="AH244" t="s">
        <v>2646</v>
      </c>
      <c r="AI244" t="s">
        <v>3060</v>
      </c>
      <c r="AJ244" t="s">
        <v>1</v>
      </c>
      <c r="AK244">
        <v>9371228270</v>
      </c>
      <c r="AL244" t="s">
        <v>1</v>
      </c>
      <c r="AM244" t="s">
        <v>1</v>
      </c>
      <c r="AN244" t="s">
        <v>1</v>
      </c>
      <c r="AO244" t="s">
        <v>2646</v>
      </c>
      <c r="AP244" t="s">
        <v>1</v>
      </c>
      <c r="AQ244" t="s">
        <v>2</v>
      </c>
      <c r="AR244" t="s">
        <v>3</v>
      </c>
      <c r="AS244" t="s">
        <v>3</v>
      </c>
      <c r="AT244" t="s">
        <v>3</v>
      </c>
      <c r="AU244" t="s">
        <v>3</v>
      </c>
      <c r="AV244" t="s">
        <v>3</v>
      </c>
      <c r="AW244" t="s">
        <v>11</v>
      </c>
      <c r="AX244">
        <f>Tabla1[[#This Row],[precio del paquete]]-Tabla1[[#This Row],[Saldo_Deudor]]</f>
        <v>13560</v>
      </c>
      <c r="AY244">
        <v>1240</v>
      </c>
      <c r="AZ244" t="s">
        <v>1</v>
      </c>
      <c r="BA244" t="s">
        <v>1</v>
      </c>
      <c r="BB244" t="s">
        <v>1</v>
      </c>
      <c r="BC244" t="s">
        <v>1472</v>
      </c>
      <c r="BD244" t="s">
        <v>1424</v>
      </c>
      <c r="BE244" t="s">
        <v>3</v>
      </c>
      <c r="BF244" t="s">
        <v>3</v>
      </c>
      <c r="BG244" t="s">
        <v>3</v>
      </c>
      <c r="BH244" t="s">
        <v>3</v>
      </c>
      <c r="BI244" t="s">
        <v>3</v>
      </c>
      <c r="BJ244" t="s">
        <v>3374</v>
      </c>
      <c r="BK244" t="s">
        <v>3</v>
      </c>
      <c r="BL244" t="s">
        <v>132</v>
      </c>
      <c r="BM244" t="s">
        <v>1</v>
      </c>
      <c r="BN244">
        <f>Tabla1[[#This Row],[precio del paquete]]</f>
        <v>14800</v>
      </c>
      <c r="BO244" t="s">
        <v>1</v>
      </c>
      <c r="BP244" t="s">
        <v>1</v>
      </c>
      <c r="BQ244" t="s">
        <v>1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0</v>
      </c>
      <c r="BX244" t="s">
        <v>1</v>
      </c>
      <c r="BY244" t="s">
        <v>1</v>
      </c>
      <c r="BZ244" t="s">
        <v>1</v>
      </c>
      <c r="CA244" t="s">
        <v>1</v>
      </c>
      <c r="CB244" t="s">
        <v>3382</v>
      </c>
      <c r="CD244" t="str" cm="1">
        <f t="array" aca="1" ref="CD244" ca="1">eConcatenar(A244:CB244,"|")</f>
        <v>7WKjNN2U0eU2LEsc|CAR2021-6874|3|MEMORIAL|TABASCO|CARDENAS|CARDENAS|2021-11-12|14800|0|100|50|2|0|0|0|0|0|0|0|0|0|0||0|0|0|JIMENEZ|LANDERO|JUAN|SOLTERO|X|X|CALLE ERNESTO AGUIRRE COLORADO|COLONIA PUEBLO NUEVO|X|9371228270|X|X|X|CALLE ERNESTO AGUIRRE COLORADO|X|LUNES|x|x|x|x|x|DOMICILIO |13560|1240|X|X|X|2022-01-07|2022-01-14|x|x|x|x|x|ZGSYJGLZUXA73WJ|x|HOMBRE|X|14800|X|X|X|X|X|X|X|X|CARDENAS|X|X|X|X|FINAL</v>
      </c>
    </row>
    <row r="245" spans="1:82" x14ac:dyDescent="0.25">
      <c r="A245" t="s">
        <v>604</v>
      </c>
      <c r="B245" t="s">
        <v>605</v>
      </c>
      <c r="C245">
        <v>3</v>
      </c>
      <c r="D245" t="s">
        <v>1369</v>
      </c>
      <c r="E245" t="s">
        <v>1380</v>
      </c>
      <c r="F245" t="s">
        <v>1384</v>
      </c>
      <c r="G245" t="s">
        <v>1384</v>
      </c>
      <c r="H245" t="s">
        <v>1444</v>
      </c>
      <c r="I245">
        <v>14800</v>
      </c>
      <c r="J245">
        <v>0</v>
      </c>
      <c r="K245">
        <v>400</v>
      </c>
      <c r="L245">
        <v>50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Y245">
        <v>0</v>
      </c>
      <c r="Z245">
        <v>0</v>
      </c>
      <c r="AA245">
        <v>0</v>
      </c>
      <c r="AB245" t="s">
        <v>1695</v>
      </c>
      <c r="AC245" t="s">
        <v>1699</v>
      </c>
      <c r="AD245" s="18" t="s">
        <v>2000</v>
      </c>
      <c r="AE245" t="s">
        <v>4</v>
      </c>
      <c r="AF245" t="s">
        <v>1</v>
      </c>
      <c r="AG245" t="s">
        <v>1</v>
      </c>
      <c r="AH245" t="s">
        <v>2647</v>
      </c>
      <c r="AI245" t="s">
        <v>3088</v>
      </c>
      <c r="AJ245" t="s">
        <v>1</v>
      </c>
      <c r="AK245">
        <v>9331182721</v>
      </c>
      <c r="AL245" t="s">
        <v>1</v>
      </c>
      <c r="AM245" t="s">
        <v>1</v>
      </c>
      <c r="AN245" t="s">
        <v>1</v>
      </c>
      <c r="AO245" t="s">
        <v>2647</v>
      </c>
      <c r="AP245" t="s">
        <v>1</v>
      </c>
      <c r="AQ245" t="s">
        <v>2</v>
      </c>
      <c r="AR245" t="s">
        <v>3</v>
      </c>
      <c r="AS245" t="s">
        <v>3</v>
      </c>
      <c r="AT245" t="s">
        <v>3</v>
      </c>
      <c r="AU245" t="s">
        <v>3</v>
      </c>
      <c r="AV245" t="s">
        <v>3</v>
      </c>
      <c r="AW245" t="s">
        <v>11</v>
      </c>
      <c r="AX245">
        <f>Tabla1[[#This Row],[precio del paquete]]-Tabla1[[#This Row],[Saldo_Deudor]]</f>
        <v>14600</v>
      </c>
      <c r="AY245">
        <v>200</v>
      </c>
      <c r="AZ245" t="s">
        <v>1</v>
      </c>
      <c r="BA245" t="s">
        <v>1</v>
      </c>
      <c r="BB245" t="s">
        <v>1</v>
      </c>
      <c r="BC245" t="s">
        <v>1388</v>
      </c>
      <c r="BD245" t="s">
        <v>1398</v>
      </c>
      <c r="BE245" t="s">
        <v>3</v>
      </c>
      <c r="BF245" t="s">
        <v>3</v>
      </c>
      <c r="BG245" t="s">
        <v>3</v>
      </c>
      <c r="BH245" t="s">
        <v>3</v>
      </c>
      <c r="BI245" t="s">
        <v>3</v>
      </c>
      <c r="BJ245" t="s">
        <v>3375</v>
      </c>
      <c r="BK245" t="s">
        <v>3</v>
      </c>
      <c r="BL245" t="s">
        <v>132</v>
      </c>
      <c r="BM245" t="s">
        <v>1</v>
      </c>
      <c r="BN245">
        <f>Tabla1[[#This Row],[precio del paquete]]</f>
        <v>14800</v>
      </c>
      <c r="BO245" t="s">
        <v>1</v>
      </c>
      <c r="BP245" t="s">
        <v>1</v>
      </c>
      <c r="BQ245" t="s">
        <v>1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0</v>
      </c>
      <c r="BX245" t="s">
        <v>1</v>
      </c>
      <c r="BY245" t="s">
        <v>1</v>
      </c>
      <c r="BZ245" t="s">
        <v>1</v>
      </c>
      <c r="CA245" t="s">
        <v>1</v>
      </c>
      <c r="CB245" t="s">
        <v>3382</v>
      </c>
      <c r="CD245" t="str" cm="1">
        <f t="array" aca="1" ref="CD245" ca="1">eConcatenar(A245:CB245,"|")</f>
        <v>VWuuMgsGYKqtDAT4|COM2021-3546|3|MEMORIAL|TABASCO|COMALCALCO|COMALCALCO|2021-11-05|14800|0|400|50|1|0|0|0|0|0|0|0|0|0|0||0|0|0|MORALES|CORDOVA|OLIVIA|SOLTERO|X|X|CARRETERA A PINO SUAREZ SIN NUMERO| RANCHERIA CENTRO TULAR SEGUNDA SECCION|X|9331182721|X|X|X|CARRETERA A PINO SUAREZ SIN NUMERO|X|LUNES|x|x|x|x|x|DOMICILIO |14600|200|X|X|X|2022-02-05|2022-02-12|x|x|x|x|x|DSYPMZPXEANHGLM|x|HOMBRE|X|14800|X|X|X|X|X|X|X|X|CARDENAS|X|X|X|X|FINAL</v>
      </c>
    </row>
    <row r="246" spans="1:82" x14ac:dyDescent="0.25">
      <c r="A246" t="s">
        <v>606</v>
      </c>
      <c r="B246" t="s">
        <v>607</v>
      </c>
      <c r="C246">
        <v>3</v>
      </c>
      <c r="D246" t="s">
        <v>1369</v>
      </c>
      <c r="E246" t="s">
        <v>1380</v>
      </c>
      <c r="F246" t="s">
        <v>1384</v>
      </c>
      <c r="G246" t="s">
        <v>1384</v>
      </c>
      <c r="H246" t="s">
        <v>1453</v>
      </c>
      <c r="I246">
        <v>14800</v>
      </c>
      <c r="J246">
        <v>0</v>
      </c>
      <c r="K246">
        <v>200</v>
      </c>
      <c r="L246">
        <v>50</v>
      </c>
      <c r="M246">
        <v>1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Y246">
        <v>0</v>
      </c>
      <c r="Z246">
        <v>0</v>
      </c>
      <c r="AA246">
        <v>0</v>
      </c>
      <c r="AB246" t="s">
        <v>1748</v>
      </c>
      <c r="AC246" t="s">
        <v>1713</v>
      </c>
      <c r="AD246" s="18" t="s">
        <v>2032</v>
      </c>
      <c r="AE246" t="s">
        <v>4</v>
      </c>
      <c r="AF246" t="s">
        <v>1</v>
      </c>
      <c r="AG246" t="s">
        <v>1</v>
      </c>
      <c r="AH246" t="s">
        <v>2648</v>
      </c>
      <c r="AI246" t="s">
        <v>3089</v>
      </c>
      <c r="AJ246" t="s">
        <v>1</v>
      </c>
      <c r="AK246">
        <v>9331170710</v>
      </c>
      <c r="AL246" t="s">
        <v>1</v>
      </c>
      <c r="AM246" t="s">
        <v>1</v>
      </c>
      <c r="AN246" t="s">
        <v>1</v>
      </c>
      <c r="AO246" t="s">
        <v>2648</v>
      </c>
      <c r="AP246" t="s">
        <v>1</v>
      </c>
      <c r="AQ246" t="s">
        <v>2</v>
      </c>
      <c r="AR246" t="s">
        <v>3</v>
      </c>
      <c r="AS246" t="s">
        <v>3</v>
      </c>
      <c r="AT246" t="s">
        <v>3</v>
      </c>
      <c r="AU246" t="s">
        <v>3</v>
      </c>
      <c r="AV246" t="s">
        <v>3</v>
      </c>
      <c r="AW246" t="s">
        <v>11</v>
      </c>
      <c r="AX246">
        <f>Tabla1[[#This Row],[precio del paquete]]-Tabla1[[#This Row],[Saldo_Deudor]]</f>
        <v>13400</v>
      </c>
      <c r="AY246">
        <v>1400</v>
      </c>
      <c r="AZ246" t="s">
        <v>1</v>
      </c>
      <c r="BA246" t="s">
        <v>1</v>
      </c>
      <c r="BB246" t="s">
        <v>1</v>
      </c>
      <c r="BC246" t="s">
        <v>1391</v>
      </c>
      <c r="BD246" t="s">
        <v>1399</v>
      </c>
      <c r="BE246" t="s">
        <v>3</v>
      </c>
      <c r="BF246" t="s">
        <v>3</v>
      </c>
      <c r="BG246" t="s">
        <v>3</v>
      </c>
      <c r="BH246" t="s">
        <v>3</v>
      </c>
      <c r="BI246" t="s">
        <v>3</v>
      </c>
      <c r="BJ246" t="s">
        <v>3375</v>
      </c>
      <c r="BK246" t="s">
        <v>3</v>
      </c>
      <c r="BL246" t="s">
        <v>132</v>
      </c>
      <c r="BM246" t="s">
        <v>1</v>
      </c>
      <c r="BN246">
        <f>Tabla1[[#This Row],[precio del paquete]]</f>
        <v>14800</v>
      </c>
      <c r="BO246" t="s">
        <v>1</v>
      </c>
      <c r="BP246" t="s">
        <v>1</v>
      </c>
      <c r="BQ246" t="s">
        <v>1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0</v>
      </c>
      <c r="BX246" t="s">
        <v>1</v>
      </c>
      <c r="BY246" t="s">
        <v>1</v>
      </c>
      <c r="BZ246" t="s">
        <v>1</v>
      </c>
      <c r="CA246" t="s">
        <v>1</v>
      </c>
      <c r="CB246" t="s">
        <v>3382</v>
      </c>
      <c r="CD246" t="str" cm="1">
        <f t="array" aca="1" ref="CD246" ca="1">eConcatenar(A246:CB246,"|")</f>
        <v>igbcwCBvAgS247Q9|COM2021-3711|3|MEMORIAL|TABASCO|COMALCALCO|COMALCALCO|2021-11-16|14800|0|200|50|1|0|0|0|0|0|0|0|0|0|0||0|0|0|JIMENEZ|DE LA CRUZ|LUCINDO|SOLTERO|X|X|CARRETERA A VILLA ALDAMA SIN NUMERO|RANCHERIA ARENA PRIMERA SECCION |X|9331170710|X|X|X|CARRETERA A VILLA ALDAMA SIN NUMERO|X|LUNES|x|x|x|x|x|DOMICILIO |13400|1400|X|X|X|2022-02-04|2022-02-11|x|x|x|x|x|DSYPMZPXEANHGLM|x|HOMBRE|X|14800|X|X|X|X|X|X|X|X|CARDENAS|X|X|X|X|FINAL</v>
      </c>
    </row>
    <row r="247" spans="1:82" x14ac:dyDescent="0.25">
      <c r="A247" t="s">
        <v>608</v>
      </c>
      <c r="B247" t="s">
        <v>609</v>
      </c>
      <c r="C247">
        <v>3</v>
      </c>
      <c r="D247" t="s">
        <v>1372</v>
      </c>
      <c r="E247" t="s">
        <v>1380</v>
      </c>
      <c r="F247" t="s">
        <v>1384</v>
      </c>
      <c r="G247" t="s">
        <v>1384</v>
      </c>
      <c r="H247" t="s">
        <v>1454</v>
      </c>
      <c r="I247">
        <v>12900</v>
      </c>
      <c r="J247">
        <v>0</v>
      </c>
      <c r="K247">
        <v>300</v>
      </c>
      <c r="L247">
        <v>50</v>
      </c>
      <c r="M247">
        <v>1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Y247">
        <v>0</v>
      </c>
      <c r="Z247">
        <v>0</v>
      </c>
      <c r="AA247">
        <v>0</v>
      </c>
      <c r="AB247" t="s">
        <v>1711</v>
      </c>
      <c r="AC247" t="s">
        <v>2033</v>
      </c>
      <c r="AD247" s="18" t="s">
        <v>2034</v>
      </c>
      <c r="AE247" t="s">
        <v>4</v>
      </c>
      <c r="AF247" t="s">
        <v>1</v>
      </c>
      <c r="AG247" t="s">
        <v>1</v>
      </c>
      <c r="AH247" t="s">
        <v>2649</v>
      </c>
      <c r="AI247" t="s">
        <v>2683</v>
      </c>
      <c r="AJ247" t="s">
        <v>1</v>
      </c>
      <c r="AK247" t="s">
        <v>1</v>
      </c>
      <c r="AL247" t="s">
        <v>1</v>
      </c>
      <c r="AM247" t="s">
        <v>1</v>
      </c>
      <c r="AN247" t="s">
        <v>1</v>
      </c>
      <c r="AO247" t="s">
        <v>2649</v>
      </c>
      <c r="AP247" t="s">
        <v>1</v>
      </c>
      <c r="AQ247" t="s">
        <v>2</v>
      </c>
      <c r="AR247" t="s">
        <v>3</v>
      </c>
      <c r="AS247" t="s">
        <v>3</v>
      </c>
      <c r="AT247" t="s">
        <v>3</v>
      </c>
      <c r="AU247" t="s">
        <v>3</v>
      </c>
      <c r="AV247" t="s">
        <v>3</v>
      </c>
      <c r="AW247" t="s">
        <v>11</v>
      </c>
      <c r="AX247">
        <f>Tabla1[[#This Row],[precio del paquete]]-Tabla1[[#This Row],[Saldo_Deudor]]</f>
        <v>1400</v>
      </c>
      <c r="AY247">
        <v>11500</v>
      </c>
      <c r="AZ247" t="s">
        <v>1</v>
      </c>
      <c r="BA247" t="s">
        <v>1</v>
      </c>
      <c r="BB247" t="s">
        <v>1</v>
      </c>
      <c r="BC247" t="s">
        <v>1388</v>
      </c>
      <c r="BD247" t="s">
        <v>1398</v>
      </c>
      <c r="BE247" t="s">
        <v>3</v>
      </c>
      <c r="BF247" t="s">
        <v>3</v>
      </c>
      <c r="BG247" t="s">
        <v>3</v>
      </c>
      <c r="BH247" t="s">
        <v>3</v>
      </c>
      <c r="BI247" t="s">
        <v>3</v>
      </c>
      <c r="BJ247" t="s">
        <v>3375</v>
      </c>
      <c r="BK247" t="s">
        <v>3</v>
      </c>
      <c r="BL247" t="s">
        <v>132</v>
      </c>
      <c r="BM247" t="s">
        <v>1</v>
      </c>
      <c r="BN247">
        <f>Tabla1[[#This Row],[precio del paquete]]</f>
        <v>12900</v>
      </c>
      <c r="BO247" t="s">
        <v>1</v>
      </c>
      <c r="BP247" t="s">
        <v>1</v>
      </c>
      <c r="BQ247" t="s">
        <v>1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0</v>
      </c>
      <c r="BX247" t="s">
        <v>1</v>
      </c>
      <c r="BY247" t="s">
        <v>1</v>
      </c>
      <c r="BZ247" t="s">
        <v>1</v>
      </c>
      <c r="CA247" t="s">
        <v>1</v>
      </c>
      <c r="CB247" t="s">
        <v>3382</v>
      </c>
      <c r="CD247" t="str" cm="1">
        <f t="array" aca="1" ref="CD247" ca="1">eConcatenar(A247:CB247,"|")</f>
        <v>tdOV0Oiayy7z549I|COM2021-3924|3|IMPERIAL DE LUJO|TABASCO|COMALCALCO|COMALCALCO|2021-12-02|12900|0|300|50|1|0|0|0|0|0|0|0|0|0|0||0|0|0|HERNANDEZ|BROCA|ELEDIN|SOLTERO|X|X|CARRETERA COCOHITAL SIN NUMERO|RANCHERIA PATASTAL SEGUNDA SECCION|X|X|X|X|X|CARRETERA COCOHITAL SIN NUMERO|X|LUNES|x|x|x|x|x|DOMICILIO |1400|11500|X|X|X|2022-02-05|2022-02-12|x|x|x|x|x|DSYPMZPXEANHGLM|x|HOMBRE|X|12900|X|X|X|X|X|X|X|X|CARDENAS|X|X|X|X|FINAL</v>
      </c>
    </row>
    <row r="248" spans="1:82" x14ac:dyDescent="0.25">
      <c r="A248" t="s">
        <v>610</v>
      </c>
      <c r="B248" t="s">
        <v>611</v>
      </c>
      <c r="C248">
        <v>3</v>
      </c>
      <c r="D248" t="s">
        <v>1369</v>
      </c>
      <c r="E248" t="s">
        <v>1380</v>
      </c>
      <c r="F248" t="s">
        <v>1384</v>
      </c>
      <c r="G248" t="s">
        <v>1384</v>
      </c>
      <c r="H248" t="s">
        <v>1455</v>
      </c>
      <c r="I248">
        <v>14800</v>
      </c>
      <c r="J248">
        <v>0</v>
      </c>
      <c r="K248">
        <v>200</v>
      </c>
      <c r="L248">
        <v>50</v>
      </c>
      <c r="M248">
        <v>1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Y248">
        <v>0</v>
      </c>
      <c r="Z248">
        <v>0</v>
      </c>
      <c r="AA248">
        <v>0</v>
      </c>
      <c r="AB248" t="s">
        <v>1818</v>
      </c>
      <c r="AC248" t="s">
        <v>2035</v>
      </c>
      <c r="AD248" s="18" t="s">
        <v>2036</v>
      </c>
      <c r="AE248" t="s">
        <v>4</v>
      </c>
      <c r="AF248" t="s">
        <v>1</v>
      </c>
      <c r="AG248" t="s">
        <v>1</v>
      </c>
      <c r="AH248" t="s">
        <v>2650</v>
      </c>
      <c r="AI248" t="s">
        <v>3090</v>
      </c>
      <c r="AJ248" t="s">
        <v>1</v>
      </c>
      <c r="AK248">
        <v>9381518226</v>
      </c>
      <c r="AL248" t="s">
        <v>1</v>
      </c>
      <c r="AM248" t="s">
        <v>1</v>
      </c>
      <c r="AN248" t="s">
        <v>1</v>
      </c>
      <c r="AO248" t="s">
        <v>2650</v>
      </c>
      <c r="AP248" t="s">
        <v>1</v>
      </c>
      <c r="AQ248" t="s">
        <v>2</v>
      </c>
      <c r="AR248" t="s">
        <v>3</v>
      </c>
      <c r="AS248" t="s">
        <v>3</v>
      </c>
      <c r="AT248" t="s">
        <v>3</v>
      </c>
      <c r="AU248" t="s">
        <v>3</v>
      </c>
      <c r="AV248" t="s">
        <v>3</v>
      </c>
      <c r="AW248" t="s">
        <v>11</v>
      </c>
      <c r="AX248">
        <f>Tabla1[[#This Row],[precio del paquete]]-Tabla1[[#This Row],[Saldo_Deudor]]</f>
        <v>600</v>
      </c>
      <c r="AY248">
        <v>14200</v>
      </c>
      <c r="AZ248" t="s">
        <v>1</v>
      </c>
      <c r="BA248" t="s">
        <v>1</v>
      </c>
      <c r="BB248" t="s">
        <v>1</v>
      </c>
      <c r="BC248" t="s">
        <v>3251</v>
      </c>
      <c r="BD248" t="s">
        <v>3309</v>
      </c>
      <c r="BE248" t="s">
        <v>3</v>
      </c>
      <c r="BF248" t="s">
        <v>3</v>
      </c>
      <c r="BG248" t="s">
        <v>3</v>
      </c>
      <c r="BH248" t="s">
        <v>3</v>
      </c>
      <c r="BI248" t="s">
        <v>3</v>
      </c>
      <c r="BJ248" t="s">
        <v>3375</v>
      </c>
      <c r="BK248" t="s">
        <v>3</v>
      </c>
      <c r="BL248" t="s">
        <v>132</v>
      </c>
      <c r="BM248" t="s">
        <v>1</v>
      </c>
      <c r="BN248">
        <f>Tabla1[[#This Row],[precio del paquete]]</f>
        <v>14800</v>
      </c>
      <c r="BO248" t="s">
        <v>1</v>
      </c>
      <c r="BP248" t="s">
        <v>1</v>
      </c>
      <c r="BQ248" t="s">
        <v>1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0</v>
      </c>
      <c r="BX248" t="s">
        <v>1</v>
      </c>
      <c r="BY248" t="s">
        <v>1</v>
      </c>
      <c r="BZ248" t="s">
        <v>1</v>
      </c>
      <c r="CA248" t="s">
        <v>1</v>
      </c>
      <c r="CB248" t="s">
        <v>3382</v>
      </c>
      <c r="CD248" t="str" cm="1">
        <f t="array" aca="1" ref="CD248" ca="1">eConcatenar(A248:CB248,"|")</f>
        <v>qzpdgKZQt6JfimLM|COM2021-5954|3|MEMORIAL|TABASCO|COMALCALCO|COMALCALCO|2021-12-09|14800|0|200|50|1|0|0|0|0|0|0|0|0|0|0||0|0|0|CASTILLO|ALCUDIA|ESCOLASTICA|SOLTERO|X|X|CARRETERA JOSE MARIA PINO SUAREZ|RANCHERIA PROGRESO TULAR PRIMERA SECCION|X|9381518226|X|X|X|CARRETERA JOSE MARIA PINO SUAREZ|X|LUNES|x|x|x|x|x|DOMICILIO |600|14200|X|X|X|2022-02-22|2022-03-01|x|x|x|x|x|DSYPMZPXEANHGLM|x|HOMBRE|X|14800|X|X|X|X|X|X|X|X|CARDENAS|X|X|X|X|FINAL</v>
      </c>
    </row>
    <row r="249" spans="1:82" x14ac:dyDescent="0.25">
      <c r="A249" t="s">
        <v>612</v>
      </c>
      <c r="B249" t="s">
        <v>613</v>
      </c>
      <c r="C249">
        <v>3</v>
      </c>
      <c r="D249" t="s">
        <v>1369</v>
      </c>
      <c r="E249" t="s">
        <v>1380</v>
      </c>
      <c r="F249" t="s">
        <v>1384</v>
      </c>
      <c r="G249" t="s">
        <v>1384</v>
      </c>
      <c r="H249" t="s">
        <v>1456</v>
      </c>
      <c r="I249">
        <v>14800</v>
      </c>
      <c r="J249">
        <v>0</v>
      </c>
      <c r="K249">
        <v>200</v>
      </c>
      <c r="L249">
        <v>50</v>
      </c>
      <c r="M249">
        <v>1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Y249">
        <v>0</v>
      </c>
      <c r="Z249">
        <v>0</v>
      </c>
      <c r="AA249">
        <v>0</v>
      </c>
      <c r="AB249" t="s">
        <v>7</v>
      </c>
      <c r="AC249" t="s">
        <v>2037</v>
      </c>
      <c r="AD249" s="18" t="s">
        <v>2038</v>
      </c>
      <c r="AE249" t="s">
        <v>4</v>
      </c>
      <c r="AF249" t="s">
        <v>1</v>
      </c>
      <c r="AG249" t="s">
        <v>1</v>
      </c>
      <c r="AH249" t="s">
        <v>2651</v>
      </c>
      <c r="AI249" t="s">
        <v>2651</v>
      </c>
      <c r="AJ249" t="s">
        <v>1</v>
      </c>
      <c r="AK249">
        <v>9331720035</v>
      </c>
      <c r="AL249" t="s">
        <v>1</v>
      </c>
      <c r="AM249" t="s">
        <v>1</v>
      </c>
      <c r="AN249" t="s">
        <v>1</v>
      </c>
      <c r="AO249" t="s">
        <v>2651</v>
      </c>
      <c r="AP249" t="s">
        <v>1</v>
      </c>
      <c r="AQ249" t="s">
        <v>2</v>
      </c>
      <c r="AR249" t="s">
        <v>3</v>
      </c>
      <c r="AS249" t="s">
        <v>3</v>
      </c>
      <c r="AT249" t="s">
        <v>3</v>
      </c>
      <c r="AU249" t="s">
        <v>3</v>
      </c>
      <c r="AV249" t="s">
        <v>3</v>
      </c>
      <c r="AW249" t="s">
        <v>11</v>
      </c>
      <c r="AX249">
        <f>Tabla1[[#This Row],[precio del paquete]]-Tabla1[[#This Row],[Saldo_Deudor]]</f>
        <v>7850</v>
      </c>
      <c r="AY249">
        <v>6950</v>
      </c>
      <c r="AZ249" t="s">
        <v>1</v>
      </c>
      <c r="BA249" t="s">
        <v>1</v>
      </c>
      <c r="BB249" t="s">
        <v>1</v>
      </c>
      <c r="BC249" t="s">
        <v>1472</v>
      </c>
      <c r="BD249" t="s">
        <v>1424</v>
      </c>
      <c r="BE249" t="s">
        <v>3</v>
      </c>
      <c r="BF249" t="s">
        <v>3</v>
      </c>
      <c r="BG249" t="s">
        <v>3</v>
      </c>
      <c r="BH249" t="s">
        <v>3</v>
      </c>
      <c r="BI249" t="s">
        <v>3</v>
      </c>
      <c r="BJ249" t="s">
        <v>3375</v>
      </c>
      <c r="BK249" t="s">
        <v>3</v>
      </c>
      <c r="BL249" t="s">
        <v>132</v>
      </c>
      <c r="BM249" t="s">
        <v>1</v>
      </c>
      <c r="BN249">
        <f>Tabla1[[#This Row],[precio del paquete]]</f>
        <v>14800</v>
      </c>
      <c r="BO249" t="s">
        <v>1</v>
      </c>
      <c r="BP249" t="s">
        <v>1</v>
      </c>
      <c r="BQ249" t="s">
        <v>1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0</v>
      </c>
      <c r="BX249" t="s">
        <v>1</v>
      </c>
      <c r="BY249" t="s">
        <v>1</v>
      </c>
      <c r="BZ249" t="s">
        <v>1</v>
      </c>
      <c r="CA249" t="s">
        <v>1</v>
      </c>
      <c r="CB249" t="s">
        <v>3382</v>
      </c>
      <c r="CD249" t="str" cm="1">
        <f t="array" aca="1" ref="CD249" ca="1">eConcatenar(A249:CB249,"|")</f>
        <v>Ce9JBfHclPg03ByH|COM2021-3148|3|MEMORIAL|TABASCO|COMALCALCO|COMALCALCO|2021-10-09|14800|0|200|50|1|0|0|0|0|0|0|0|0|0|0||0|0|0|LOPEZ|AREVALO|EUNIFER|SOLTERO|X|X|RANCHERIA LAZARO CARDENAS SEGUNDA SECCION|RANCHERIA LAZARO CARDENAS SEGUNDA SECCION|X|9331720035|X|X|X|RANCHERIA LAZARO CARDENAS SEGUNDA SECCION|X|LUNES|x|x|x|x|x|DOMICILIO |7850|6950|X|X|X|2022-01-07|2022-01-14|x|x|x|x|x|DSYPMZPXEANHGLM|x|HOMBRE|X|14800|X|X|X|X|X|X|X|X|CARDENAS|X|X|X|X|FINAL</v>
      </c>
    </row>
    <row r="250" spans="1:82" x14ac:dyDescent="0.25">
      <c r="A250" t="s">
        <v>614</v>
      </c>
      <c r="B250" t="s">
        <v>615</v>
      </c>
      <c r="C250">
        <v>3</v>
      </c>
      <c r="D250" t="s">
        <v>1369</v>
      </c>
      <c r="E250" t="s">
        <v>1380</v>
      </c>
      <c r="F250" t="s">
        <v>1384</v>
      </c>
      <c r="G250" t="s">
        <v>1384</v>
      </c>
      <c r="H250" t="s">
        <v>1457</v>
      </c>
      <c r="I250">
        <v>14800</v>
      </c>
      <c r="J250">
        <v>0</v>
      </c>
      <c r="K250">
        <v>200</v>
      </c>
      <c r="L250">
        <v>50</v>
      </c>
      <c r="M250">
        <v>1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Y250">
        <v>0</v>
      </c>
      <c r="Z250">
        <v>0</v>
      </c>
      <c r="AA250">
        <v>0</v>
      </c>
      <c r="AB250" t="s">
        <v>2039</v>
      </c>
      <c r="AC250" t="s">
        <v>2040</v>
      </c>
      <c r="AD250" s="18" t="s">
        <v>2041</v>
      </c>
      <c r="AE250" t="s">
        <v>4</v>
      </c>
      <c r="AF250" t="s">
        <v>1</v>
      </c>
      <c r="AG250" t="s">
        <v>1</v>
      </c>
      <c r="AH250" t="s">
        <v>2652</v>
      </c>
      <c r="AI250" t="s">
        <v>3091</v>
      </c>
      <c r="AJ250" t="s">
        <v>1</v>
      </c>
      <c r="AK250">
        <v>9331578509</v>
      </c>
      <c r="AL250" t="s">
        <v>1</v>
      </c>
      <c r="AM250" t="s">
        <v>1</v>
      </c>
      <c r="AN250" t="s">
        <v>1</v>
      </c>
      <c r="AO250" t="s">
        <v>2652</v>
      </c>
      <c r="AP250" t="s">
        <v>1</v>
      </c>
      <c r="AQ250" t="s">
        <v>2</v>
      </c>
      <c r="AR250" t="s">
        <v>3</v>
      </c>
      <c r="AS250" t="s">
        <v>3</v>
      </c>
      <c r="AT250" t="s">
        <v>3</v>
      </c>
      <c r="AU250" t="s">
        <v>3</v>
      </c>
      <c r="AV250" t="s">
        <v>3</v>
      </c>
      <c r="AW250" t="s">
        <v>11</v>
      </c>
      <c r="AX250">
        <f>Tabla1[[#This Row],[precio del paquete]]-Tabla1[[#This Row],[Saldo_Deudor]]</f>
        <v>400</v>
      </c>
      <c r="AY250">
        <v>14400</v>
      </c>
      <c r="AZ250" t="s">
        <v>1</v>
      </c>
      <c r="BA250" t="s">
        <v>1</v>
      </c>
      <c r="BB250" t="s">
        <v>1</v>
      </c>
      <c r="BC250" t="s">
        <v>1386</v>
      </c>
      <c r="BD250" t="s">
        <v>1388</v>
      </c>
      <c r="BE250" t="s">
        <v>3</v>
      </c>
      <c r="BF250" t="s">
        <v>3</v>
      </c>
      <c r="BG250" t="s">
        <v>3</v>
      </c>
      <c r="BH250" t="s">
        <v>3</v>
      </c>
      <c r="BI250" t="s">
        <v>3</v>
      </c>
      <c r="BJ250" t="s">
        <v>3375</v>
      </c>
      <c r="BK250" t="s">
        <v>3</v>
      </c>
      <c r="BL250" t="s">
        <v>132</v>
      </c>
      <c r="BM250" t="s">
        <v>1</v>
      </c>
      <c r="BN250">
        <f>Tabla1[[#This Row],[precio del paquete]]</f>
        <v>14800</v>
      </c>
      <c r="BO250" t="s">
        <v>1</v>
      </c>
      <c r="BP250" t="s">
        <v>1</v>
      </c>
      <c r="BQ250" t="s">
        <v>1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0</v>
      </c>
      <c r="BX250" t="s">
        <v>1</v>
      </c>
      <c r="BY250" t="s">
        <v>1</v>
      </c>
      <c r="BZ250" t="s">
        <v>1</v>
      </c>
      <c r="CA250" t="s">
        <v>1</v>
      </c>
      <c r="CB250" t="s">
        <v>3382</v>
      </c>
      <c r="CD250" t="str" cm="1">
        <f t="array" aca="1" ref="CD250" ca="1">eConcatenar(A250:CB250,"|")</f>
        <v>zNhbkWbWMUk0sOOQ|COM2022-0150|3|MEMORIAL|TABASCO|COMALCALCO|COMALCALCO|2022-01-12|14800|0|200|50|1|0|0|0|0|0|0|0|0|0|0||0|0|0|RABANALES|LAZARO|MA DEL CARMEN|SOLTERO|X|X|CALLE ALDAMA|CERRADA TECOLUTILLA |X|9331578509|X|X|X|CALLE ALDAMA|X|LUNES|x|x|x|x|x|DOMICILIO |400|14400|X|X|X|2022-01-29|2022-02-05|x|x|x|x|x|DSYPMZPXEANHGLM|x|HOMBRE|X|14800|X|X|X|X|X|X|X|X|CARDENAS|X|X|X|X|FINAL</v>
      </c>
    </row>
    <row r="251" spans="1:82" x14ac:dyDescent="0.25">
      <c r="A251" t="s">
        <v>616</v>
      </c>
      <c r="B251" t="s">
        <v>617</v>
      </c>
      <c r="C251">
        <v>3</v>
      </c>
      <c r="D251" t="s">
        <v>1372</v>
      </c>
      <c r="E251" t="s">
        <v>1380</v>
      </c>
      <c r="F251" t="s">
        <v>1384</v>
      </c>
      <c r="G251" t="s">
        <v>1384</v>
      </c>
      <c r="H251" t="s">
        <v>1458</v>
      </c>
      <c r="I251">
        <v>12900</v>
      </c>
      <c r="J251">
        <v>0</v>
      </c>
      <c r="K251">
        <v>100</v>
      </c>
      <c r="L251">
        <v>50</v>
      </c>
      <c r="M251">
        <v>1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Y251">
        <v>0</v>
      </c>
      <c r="Z251">
        <v>0</v>
      </c>
      <c r="AA251">
        <v>0</v>
      </c>
      <c r="AB251" t="s">
        <v>2042</v>
      </c>
      <c r="AC251" t="s">
        <v>2043</v>
      </c>
      <c r="AD251" s="18" t="s">
        <v>2044</v>
      </c>
      <c r="AE251" t="s">
        <v>4</v>
      </c>
      <c r="AF251" t="s">
        <v>1</v>
      </c>
      <c r="AG251" t="s">
        <v>1</v>
      </c>
      <c r="AH251" t="s">
        <v>2653</v>
      </c>
      <c r="AI251" t="s">
        <v>3092</v>
      </c>
      <c r="AJ251" t="s">
        <v>1</v>
      </c>
      <c r="AK251">
        <v>9331546515</v>
      </c>
      <c r="AL251" t="s">
        <v>1</v>
      </c>
      <c r="AM251" t="s">
        <v>1</v>
      </c>
      <c r="AN251" t="s">
        <v>1</v>
      </c>
      <c r="AO251" t="s">
        <v>2653</v>
      </c>
      <c r="AP251" t="s">
        <v>1</v>
      </c>
      <c r="AQ251" t="s">
        <v>2</v>
      </c>
      <c r="AR251" t="s">
        <v>3</v>
      </c>
      <c r="AS251" t="s">
        <v>3</v>
      </c>
      <c r="AT251" t="s">
        <v>3</v>
      </c>
      <c r="AU251" t="s">
        <v>3</v>
      </c>
      <c r="AV251" t="s">
        <v>3</v>
      </c>
      <c r="AW251" t="s">
        <v>11</v>
      </c>
      <c r="AX251">
        <f>Tabla1[[#This Row],[precio del paquete]]-Tabla1[[#This Row],[Saldo_Deudor]]</f>
        <v>3600</v>
      </c>
      <c r="AY251">
        <v>9300</v>
      </c>
      <c r="AZ251" t="s">
        <v>1</v>
      </c>
      <c r="BA251" t="s">
        <v>1</v>
      </c>
      <c r="BB251" t="s">
        <v>1</v>
      </c>
      <c r="BC251" t="s">
        <v>3262</v>
      </c>
      <c r="BD251" t="s">
        <v>3316</v>
      </c>
      <c r="BE251" t="s">
        <v>3</v>
      </c>
      <c r="BF251" t="s">
        <v>3</v>
      </c>
      <c r="BG251" t="s">
        <v>3</v>
      </c>
      <c r="BH251" t="s">
        <v>3</v>
      </c>
      <c r="BI251" t="s">
        <v>3</v>
      </c>
      <c r="BJ251" t="s">
        <v>3376</v>
      </c>
      <c r="BK251" t="s">
        <v>3</v>
      </c>
      <c r="BL251" t="s">
        <v>132</v>
      </c>
      <c r="BM251" t="s">
        <v>1</v>
      </c>
      <c r="BN251">
        <f>Tabla1[[#This Row],[precio del paquete]]</f>
        <v>12900</v>
      </c>
      <c r="BO251" t="s">
        <v>1</v>
      </c>
      <c r="BP251" t="s">
        <v>1</v>
      </c>
      <c r="BQ251" t="s">
        <v>1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0</v>
      </c>
      <c r="BX251" t="s">
        <v>1</v>
      </c>
      <c r="BY251" t="s">
        <v>1</v>
      </c>
      <c r="BZ251" t="s">
        <v>1</v>
      </c>
      <c r="CA251" t="s">
        <v>1</v>
      </c>
      <c r="CB251" t="s">
        <v>3382</v>
      </c>
      <c r="CD251" t="str" cm="1">
        <f t="array" aca="1" ref="CD251" ca="1">eConcatenar(A251:CB251,"|")</f>
        <v>Kvuqig4HY85KizrV|COM2019-0303|3|IMPERIAL DE LUJO|TABASCO|COMALCALCO|COMALCALCO|2019-02-04|12900|0|100|50|1|0|0|0|0|0|0|0|0|0|0||0|0|0|HERNANEZ|SUAREZ|CARMITA|SOLTERO|X|X|IGNACIO GUTIERREZ|COLONIA SANTA AMALIA|X|9331546515|X|X|X|IGNACIO GUTIERREZ|X|LUNES|x|x|x|x|x|DOMICILIO |3600|9300|X|X|X|2020-09-17|2020-09-24|x|x|x|x|x|ETDFHETZQDZYCPE|x|HOMBRE|X|12900|X|X|X|X|X|X|X|X|CARDENAS|X|X|X|X|FINAL</v>
      </c>
    </row>
    <row r="252" spans="1:82" x14ac:dyDescent="0.25">
      <c r="A252" t="s">
        <v>618</v>
      </c>
      <c r="B252" t="s">
        <v>619</v>
      </c>
      <c r="C252">
        <v>3</v>
      </c>
      <c r="D252" t="s">
        <v>1372</v>
      </c>
      <c r="E252" t="s">
        <v>1380</v>
      </c>
      <c r="F252" t="s">
        <v>1384</v>
      </c>
      <c r="G252" t="s">
        <v>1384</v>
      </c>
      <c r="H252" t="s">
        <v>1459</v>
      </c>
      <c r="I252">
        <v>12900</v>
      </c>
      <c r="J252">
        <v>0</v>
      </c>
      <c r="K252">
        <v>100</v>
      </c>
      <c r="L252">
        <v>50</v>
      </c>
      <c r="M252">
        <v>1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Y252">
        <v>0</v>
      </c>
      <c r="Z252">
        <v>0</v>
      </c>
      <c r="AA252">
        <v>0</v>
      </c>
      <c r="AB252" t="s">
        <v>1713</v>
      </c>
      <c r="AC252" t="s">
        <v>1851</v>
      </c>
      <c r="AD252" s="18" t="s">
        <v>2045</v>
      </c>
      <c r="AE252" t="s">
        <v>4</v>
      </c>
      <c r="AF252" t="s">
        <v>1</v>
      </c>
      <c r="AG252" t="s">
        <v>1</v>
      </c>
      <c r="AH252" t="s">
        <v>2654</v>
      </c>
      <c r="AI252" t="s">
        <v>3093</v>
      </c>
      <c r="AJ252" t="s">
        <v>1</v>
      </c>
      <c r="AK252">
        <v>9331138587</v>
      </c>
      <c r="AL252" t="s">
        <v>1</v>
      </c>
      <c r="AM252" t="s">
        <v>1</v>
      </c>
      <c r="AN252" t="s">
        <v>1</v>
      </c>
      <c r="AO252" t="s">
        <v>2654</v>
      </c>
      <c r="AP252" t="s">
        <v>1</v>
      </c>
      <c r="AQ252" t="s">
        <v>2</v>
      </c>
      <c r="AR252" t="s">
        <v>3</v>
      </c>
      <c r="AS252" t="s">
        <v>3</v>
      </c>
      <c r="AT252" t="s">
        <v>3</v>
      </c>
      <c r="AU252" t="s">
        <v>3</v>
      </c>
      <c r="AV252" t="s">
        <v>3</v>
      </c>
      <c r="AW252" t="s">
        <v>11</v>
      </c>
      <c r="AX252">
        <f>Tabla1[[#This Row],[precio del paquete]]-Tabla1[[#This Row],[Saldo_Deudor]]</f>
        <v>3050</v>
      </c>
      <c r="AY252">
        <v>9850</v>
      </c>
      <c r="AZ252" t="s">
        <v>1</v>
      </c>
      <c r="BA252" t="s">
        <v>1</v>
      </c>
      <c r="BB252" t="s">
        <v>1</v>
      </c>
      <c r="BC252" t="s">
        <v>3263</v>
      </c>
      <c r="BD252" t="s">
        <v>3317</v>
      </c>
      <c r="BE252" t="s">
        <v>3</v>
      </c>
      <c r="BF252" t="s">
        <v>3</v>
      </c>
      <c r="BG252" t="s">
        <v>3</v>
      </c>
      <c r="BH252" t="s">
        <v>3</v>
      </c>
      <c r="BI252" t="s">
        <v>3</v>
      </c>
      <c r="BJ252" t="s">
        <v>3376</v>
      </c>
      <c r="BK252" t="s">
        <v>3</v>
      </c>
      <c r="BL252" t="s">
        <v>132</v>
      </c>
      <c r="BM252" t="s">
        <v>1</v>
      </c>
      <c r="BN252">
        <f>Tabla1[[#This Row],[precio del paquete]]</f>
        <v>12900</v>
      </c>
      <c r="BO252" t="s">
        <v>1</v>
      </c>
      <c r="BP252" t="s">
        <v>1</v>
      </c>
      <c r="BQ252" t="s">
        <v>1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0</v>
      </c>
      <c r="BX252" t="s">
        <v>1</v>
      </c>
      <c r="BY252" t="s">
        <v>1</v>
      </c>
      <c r="BZ252" t="s">
        <v>1</v>
      </c>
      <c r="CA252" t="s">
        <v>1</v>
      </c>
      <c r="CB252" t="s">
        <v>3382</v>
      </c>
      <c r="CD252" t="str" cm="1">
        <f t="array" aca="1" ref="CD252" ca="1">eConcatenar(A252:CB252,"|")</f>
        <v>R0aZdCoXk9fS5M29|COM2019-0936|3|IMPERIAL DE LUJO|TABASCO|COMALCALCO|COMALCALCO|2019-04-29|12900|0|100|50|1|0|0|0|0|0|0|0|0|0|0||0|0|0|DE LA CRUZ|JAVIER|RAUL|SOLTERO|X|X|RANCHERIA OCCIDENTE PRIMERA SECCION|RANCHERIA OCCIDENTE PRIMERA SECCION |X|9331138587|X|X|X|RANCHERIA OCCIDENTE PRIMERA SECCION|X|LUNES|x|x|x|x|x|DOMICILIO |3050|9850|X|X|X|2020-01-02|2020-01-09|x|x|x|x|x|ETDFHETZQDZYCPE|x|HOMBRE|X|12900|X|X|X|X|X|X|X|X|CARDENAS|X|X|X|X|FINAL</v>
      </c>
    </row>
    <row r="253" spans="1:82" x14ac:dyDescent="0.25">
      <c r="A253" t="s">
        <v>620</v>
      </c>
      <c r="B253" t="s">
        <v>621</v>
      </c>
      <c r="C253">
        <v>3</v>
      </c>
      <c r="D253" t="s">
        <v>1372</v>
      </c>
      <c r="E253" t="s">
        <v>1380</v>
      </c>
      <c r="F253" t="s">
        <v>1384</v>
      </c>
      <c r="G253" t="s">
        <v>1384</v>
      </c>
      <c r="H253" t="s">
        <v>1460</v>
      </c>
      <c r="I253">
        <v>12900</v>
      </c>
      <c r="J253">
        <v>0</v>
      </c>
      <c r="K253">
        <v>100</v>
      </c>
      <c r="L253">
        <v>50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Y253">
        <v>0</v>
      </c>
      <c r="Z253">
        <v>0</v>
      </c>
      <c r="AA253">
        <v>0</v>
      </c>
      <c r="AB253" t="s">
        <v>7</v>
      </c>
      <c r="AC253" t="s">
        <v>2046</v>
      </c>
      <c r="AD253" s="18" t="s">
        <v>2047</v>
      </c>
      <c r="AE253" t="s">
        <v>4</v>
      </c>
      <c r="AF253" t="s">
        <v>1</v>
      </c>
      <c r="AG253" t="s">
        <v>1</v>
      </c>
      <c r="AH253" t="s">
        <v>2655</v>
      </c>
      <c r="AI253" t="s">
        <v>3094</v>
      </c>
      <c r="AJ253" t="s">
        <v>1</v>
      </c>
      <c r="AK253">
        <v>9331003064</v>
      </c>
      <c r="AL253" t="s">
        <v>1</v>
      </c>
      <c r="AM253" t="s">
        <v>1</v>
      </c>
      <c r="AN253" t="s">
        <v>1</v>
      </c>
      <c r="AO253" t="s">
        <v>2655</v>
      </c>
      <c r="AP253" t="s">
        <v>1</v>
      </c>
      <c r="AQ253" t="s">
        <v>2</v>
      </c>
      <c r="AR253" t="s">
        <v>3</v>
      </c>
      <c r="AS253" t="s">
        <v>3</v>
      </c>
      <c r="AT253" t="s">
        <v>3</v>
      </c>
      <c r="AU253" t="s">
        <v>3</v>
      </c>
      <c r="AV253" t="s">
        <v>3</v>
      </c>
      <c r="AW253" t="s">
        <v>11</v>
      </c>
      <c r="AX253">
        <f>Tabla1[[#This Row],[precio del paquete]]-Tabla1[[#This Row],[Saldo_Deudor]]</f>
        <v>2000</v>
      </c>
      <c r="AY253">
        <v>10900</v>
      </c>
      <c r="AZ253" t="s">
        <v>1</v>
      </c>
      <c r="BA253" t="s">
        <v>1</v>
      </c>
      <c r="BB253" t="s">
        <v>1</v>
      </c>
      <c r="BC253" t="s">
        <v>3264</v>
      </c>
      <c r="BD253" t="s">
        <v>1629</v>
      </c>
      <c r="BE253" t="s">
        <v>3</v>
      </c>
      <c r="BF253" t="s">
        <v>3</v>
      </c>
      <c r="BG253" t="s">
        <v>3</v>
      </c>
      <c r="BH253" t="s">
        <v>3</v>
      </c>
      <c r="BI253" t="s">
        <v>3</v>
      </c>
      <c r="BJ253" t="s">
        <v>3376</v>
      </c>
      <c r="BK253" t="s">
        <v>3</v>
      </c>
      <c r="BL253" t="s">
        <v>132</v>
      </c>
      <c r="BM253" t="s">
        <v>1</v>
      </c>
      <c r="BN253">
        <f>Tabla1[[#This Row],[precio del paquete]]</f>
        <v>12900</v>
      </c>
      <c r="BO253" t="s">
        <v>1</v>
      </c>
      <c r="BP253" t="s">
        <v>1</v>
      </c>
      <c r="BQ253" t="s">
        <v>1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0</v>
      </c>
      <c r="BX253" t="s">
        <v>1</v>
      </c>
      <c r="BY253" t="s">
        <v>1</v>
      </c>
      <c r="BZ253" t="s">
        <v>1</v>
      </c>
      <c r="CA253" t="s">
        <v>1</v>
      </c>
      <c r="CB253" t="s">
        <v>3382</v>
      </c>
      <c r="CD253" t="str" cm="1">
        <f t="array" aca="1" ref="CD253" ca="1">eConcatenar(A253:CB253,"|")</f>
        <v>uVUZffLfc3XvaHN7|COM2019-1429|3|IMPERIAL DE LUJO|TABASCO|COMALCALCO|COMALCALCO|2019-05-29|12900|0|100|50|1|0|0|0|0|0|0|0|0|0|0||0|0|0|LOPEZ|CORONEL|LUCY DEL CARMEN|SOLTERO|X|X|CARRETERA A TECOLUTILLA SIN NUMERO|RANCHERIA REYES HERNANDEZ SEGUNDA SECCION|X|9331003064|X|X|X|CARRETERA A TECOLUTILLA SIN NUMERO|X|LUNES|x|x|x|x|x|DOMICILIO |2000|10900|X|X|X|2020-03-05|2020-03-12|x|x|x|x|x|ETDFHETZQDZYCPE|x|HOMBRE|X|12900|X|X|X|X|X|X|X|X|CARDENAS|X|X|X|X|FINAL</v>
      </c>
    </row>
    <row r="254" spans="1:82" x14ac:dyDescent="0.25">
      <c r="A254" t="s">
        <v>622</v>
      </c>
      <c r="B254" t="s">
        <v>623</v>
      </c>
      <c r="C254">
        <v>3</v>
      </c>
      <c r="D254" t="s">
        <v>1372</v>
      </c>
      <c r="E254" t="s">
        <v>1380</v>
      </c>
      <c r="F254" t="s">
        <v>1384</v>
      </c>
      <c r="G254" t="s">
        <v>1384</v>
      </c>
      <c r="H254" t="s">
        <v>1461</v>
      </c>
      <c r="I254">
        <v>12900</v>
      </c>
      <c r="J254">
        <v>0</v>
      </c>
      <c r="K254">
        <v>100</v>
      </c>
      <c r="L254">
        <v>50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Y254">
        <v>0</v>
      </c>
      <c r="Z254">
        <v>0</v>
      </c>
      <c r="AA254">
        <v>0</v>
      </c>
      <c r="AB254" t="s">
        <v>1748</v>
      </c>
      <c r="AC254" t="s">
        <v>1774</v>
      </c>
      <c r="AD254" s="18" t="s">
        <v>2048</v>
      </c>
      <c r="AE254" t="s">
        <v>4</v>
      </c>
      <c r="AF254" t="s">
        <v>1</v>
      </c>
      <c r="AG254" t="s">
        <v>1</v>
      </c>
      <c r="AH254" t="s">
        <v>2656</v>
      </c>
      <c r="AI254" t="s">
        <v>2656</v>
      </c>
      <c r="AJ254" t="s">
        <v>1</v>
      </c>
      <c r="AK254">
        <v>9331104612</v>
      </c>
      <c r="AL254" t="s">
        <v>1</v>
      </c>
      <c r="AM254" t="s">
        <v>1</v>
      </c>
      <c r="AN254" t="s">
        <v>1</v>
      </c>
      <c r="AO254" t="s">
        <v>2656</v>
      </c>
      <c r="AP254" t="s">
        <v>1</v>
      </c>
      <c r="AQ254" t="s">
        <v>2</v>
      </c>
      <c r="AR254" t="s">
        <v>3</v>
      </c>
      <c r="AS254" t="s">
        <v>3</v>
      </c>
      <c r="AT254" t="s">
        <v>3</v>
      </c>
      <c r="AU254" t="s">
        <v>3</v>
      </c>
      <c r="AV254" t="s">
        <v>3</v>
      </c>
      <c r="AW254" t="s">
        <v>11</v>
      </c>
      <c r="AX254">
        <f>Tabla1[[#This Row],[precio del paquete]]-Tabla1[[#This Row],[Saldo_Deudor]]</f>
        <v>4900</v>
      </c>
      <c r="AY254">
        <v>8000</v>
      </c>
      <c r="AZ254" t="s">
        <v>1</v>
      </c>
      <c r="BA254" t="s">
        <v>1</v>
      </c>
      <c r="BB254" t="s">
        <v>1</v>
      </c>
      <c r="BC254" t="s">
        <v>1684</v>
      </c>
      <c r="BD254" t="s">
        <v>3318</v>
      </c>
      <c r="BE254" t="s">
        <v>3</v>
      </c>
      <c r="BF254" t="s">
        <v>3</v>
      </c>
      <c r="BG254" t="s">
        <v>3</v>
      </c>
      <c r="BH254" t="s">
        <v>3</v>
      </c>
      <c r="BI254" t="s">
        <v>3</v>
      </c>
      <c r="BJ254" t="s">
        <v>3376</v>
      </c>
      <c r="BK254" t="s">
        <v>3</v>
      </c>
      <c r="BL254" t="s">
        <v>132</v>
      </c>
      <c r="BM254" t="s">
        <v>1</v>
      </c>
      <c r="BN254">
        <f>Tabla1[[#This Row],[precio del paquete]]</f>
        <v>12900</v>
      </c>
      <c r="BO254" t="s">
        <v>1</v>
      </c>
      <c r="BP254" t="s">
        <v>1</v>
      </c>
      <c r="BQ254" t="s">
        <v>1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0</v>
      </c>
      <c r="BX254" t="s">
        <v>1</v>
      </c>
      <c r="BY254" t="s">
        <v>1</v>
      </c>
      <c r="BZ254" t="s">
        <v>1</v>
      </c>
      <c r="CA254" t="s">
        <v>1</v>
      </c>
      <c r="CB254" t="s">
        <v>3382</v>
      </c>
      <c r="CD254" t="str" cm="1">
        <f t="array" aca="1" ref="CD254" ca="1">eConcatenar(A254:CB254,"|")</f>
        <v>4DcBToWAuz4rleP3|COM2019-1655|3|IMPERIAL DE LUJO|TABASCO|COMALCALCO|COMALCALCO|2019-06-26|12900|0|100|50|1|0|0|0|0|0|0|0|0|0|0||0|0|0|JIMENEZ|GONZALEZ|MARQUEZA|SOLTERO|X|X|COLONIA SAN SILVIRIO AMADO NUEVO|COLONIA SAN SILVIRIO AMADO NUEVO|X|9331104612|X|X|X|COLONIA SAN SILVIRIO AMADO NUEVO|X|LUNES|x|x|x|x|x|DOMICILIO |4900|8000|X|X|X|2021-06-30|2021-07-07|x|x|x|x|x|ETDFHETZQDZYCPE|x|HOMBRE|X|12900|X|X|X|X|X|X|X|X|CARDENAS|X|X|X|X|FINAL</v>
      </c>
    </row>
    <row r="255" spans="1:82" x14ac:dyDescent="0.25">
      <c r="A255" t="s">
        <v>624</v>
      </c>
      <c r="B255" t="s">
        <v>625</v>
      </c>
      <c r="C255">
        <v>3</v>
      </c>
      <c r="D255" t="s">
        <v>1372</v>
      </c>
      <c r="E255" t="s">
        <v>1380</v>
      </c>
      <c r="F255" t="s">
        <v>1384</v>
      </c>
      <c r="G255" t="s">
        <v>1384</v>
      </c>
      <c r="H255" t="s">
        <v>1462</v>
      </c>
      <c r="I255">
        <v>12900</v>
      </c>
      <c r="J255">
        <v>0</v>
      </c>
      <c r="K255">
        <v>100</v>
      </c>
      <c r="L255">
        <v>50</v>
      </c>
      <c r="M255">
        <v>1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Y255">
        <v>0</v>
      </c>
      <c r="Z255">
        <v>0</v>
      </c>
      <c r="AA255">
        <v>0</v>
      </c>
      <c r="AB255" t="s">
        <v>1736</v>
      </c>
      <c r="AC255" t="s">
        <v>1739</v>
      </c>
      <c r="AD255" s="18" t="s">
        <v>1879</v>
      </c>
      <c r="AE255" t="s">
        <v>4</v>
      </c>
      <c r="AF255" t="s">
        <v>1</v>
      </c>
      <c r="AG255" t="s">
        <v>1</v>
      </c>
      <c r="AH255" t="s">
        <v>2657</v>
      </c>
      <c r="AI255" t="s">
        <v>3095</v>
      </c>
      <c r="AJ255" t="s">
        <v>1</v>
      </c>
      <c r="AK255">
        <v>9331675650</v>
      </c>
      <c r="AL255" t="s">
        <v>1</v>
      </c>
      <c r="AM255" t="s">
        <v>1</v>
      </c>
      <c r="AN255" t="s">
        <v>1</v>
      </c>
      <c r="AO255" t="s">
        <v>2657</v>
      </c>
      <c r="AP255" t="s">
        <v>1</v>
      </c>
      <c r="AQ255" t="s">
        <v>2</v>
      </c>
      <c r="AR255" t="s">
        <v>3</v>
      </c>
      <c r="AS255" t="s">
        <v>3</v>
      </c>
      <c r="AT255" t="s">
        <v>3</v>
      </c>
      <c r="AU255" t="s">
        <v>3</v>
      </c>
      <c r="AV255" t="s">
        <v>3</v>
      </c>
      <c r="AW255" t="s">
        <v>11</v>
      </c>
      <c r="AX255">
        <f>Tabla1[[#This Row],[precio del paquete]]-Tabla1[[#This Row],[Saldo_Deudor]]</f>
        <v>2700</v>
      </c>
      <c r="AY255">
        <v>10200</v>
      </c>
      <c r="AZ255" t="s">
        <v>1</v>
      </c>
      <c r="BA255" t="s">
        <v>1</v>
      </c>
      <c r="BB255" t="s">
        <v>1</v>
      </c>
      <c r="BC255" t="s">
        <v>3265</v>
      </c>
      <c r="BD255" t="s">
        <v>3319</v>
      </c>
      <c r="BE255" t="s">
        <v>3</v>
      </c>
      <c r="BF255" t="s">
        <v>3</v>
      </c>
      <c r="BG255" t="s">
        <v>3</v>
      </c>
      <c r="BH255" t="s">
        <v>3</v>
      </c>
      <c r="BI255" t="s">
        <v>3</v>
      </c>
      <c r="BJ255" t="s">
        <v>3376</v>
      </c>
      <c r="BK255" t="s">
        <v>3</v>
      </c>
      <c r="BL255" t="s">
        <v>132</v>
      </c>
      <c r="BM255" t="s">
        <v>1</v>
      </c>
      <c r="BN255">
        <f>Tabla1[[#This Row],[precio del paquete]]</f>
        <v>12900</v>
      </c>
      <c r="BO255" t="s">
        <v>1</v>
      </c>
      <c r="BP255" t="s">
        <v>1</v>
      </c>
      <c r="BQ255" t="s">
        <v>1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0</v>
      </c>
      <c r="BX255" t="s">
        <v>1</v>
      </c>
      <c r="BY255" t="s">
        <v>1</v>
      </c>
      <c r="BZ255" t="s">
        <v>1</v>
      </c>
      <c r="CA255" t="s">
        <v>1</v>
      </c>
      <c r="CB255" t="s">
        <v>3382</v>
      </c>
      <c r="CD255" t="str" cm="1">
        <f t="array" aca="1" ref="CD255" ca="1">eConcatenar(A255:CB255,"|")</f>
        <v>aMd2k1bpvTyp7lkF|COM2019-1295|3|IMPERIAL DE LUJO|TABASCO|COMALCALCO|COMALCALCO|2019-05-27|12900|0|100|50|1|0|0|0|0|0|0|0|0|0|0||0|0|0|AGUILAR|DE LOS SANTOS|JAIME|SOLTERO|X|X|CARRETERA A LA LUCHA|RANCHERIA SARGENTO LOPEZ SEGUNDA|X|9331675650|X|X|X|CARRETERA A LA LUCHA|X|LUNES|x|x|x|x|x|DOMICILIO |2700|10200|X|X|X|2020-12-10|2020-12-17|x|x|x|x|x|ETDFHETZQDZYCPE|x|HOMBRE|X|12900|X|X|X|X|X|X|X|X|CARDENAS|X|X|X|X|FINAL</v>
      </c>
    </row>
    <row r="256" spans="1:82" x14ac:dyDescent="0.25">
      <c r="A256" t="s">
        <v>626</v>
      </c>
      <c r="B256" t="s">
        <v>627</v>
      </c>
      <c r="C256">
        <v>3</v>
      </c>
      <c r="D256" t="s">
        <v>1372</v>
      </c>
      <c r="E256" t="s">
        <v>1380</v>
      </c>
      <c r="F256" t="s">
        <v>1384</v>
      </c>
      <c r="G256" t="s">
        <v>1384</v>
      </c>
      <c r="H256" t="s">
        <v>1463</v>
      </c>
      <c r="I256">
        <v>12900</v>
      </c>
      <c r="J256">
        <v>0</v>
      </c>
      <c r="K256">
        <v>100</v>
      </c>
      <c r="L256">
        <v>50</v>
      </c>
      <c r="M256">
        <v>1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Y256">
        <v>0</v>
      </c>
      <c r="Z256">
        <v>0</v>
      </c>
      <c r="AA256">
        <v>0</v>
      </c>
      <c r="AB256" t="s">
        <v>2049</v>
      </c>
      <c r="AC256" t="s">
        <v>1786</v>
      </c>
      <c r="AD256" s="18" t="s">
        <v>2050</v>
      </c>
      <c r="AE256" t="s">
        <v>4</v>
      </c>
      <c r="AF256" t="s">
        <v>1</v>
      </c>
      <c r="AG256" t="s">
        <v>1</v>
      </c>
      <c r="AH256" t="s">
        <v>2643</v>
      </c>
      <c r="AI256" t="s">
        <v>2660</v>
      </c>
      <c r="AJ256" t="s">
        <v>1</v>
      </c>
      <c r="AK256">
        <v>9332094789</v>
      </c>
      <c r="AL256" t="s">
        <v>1</v>
      </c>
      <c r="AM256" t="s">
        <v>1</v>
      </c>
      <c r="AN256" t="s">
        <v>1</v>
      </c>
      <c r="AO256" t="s">
        <v>2643</v>
      </c>
      <c r="AP256" t="s">
        <v>1</v>
      </c>
      <c r="AQ256" t="s">
        <v>2</v>
      </c>
      <c r="AR256" t="s">
        <v>3</v>
      </c>
      <c r="AS256" t="s">
        <v>3</v>
      </c>
      <c r="AT256" t="s">
        <v>3</v>
      </c>
      <c r="AU256" t="s">
        <v>3</v>
      </c>
      <c r="AV256" t="s">
        <v>3</v>
      </c>
      <c r="AW256" t="s">
        <v>11</v>
      </c>
      <c r="AX256">
        <f>Tabla1[[#This Row],[precio del paquete]]-Tabla1[[#This Row],[Saldo_Deudor]]</f>
        <v>3000</v>
      </c>
      <c r="AY256">
        <v>9900</v>
      </c>
      <c r="AZ256" t="s">
        <v>1</v>
      </c>
      <c r="BA256" t="s">
        <v>1</v>
      </c>
      <c r="BB256" t="s">
        <v>1</v>
      </c>
      <c r="BC256" t="s">
        <v>3266</v>
      </c>
      <c r="BD256" t="s">
        <v>1509</v>
      </c>
      <c r="BE256" t="s">
        <v>3</v>
      </c>
      <c r="BF256" t="s">
        <v>3</v>
      </c>
      <c r="BG256" t="s">
        <v>3</v>
      </c>
      <c r="BH256" t="s">
        <v>3</v>
      </c>
      <c r="BI256" t="s">
        <v>3</v>
      </c>
      <c r="BJ256" t="s">
        <v>3376</v>
      </c>
      <c r="BK256" t="s">
        <v>3</v>
      </c>
      <c r="BL256" t="s">
        <v>132</v>
      </c>
      <c r="BM256" t="s">
        <v>1</v>
      </c>
      <c r="BN256">
        <f>Tabla1[[#This Row],[precio del paquete]]</f>
        <v>12900</v>
      </c>
      <c r="BO256" t="s">
        <v>1</v>
      </c>
      <c r="BP256" t="s">
        <v>1</v>
      </c>
      <c r="BQ256" t="s">
        <v>1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0</v>
      </c>
      <c r="BX256" t="s">
        <v>1</v>
      </c>
      <c r="BY256" t="s">
        <v>1</v>
      </c>
      <c r="BZ256" t="s">
        <v>1</v>
      </c>
      <c r="CA256" t="s">
        <v>1</v>
      </c>
      <c r="CB256" t="s">
        <v>3382</v>
      </c>
      <c r="CD256" t="str" cm="1">
        <f t="array" aca="1" ref="CD256" ca="1">eConcatenar(A256:CB256,"|")</f>
        <v>oalLHi6GGSYEjG7p|COM2019-2497|3|IMPERIAL DE LUJO|TABASCO|COMALCALCO|COMALCALCO|2019-09-20|12900|0|100|50|1|0|0|0|0|0|0|0|0|0|0||0|0|0|ALAMILLA|MARTINEZ|ESMERALDA|SOLTERO|X|X|CALLE TOMAS GARRIDO |COLONIA TOMAS GARRIDO|X|9332094789|X|X|X|CALLE TOMAS GARRIDO |X|LUNES|x|x|x|x|x|DOMICILIO |3000|9900|X|X|X|2021-01-14|2021-01-21|x|x|x|x|x|ETDFHETZQDZYCPE|x|HOMBRE|X|12900|X|X|X|X|X|X|X|X|CARDENAS|X|X|X|X|FINAL</v>
      </c>
    </row>
    <row r="257" spans="1:82" x14ac:dyDescent="0.25">
      <c r="A257" t="s">
        <v>628</v>
      </c>
      <c r="B257" t="s">
        <v>629</v>
      </c>
      <c r="C257">
        <v>3</v>
      </c>
      <c r="D257" t="s">
        <v>1372</v>
      </c>
      <c r="E257" t="s">
        <v>1380</v>
      </c>
      <c r="F257" t="s">
        <v>1384</v>
      </c>
      <c r="G257" t="s">
        <v>1384</v>
      </c>
      <c r="H257" t="s">
        <v>1464</v>
      </c>
      <c r="I257">
        <v>12900</v>
      </c>
      <c r="J257">
        <v>0</v>
      </c>
      <c r="K257">
        <v>100</v>
      </c>
      <c r="L257">
        <v>50</v>
      </c>
      <c r="M257">
        <v>1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Y257">
        <v>0</v>
      </c>
      <c r="Z257">
        <v>0</v>
      </c>
      <c r="AA257">
        <v>0</v>
      </c>
      <c r="AB257" t="s">
        <v>1830</v>
      </c>
      <c r="AC257" t="s">
        <v>7</v>
      </c>
      <c r="AD257" s="18" t="s">
        <v>2051</v>
      </c>
      <c r="AE257" t="s">
        <v>4</v>
      </c>
      <c r="AF257" t="s">
        <v>1</v>
      </c>
      <c r="AG257" t="s">
        <v>1</v>
      </c>
      <c r="AH257" t="s">
        <v>2658</v>
      </c>
      <c r="AI257" t="s">
        <v>2658</v>
      </c>
      <c r="AJ257" t="s">
        <v>1</v>
      </c>
      <c r="AK257">
        <v>9331450205</v>
      </c>
      <c r="AL257" t="s">
        <v>1</v>
      </c>
      <c r="AM257" t="s">
        <v>1</v>
      </c>
      <c r="AN257" t="s">
        <v>1</v>
      </c>
      <c r="AO257" t="s">
        <v>2658</v>
      </c>
      <c r="AP257" t="s">
        <v>1</v>
      </c>
      <c r="AQ257" t="s">
        <v>2</v>
      </c>
      <c r="AR257" t="s">
        <v>3</v>
      </c>
      <c r="AS257" t="s">
        <v>3</v>
      </c>
      <c r="AT257" t="s">
        <v>3</v>
      </c>
      <c r="AU257" t="s">
        <v>3</v>
      </c>
      <c r="AV257" t="s">
        <v>3</v>
      </c>
      <c r="AW257" t="s">
        <v>11</v>
      </c>
      <c r="AX257">
        <f>Tabla1[[#This Row],[precio del paquete]]-Tabla1[[#This Row],[Saldo_Deudor]]</f>
        <v>1300</v>
      </c>
      <c r="AY257">
        <v>11600</v>
      </c>
      <c r="AZ257" t="s">
        <v>1</v>
      </c>
      <c r="BA257" t="s">
        <v>1</v>
      </c>
      <c r="BB257" t="s">
        <v>1</v>
      </c>
      <c r="BC257" t="s">
        <v>1464</v>
      </c>
      <c r="BD257" t="s">
        <v>3320</v>
      </c>
      <c r="BE257" t="s">
        <v>3</v>
      </c>
      <c r="BF257" t="s">
        <v>3</v>
      </c>
      <c r="BG257" t="s">
        <v>3</v>
      </c>
      <c r="BH257" t="s">
        <v>3</v>
      </c>
      <c r="BI257" t="s">
        <v>3</v>
      </c>
      <c r="BJ257" t="s">
        <v>3376</v>
      </c>
      <c r="BK257" t="s">
        <v>3</v>
      </c>
      <c r="BL257" t="s">
        <v>132</v>
      </c>
      <c r="BM257" t="s">
        <v>1</v>
      </c>
      <c r="BN257">
        <f>Tabla1[[#This Row],[precio del paquete]]</f>
        <v>12900</v>
      </c>
      <c r="BO257" t="s">
        <v>1</v>
      </c>
      <c r="BP257" t="s">
        <v>1</v>
      </c>
      <c r="BQ257" t="s">
        <v>1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0</v>
      </c>
      <c r="BX257" t="s">
        <v>1</v>
      </c>
      <c r="BY257" t="s">
        <v>1</v>
      </c>
      <c r="BZ257" t="s">
        <v>1</v>
      </c>
      <c r="CA257" t="s">
        <v>1</v>
      </c>
      <c r="CB257" t="s">
        <v>3382</v>
      </c>
      <c r="CD257" t="str" cm="1">
        <f t="array" aca="1" ref="CD257" ca="1">eConcatenar(A257:CB257,"|")</f>
        <v>2A7ioqRHCIwnng8L|COM2021-1966|3|IMPERIAL DE LUJO|TABASCO|COMALCALCO|COMALCALCO|2021-06-15|12900|0|100|50|1|0|0|0|0|0|0|0|0|0|0||0|0|0|COLORADO|LOPEZ|ROSARIO|SOLTERO|X|X|COLONIA LEANDRO ROVIROSA WADE|COLONIA LEANDRO ROVIROSA WADE|X|9331450205|X|X|X|COLONIA LEANDRO ROVIROSA WADE|X|LUNES|x|x|x|x|x|DOMICILIO |1300|11600|X|X|X|2021-06-15|2021-06-22|x|x|x|x|x|ETDFHETZQDZYCPE|x|HOMBRE|X|12900|X|X|X|X|X|X|X|X|CARDENAS|X|X|X|X|FINAL</v>
      </c>
    </row>
    <row r="258" spans="1:82" x14ac:dyDescent="0.25">
      <c r="A258" t="s">
        <v>630</v>
      </c>
      <c r="B258" t="s">
        <v>631</v>
      </c>
      <c r="C258">
        <v>3</v>
      </c>
      <c r="D258" t="s">
        <v>1372</v>
      </c>
      <c r="E258" t="s">
        <v>1380</v>
      </c>
      <c r="F258" t="s">
        <v>1384</v>
      </c>
      <c r="G258" t="s">
        <v>1384</v>
      </c>
      <c r="H258" t="s">
        <v>1411</v>
      </c>
      <c r="I258">
        <v>12900</v>
      </c>
      <c r="J258">
        <v>0</v>
      </c>
      <c r="K258">
        <v>100</v>
      </c>
      <c r="L258">
        <v>50</v>
      </c>
      <c r="M258">
        <v>1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Y258">
        <v>0</v>
      </c>
      <c r="Z258">
        <v>0</v>
      </c>
      <c r="AA258">
        <v>0</v>
      </c>
      <c r="AB258" t="s">
        <v>1922</v>
      </c>
      <c r="AC258" t="s">
        <v>2052</v>
      </c>
      <c r="AD258" s="18" t="s">
        <v>2053</v>
      </c>
      <c r="AE258" t="s">
        <v>4</v>
      </c>
      <c r="AF258" t="s">
        <v>1</v>
      </c>
      <c r="AG258" t="s">
        <v>1</v>
      </c>
      <c r="AH258" t="s">
        <v>2659</v>
      </c>
      <c r="AI258" t="s">
        <v>2659</v>
      </c>
      <c r="AJ258" t="s">
        <v>1</v>
      </c>
      <c r="AK258">
        <v>9331644794</v>
      </c>
      <c r="AL258" t="s">
        <v>1</v>
      </c>
      <c r="AM258" t="s">
        <v>1</v>
      </c>
      <c r="AN258" t="s">
        <v>1</v>
      </c>
      <c r="AO258" t="s">
        <v>2659</v>
      </c>
      <c r="AP258" t="s">
        <v>1</v>
      </c>
      <c r="AQ258" t="s">
        <v>2</v>
      </c>
      <c r="AR258" t="s">
        <v>3</v>
      </c>
      <c r="AS258" t="s">
        <v>3</v>
      </c>
      <c r="AT258" t="s">
        <v>3</v>
      </c>
      <c r="AU258" t="s">
        <v>3</v>
      </c>
      <c r="AV258" t="s">
        <v>3</v>
      </c>
      <c r="AW258" t="s">
        <v>11</v>
      </c>
      <c r="AX258">
        <f>Tabla1[[#This Row],[precio del paquete]]-Tabla1[[#This Row],[Saldo_Deudor]]</f>
        <v>500</v>
      </c>
      <c r="AY258">
        <v>12400</v>
      </c>
      <c r="AZ258" t="s">
        <v>1</v>
      </c>
      <c r="BA258" t="s">
        <v>1</v>
      </c>
      <c r="BB258" t="s">
        <v>1</v>
      </c>
      <c r="BC258" t="s">
        <v>3267</v>
      </c>
      <c r="BD258" t="s">
        <v>3321</v>
      </c>
      <c r="BE258" t="s">
        <v>3</v>
      </c>
      <c r="BF258" t="s">
        <v>3</v>
      </c>
      <c r="BG258" t="s">
        <v>3</v>
      </c>
      <c r="BH258" t="s">
        <v>3</v>
      </c>
      <c r="BI258" t="s">
        <v>3</v>
      </c>
      <c r="BJ258" t="s">
        <v>3376</v>
      </c>
      <c r="BK258" t="s">
        <v>3</v>
      </c>
      <c r="BL258" t="s">
        <v>132</v>
      </c>
      <c r="BM258" t="s">
        <v>1</v>
      </c>
      <c r="BN258">
        <f>Tabla1[[#This Row],[precio del paquete]]</f>
        <v>12900</v>
      </c>
      <c r="BO258" t="s">
        <v>1</v>
      </c>
      <c r="BP258" t="s">
        <v>1</v>
      </c>
      <c r="BQ258" t="s">
        <v>1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0</v>
      </c>
      <c r="BX258" t="s">
        <v>1</v>
      </c>
      <c r="BY258" t="s">
        <v>1</v>
      </c>
      <c r="BZ258" t="s">
        <v>1</v>
      </c>
      <c r="CA258" t="s">
        <v>1</v>
      </c>
      <c r="CB258" t="s">
        <v>3382</v>
      </c>
      <c r="CD258" t="str" cm="1">
        <f t="array" aca="1" ref="CD258" ca="1">eConcatenar(A258:CB258,"|")</f>
        <v>7YmWRUCqrzPToZPV|COM2020-3362|3|IMPERIAL DE LUJO|TABASCO|COMALCALCO|COMALCALCO|2020-12-15|12900|0|100|50|1|0|0|0|0|0|0|0|0|0|0||0|0|0|GUADALUPE|DE LOS ANGELES|MARIA|SOLTERO|X|X|RANCHERIA SUR CUARTA SECION|RANCHERIA SUR CUARTA SECION|X|9331644794|X|X|X|RANCHERIA SUR CUARTA SECION|X|LUNES|x|x|x|x|x|DOMICILIO |500|12400|X|X|X|2021-01-06|2021-01-13|x|x|x|x|x|ETDFHETZQDZYCPE|x|HOMBRE|X|12900|X|X|X|X|X|X|X|X|CARDENAS|X|X|X|X|FINAL</v>
      </c>
    </row>
    <row r="259" spans="1:82" x14ac:dyDescent="0.25">
      <c r="A259" t="s">
        <v>632</v>
      </c>
      <c r="B259" t="s">
        <v>633</v>
      </c>
      <c r="C259">
        <v>3</v>
      </c>
      <c r="D259" t="s">
        <v>1372</v>
      </c>
      <c r="E259" t="s">
        <v>1380</v>
      </c>
      <c r="F259" t="s">
        <v>1384</v>
      </c>
      <c r="G259" t="s">
        <v>1384</v>
      </c>
      <c r="H259" t="s">
        <v>1465</v>
      </c>
      <c r="I259">
        <v>12900</v>
      </c>
      <c r="J259">
        <v>0</v>
      </c>
      <c r="K259">
        <v>100</v>
      </c>
      <c r="L259">
        <v>50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Y259">
        <v>0</v>
      </c>
      <c r="Z259">
        <v>0</v>
      </c>
      <c r="AA259">
        <v>0</v>
      </c>
      <c r="AB259" t="s">
        <v>1711</v>
      </c>
      <c r="AC259" t="s">
        <v>1693</v>
      </c>
      <c r="AD259" s="18" t="s">
        <v>1702</v>
      </c>
      <c r="AE259" t="s">
        <v>4</v>
      </c>
      <c r="AF259" t="s">
        <v>1</v>
      </c>
      <c r="AG259" t="s">
        <v>1</v>
      </c>
      <c r="AH259" t="s">
        <v>2660</v>
      </c>
      <c r="AI259" t="s">
        <v>2660</v>
      </c>
      <c r="AJ259" t="s">
        <v>1</v>
      </c>
      <c r="AK259">
        <v>9331471982</v>
      </c>
      <c r="AL259" t="s">
        <v>1</v>
      </c>
      <c r="AM259" t="s">
        <v>1</v>
      </c>
      <c r="AN259" t="s">
        <v>1</v>
      </c>
      <c r="AO259" t="s">
        <v>2660</v>
      </c>
      <c r="AP259" t="s">
        <v>1</v>
      </c>
      <c r="AQ259" t="s">
        <v>2</v>
      </c>
      <c r="AR259" t="s">
        <v>3</v>
      </c>
      <c r="AS259" t="s">
        <v>3</v>
      </c>
      <c r="AT259" t="s">
        <v>3</v>
      </c>
      <c r="AU259" t="s">
        <v>3</v>
      </c>
      <c r="AV259" t="s">
        <v>3</v>
      </c>
      <c r="AW259" t="s">
        <v>11</v>
      </c>
      <c r="AX259">
        <f>Tabla1[[#This Row],[precio del paquete]]-Tabla1[[#This Row],[Saldo_Deudor]]</f>
        <v>11960</v>
      </c>
      <c r="AY259">
        <v>940</v>
      </c>
      <c r="AZ259" t="s">
        <v>1</v>
      </c>
      <c r="BA259" t="s">
        <v>1</v>
      </c>
      <c r="BB259" t="s">
        <v>1</v>
      </c>
      <c r="BC259" t="s">
        <v>3268</v>
      </c>
      <c r="BD259" t="s">
        <v>3265</v>
      </c>
      <c r="BE259" t="s">
        <v>3</v>
      </c>
      <c r="BF259" t="s">
        <v>3</v>
      </c>
      <c r="BG259" t="s">
        <v>3</v>
      </c>
      <c r="BH259" t="s">
        <v>3</v>
      </c>
      <c r="BI259" t="s">
        <v>3</v>
      </c>
      <c r="BJ259" t="s">
        <v>3376</v>
      </c>
      <c r="BK259" t="s">
        <v>3</v>
      </c>
      <c r="BL259" t="s">
        <v>132</v>
      </c>
      <c r="BM259" t="s">
        <v>1</v>
      </c>
      <c r="BN259">
        <f>Tabla1[[#This Row],[precio del paquete]]</f>
        <v>12900</v>
      </c>
      <c r="BO259" t="s">
        <v>1</v>
      </c>
      <c r="BP259" t="s">
        <v>1</v>
      </c>
      <c r="BQ259" t="s">
        <v>1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0</v>
      </c>
      <c r="BX259" t="s">
        <v>1</v>
      </c>
      <c r="BY259" t="s">
        <v>1</v>
      </c>
      <c r="BZ259" t="s">
        <v>1</v>
      </c>
      <c r="CA259" t="s">
        <v>1</v>
      </c>
      <c r="CB259" t="s">
        <v>3382</v>
      </c>
      <c r="CD259" t="str" cm="1">
        <f t="array" aca="1" ref="CD259" ca="1">eConcatenar(A259:CB259,"|")</f>
        <v>WbFpOl48zobIv00n|COM2019-0323|3|IMPERIAL DE LUJO|TABASCO|COMALCALCO|COMALCALCO|2019-02-10|12900|0|100|50|1|0|0|0|0|0|0|0|0|0|0||0|0|0|HERNANDEZ|RODRIGUEZ|ANA MARIA|SOLTERO|X|X|COLONIA TOMAS GARRIDO|COLONIA TOMAS GARRIDO|X|9331471982|X|X|X|COLONIA TOMAS GARRIDO|X|LUNES|x|x|x|x|x|DOMICILIO |11960|940|X|X|X|2020-12-03|2020-12-10|x|x|x|x|x|ETDFHETZQDZYCPE|x|HOMBRE|X|12900|X|X|X|X|X|X|X|X|CARDENAS|X|X|X|X|FINAL</v>
      </c>
    </row>
    <row r="260" spans="1:82" x14ac:dyDescent="0.25">
      <c r="A260" t="s">
        <v>634</v>
      </c>
      <c r="B260" t="s">
        <v>635</v>
      </c>
      <c r="C260">
        <v>3</v>
      </c>
      <c r="D260" t="s">
        <v>1372</v>
      </c>
      <c r="E260" t="s">
        <v>1380</v>
      </c>
      <c r="F260" t="s">
        <v>1384</v>
      </c>
      <c r="G260" t="s">
        <v>1384</v>
      </c>
      <c r="H260" t="s">
        <v>1466</v>
      </c>
      <c r="I260">
        <v>12900</v>
      </c>
      <c r="J260">
        <v>0</v>
      </c>
      <c r="K260">
        <v>100</v>
      </c>
      <c r="L260">
        <v>50</v>
      </c>
      <c r="M260">
        <v>1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Y260">
        <v>0</v>
      </c>
      <c r="Z260">
        <v>0</v>
      </c>
      <c r="AA260">
        <v>0</v>
      </c>
      <c r="AB260" t="s">
        <v>1856</v>
      </c>
      <c r="AC260" t="s">
        <v>1708</v>
      </c>
      <c r="AD260" s="18" t="s">
        <v>2053</v>
      </c>
      <c r="AE260" t="s">
        <v>4</v>
      </c>
      <c r="AF260" t="s">
        <v>1</v>
      </c>
      <c r="AG260" t="s">
        <v>1</v>
      </c>
      <c r="AH260" t="s">
        <v>2661</v>
      </c>
      <c r="AI260" t="s">
        <v>3096</v>
      </c>
      <c r="AJ260" t="s">
        <v>1</v>
      </c>
      <c r="AK260">
        <v>9331557649</v>
      </c>
      <c r="AL260" t="s">
        <v>1</v>
      </c>
      <c r="AM260" t="s">
        <v>1</v>
      </c>
      <c r="AN260" t="s">
        <v>1</v>
      </c>
      <c r="AO260" t="s">
        <v>2661</v>
      </c>
      <c r="AP260" t="s">
        <v>1</v>
      </c>
      <c r="AQ260" t="s">
        <v>2</v>
      </c>
      <c r="AR260" t="s">
        <v>3</v>
      </c>
      <c r="AS260" t="s">
        <v>3</v>
      </c>
      <c r="AT260" t="s">
        <v>3</v>
      </c>
      <c r="AU260" t="s">
        <v>3</v>
      </c>
      <c r="AV260" t="s">
        <v>3</v>
      </c>
      <c r="AW260" t="s">
        <v>11</v>
      </c>
      <c r="AX260">
        <f>Tabla1[[#This Row],[precio del paquete]]-Tabla1[[#This Row],[Saldo_Deudor]]</f>
        <v>3500</v>
      </c>
      <c r="AY260">
        <v>9400</v>
      </c>
      <c r="AZ260" t="s">
        <v>1</v>
      </c>
      <c r="BA260" t="s">
        <v>1</v>
      </c>
      <c r="BB260" t="s">
        <v>1</v>
      </c>
      <c r="BC260" t="s">
        <v>3269</v>
      </c>
      <c r="BD260" t="s">
        <v>1548</v>
      </c>
      <c r="BE260" t="s">
        <v>3</v>
      </c>
      <c r="BF260" t="s">
        <v>3</v>
      </c>
      <c r="BG260" t="s">
        <v>3</v>
      </c>
      <c r="BH260" t="s">
        <v>3</v>
      </c>
      <c r="BI260" t="s">
        <v>3</v>
      </c>
      <c r="BJ260" t="s">
        <v>3376</v>
      </c>
      <c r="BK260" t="s">
        <v>3</v>
      </c>
      <c r="BL260" t="s">
        <v>132</v>
      </c>
      <c r="BM260" t="s">
        <v>1</v>
      </c>
      <c r="BN260">
        <f>Tabla1[[#This Row],[precio del paquete]]</f>
        <v>12900</v>
      </c>
      <c r="BO260" t="s">
        <v>1</v>
      </c>
      <c r="BP260" t="s">
        <v>1</v>
      </c>
      <c r="BQ260" t="s">
        <v>1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0</v>
      </c>
      <c r="BX260" t="s">
        <v>1</v>
      </c>
      <c r="BY260" t="s">
        <v>1</v>
      </c>
      <c r="BZ260" t="s">
        <v>1</v>
      </c>
      <c r="CA260" t="s">
        <v>1</v>
      </c>
      <c r="CB260" t="s">
        <v>3382</v>
      </c>
      <c r="CD260" t="str" cm="1">
        <f t="array" aca="1" ref="CD260" ca="1">eConcatenar(A260:CB260,"|")</f>
        <v>umrugNyeqSXxFdsA| COM2019-2648|3|IMPERIAL DE LUJO|TABASCO|COMALCALCO|COMALCALCO|2020-09-29|12900|0|100|50|1|0|0|0|0|0|0|0|0|0|0||0|0|0|MAGDALENA||MARIA|SOLTERO|X|X|CALLE NIÑOS HEROES|COLONIA MORALES|X|9331557649|X|X|X|CALLE NIÑOS HEROES|X|LUNES|x|x|x|x|x|DOMICILIO |3500|9400|X|X|X|2021-02-17|2021-02-24|x|x|x|x|x|ETDFHETZQDZYCPE|x|HOMBRE|X|12900|X|X|X|X|X|X|X|X|CARDENAS|X|X|X|X|FINAL</v>
      </c>
    </row>
    <row r="261" spans="1:82" x14ac:dyDescent="0.25">
      <c r="A261" t="s">
        <v>636</v>
      </c>
      <c r="B261" t="s">
        <v>637</v>
      </c>
      <c r="C261">
        <v>3</v>
      </c>
      <c r="D261" t="s">
        <v>1372</v>
      </c>
      <c r="E261" t="s">
        <v>1380</v>
      </c>
      <c r="F261" t="s">
        <v>1384</v>
      </c>
      <c r="G261" t="s">
        <v>1384</v>
      </c>
      <c r="H261" t="s">
        <v>1467</v>
      </c>
      <c r="I261">
        <v>12900</v>
      </c>
      <c r="J261">
        <v>0</v>
      </c>
      <c r="K261">
        <v>100</v>
      </c>
      <c r="L261">
        <v>50</v>
      </c>
      <c r="M261">
        <v>1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Y261">
        <v>0</v>
      </c>
      <c r="Z261">
        <v>0</v>
      </c>
      <c r="AA261">
        <v>0</v>
      </c>
      <c r="AB261" t="s">
        <v>1739</v>
      </c>
      <c r="AC261" t="s">
        <v>1699</v>
      </c>
      <c r="AD261" s="18" t="s">
        <v>2054</v>
      </c>
      <c r="AE261" t="s">
        <v>4</v>
      </c>
      <c r="AF261" t="s">
        <v>1</v>
      </c>
      <c r="AG261" t="s">
        <v>1</v>
      </c>
      <c r="AH261" t="s">
        <v>2617</v>
      </c>
      <c r="AI261" t="s">
        <v>2617</v>
      </c>
      <c r="AJ261" t="s">
        <v>1</v>
      </c>
      <c r="AK261">
        <v>9331312751</v>
      </c>
      <c r="AL261" t="s">
        <v>1</v>
      </c>
      <c r="AM261" t="s">
        <v>1</v>
      </c>
      <c r="AN261" t="s">
        <v>1</v>
      </c>
      <c r="AO261" t="s">
        <v>2617</v>
      </c>
      <c r="AP261" t="s">
        <v>1</v>
      </c>
      <c r="AQ261" t="s">
        <v>2</v>
      </c>
      <c r="AR261" t="s">
        <v>3</v>
      </c>
      <c r="AS261" t="s">
        <v>3</v>
      </c>
      <c r="AT261" t="s">
        <v>3</v>
      </c>
      <c r="AU261" t="s">
        <v>3</v>
      </c>
      <c r="AV261" t="s">
        <v>3</v>
      </c>
      <c r="AW261" t="s">
        <v>11</v>
      </c>
      <c r="AX261">
        <f>Tabla1[[#This Row],[precio del paquete]]-Tabla1[[#This Row],[Saldo_Deudor]]</f>
        <v>2100</v>
      </c>
      <c r="AY261">
        <v>10800</v>
      </c>
      <c r="AZ261" t="s">
        <v>1</v>
      </c>
      <c r="BA261" t="s">
        <v>1</v>
      </c>
      <c r="BB261" t="s">
        <v>1</v>
      </c>
      <c r="BC261" t="s">
        <v>3270</v>
      </c>
      <c r="BD261" t="s">
        <v>3322</v>
      </c>
      <c r="BE261" t="s">
        <v>3</v>
      </c>
      <c r="BF261" t="s">
        <v>3</v>
      </c>
      <c r="BG261" t="s">
        <v>3</v>
      </c>
      <c r="BH261" t="s">
        <v>3</v>
      </c>
      <c r="BI261" t="s">
        <v>3</v>
      </c>
      <c r="BJ261" t="s">
        <v>3376</v>
      </c>
      <c r="BK261" t="s">
        <v>3</v>
      </c>
      <c r="BL261" t="s">
        <v>132</v>
      </c>
      <c r="BM261" t="s">
        <v>1</v>
      </c>
      <c r="BN261">
        <f>Tabla1[[#This Row],[precio del paquete]]</f>
        <v>12900</v>
      </c>
      <c r="BO261" t="s">
        <v>1</v>
      </c>
      <c r="BP261" t="s">
        <v>1</v>
      </c>
      <c r="BQ261" t="s">
        <v>1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0</v>
      </c>
      <c r="BX261" t="s">
        <v>1</v>
      </c>
      <c r="BY261" t="s">
        <v>1</v>
      </c>
      <c r="BZ261" t="s">
        <v>1</v>
      </c>
      <c r="CA261" t="s">
        <v>1</v>
      </c>
      <c r="CB261" t="s">
        <v>3382</v>
      </c>
      <c r="CD261" t="str" cm="1">
        <f t="array" aca="1" ref="CD261" ca="1">eConcatenar(A261:CB261,"|")</f>
        <v>oaZS0WRYnVmkHFkE|COM2020-0799|3|IMPERIAL DE LUJO|TABASCO|COMALCALCO|COMALCALCO|2020-03-25|12900|0|100|50|1|0|0|0|0|0|0|0|0|0|0||0|0|0|DE LOS SANTOS|CORDOVA|JOSE EXIQUIO|SOLTERO|X|X|RANCHERIA GREGORIO MENDEZ PRIMERA SECCION|RANCHERIA GREGORIO MENDEZ PRIMERA SECCION|X|9331312751|X|X|X|RANCHERIA GREGORIO MENDEZ PRIMERA SECCION|X|LUNES|x|x|x|x|x|DOMICILIO |2100|10800|X|X|X|2021-02-11|2021-02-18|x|x|x|x|x|ETDFHETZQDZYCPE|x|HOMBRE|X|12900|X|X|X|X|X|X|X|X|CARDENAS|X|X|X|X|FINAL</v>
      </c>
    </row>
    <row r="262" spans="1:82" x14ac:dyDescent="0.25">
      <c r="A262" t="s">
        <v>638</v>
      </c>
      <c r="B262" t="s">
        <v>639</v>
      </c>
      <c r="C262">
        <v>3</v>
      </c>
      <c r="D262" t="s">
        <v>1372</v>
      </c>
      <c r="E262" t="s">
        <v>1380</v>
      </c>
      <c r="F262" t="s">
        <v>1384</v>
      </c>
      <c r="G262" t="s">
        <v>1384</v>
      </c>
      <c r="H262" t="s">
        <v>1468</v>
      </c>
      <c r="I262">
        <v>12900</v>
      </c>
      <c r="J262">
        <v>0</v>
      </c>
      <c r="K262">
        <v>100</v>
      </c>
      <c r="L262">
        <v>50</v>
      </c>
      <c r="M262">
        <v>1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Y262">
        <v>0</v>
      </c>
      <c r="Z262">
        <v>0</v>
      </c>
      <c r="AA262">
        <v>0</v>
      </c>
      <c r="AB262" t="s">
        <v>1919</v>
      </c>
      <c r="AC262" t="s">
        <v>2055</v>
      </c>
      <c r="AD262" s="18" t="s">
        <v>2056</v>
      </c>
      <c r="AE262" t="s">
        <v>4</v>
      </c>
      <c r="AF262" t="s">
        <v>1</v>
      </c>
      <c r="AG262" t="s">
        <v>1</v>
      </c>
      <c r="AH262" t="s">
        <v>2662</v>
      </c>
      <c r="AI262" t="s">
        <v>2662</v>
      </c>
      <c r="AJ262" t="s">
        <v>1</v>
      </c>
      <c r="AK262" t="s">
        <v>1</v>
      </c>
      <c r="AL262" t="s">
        <v>1</v>
      </c>
      <c r="AM262" t="s">
        <v>1</v>
      </c>
      <c r="AN262" t="s">
        <v>1</v>
      </c>
      <c r="AO262" t="s">
        <v>2662</v>
      </c>
      <c r="AP262" t="s">
        <v>1</v>
      </c>
      <c r="AQ262" t="s">
        <v>2</v>
      </c>
      <c r="AR262" t="s">
        <v>3</v>
      </c>
      <c r="AS262" t="s">
        <v>3</v>
      </c>
      <c r="AT262" t="s">
        <v>3</v>
      </c>
      <c r="AU262" t="s">
        <v>3</v>
      </c>
      <c r="AV262" t="s">
        <v>3</v>
      </c>
      <c r="AW262" t="s">
        <v>11</v>
      </c>
      <c r="AX262">
        <f>Tabla1[[#This Row],[precio del paquete]]-Tabla1[[#This Row],[Saldo_Deudor]]</f>
        <v>5400</v>
      </c>
      <c r="AY262">
        <v>7500</v>
      </c>
      <c r="AZ262" t="s">
        <v>1</v>
      </c>
      <c r="BA262" t="s">
        <v>1</v>
      </c>
      <c r="BB262" t="s">
        <v>1</v>
      </c>
      <c r="BC262" t="s">
        <v>1574</v>
      </c>
      <c r="BD262" t="s">
        <v>1423</v>
      </c>
      <c r="BE262" t="s">
        <v>3</v>
      </c>
      <c r="BF262" t="s">
        <v>3</v>
      </c>
      <c r="BG262" t="s">
        <v>3</v>
      </c>
      <c r="BH262" t="s">
        <v>3</v>
      </c>
      <c r="BI262" t="s">
        <v>3</v>
      </c>
      <c r="BJ262" t="s">
        <v>3377</v>
      </c>
      <c r="BK262" t="s">
        <v>3</v>
      </c>
      <c r="BL262" t="s">
        <v>132</v>
      </c>
      <c r="BM262" t="s">
        <v>1</v>
      </c>
      <c r="BN262">
        <f>Tabla1[[#This Row],[precio del paquete]]</f>
        <v>12900</v>
      </c>
      <c r="BO262" t="s">
        <v>1</v>
      </c>
      <c r="BP262" t="s">
        <v>1</v>
      </c>
      <c r="BQ262" t="s">
        <v>1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0</v>
      </c>
      <c r="BX262" t="s">
        <v>1</v>
      </c>
      <c r="BY262" t="s">
        <v>1</v>
      </c>
      <c r="BZ262" t="s">
        <v>1</v>
      </c>
      <c r="CA262" t="s">
        <v>1</v>
      </c>
      <c r="CB262" t="s">
        <v>3382</v>
      </c>
      <c r="CD262" t="str" cm="1">
        <f t="array" aca="1" ref="CD262" ca="1">eConcatenar(A262:CB262,"|")</f>
        <v>tLCg9hUnu16Ipfj4|COM2019-0929|3|IMPERIAL DE LUJO|TABASCO|COMALCALCO|COMALCALCO|2019-04-26|12900|0|100|50|1|0|0|0|0|0|0|0|0|0|0||0|0|0|RAMIREZ|BERNARDO|ROMIRO|SOLTERO|X|X|RANCHERIA SANTANA SEGUNDA SECCION |RANCHERIA SANTANA SEGUNDA SECCION |X|X|X|X|X|RANCHERIA SANTANA SEGUNDA SECCION |X|LUNES|x|x|x|x|x|DOMICILIO |5400|7500|X|X|X|2021-06-03|2021-06-10|x|x|x|x|x|ZCEYT2126ZYSJM7|x|HOMBRE|X|12900|X|X|X|X|X|X|X|X|CARDENAS|X|X|X|X|FINAL</v>
      </c>
    </row>
    <row r="263" spans="1:82" x14ac:dyDescent="0.25">
      <c r="A263" t="s">
        <v>640</v>
      </c>
      <c r="B263" t="s">
        <v>641</v>
      </c>
      <c r="C263">
        <v>3</v>
      </c>
      <c r="D263" t="s">
        <v>1372</v>
      </c>
      <c r="E263" t="s">
        <v>1380</v>
      </c>
      <c r="F263" t="s">
        <v>1384</v>
      </c>
      <c r="G263" t="s">
        <v>1384</v>
      </c>
      <c r="H263" t="s">
        <v>1469</v>
      </c>
      <c r="I263">
        <v>12900</v>
      </c>
      <c r="J263">
        <v>0</v>
      </c>
      <c r="K263">
        <v>100</v>
      </c>
      <c r="L263">
        <v>50</v>
      </c>
      <c r="M263">
        <v>1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Y263">
        <v>0</v>
      </c>
      <c r="Z263">
        <v>0</v>
      </c>
      <c r="AA263">
        <v>0</v>
      </c>
      <c r="AB263" t="s">
        <v>2057</v>
      </c>
      <c r="AC263" t="s">
        <v>1693</v>
      </c>
      <c r="AD263" s="18" t="s">
        <v>2058</v>
      </c>
      <c r="AE263" t="s">
        <v>4</v>
      </c>
      <c r="AF263" t="s">
        <v>1</v>
      </c>
      <c r="AG263" t="s">
        <v>1</v>
      </c>
      <c r="AH263" t="s">
        <v>2663</v>
      </c>
      <c r="AI263" t="s">
        <v>3060</v>
      </c>
      <c r="AJ263" t="s">
        <v>1</v>
      </c>
      <c r="AK263">
        <v>9331007157</v>
      </c>
      <c r="AL263" t="s">
        <v>1</v>
      </c>
      <c r="AM263" t="s">
        <v>1</v>
      </c>
      <c r="AN263" t="s">
        <v>1</v>
      </c>
      <c r="AO263" t="s">
        <v>2663</v>
      </c>
      <c r="AP263" t="s">
        <v>1</v>
      </c>
      <c r="AQ263" t="s">
        <v>2</v>
      </c>
      <c r="AR263" t="s">
        <v>3</v>
      </c>
      <c r="AS263" t="s">
        <v>3</v>
      </c>
      <c r="AT263" t="s">
        <v>3</v>
      </c>
      <c r="AU263" t="s">
        <v>3</v>
      </c>
      <c r="AV263" t="s">
        <v>3</v>
      </c>
      <c r="AW263" t="s">
        <v>11</v>
      </c>
      <c r="AX263">
        <f>Tabla1[[#This Row],[precio del paquete]]-Tabla1[[#This Row],[Saldo_Deudor]]</f>
        <v>10300</v>
      </c>
      <c r="AY263">
        <v>2600</v>
      </c>
      <c r="AZ263" t="s">
        <v>1</v>
      </c>
      <c r="BA263" t="s">
        <v>1</v>
      </c>
      <c r="BB263" t="s">
        <v>1</v>
      </c>
      <c r="BC263" t="s">
        <v>3271</v>
      </c>
      <c r="BD263" t="s">
        <v>1492</v>
      </c>
      <c r="BE263" t="s">
        <v>3</v>
      </c>
      <c r="BF263" t="s">
        <v>3</v>
      </c>
      <c r="BG263" t="s">
        <v>3</v>
      </c>
      <c r="BH263" t="s">
        <v>3</v>
      </c>
      <c r="BI263" t="s">
        <v>3</v>
      </c>
      <c r="BJ263" t="s">
        <v>3377</v>
      </c>
      <c r="BK263" t="s">
        <v>3</v>
      </c>
      <c r="BL263" t="s">
        <v>132</v>
      </c>
      <c r="BM263" t="s">
        <v>1</v>
      </c>
      <c r="BN263">
        <f>Tabla1[[#This Row],[precio del paquete]]</f>
        <v>12900</v>
      </c>
      <c r="BO263" t="s">
        <v>1</v>
      </c>
      <c r="BP263" t="s">
        <v>1</v>
      </c>
      <c r="BQ263" t="s">
        <v>1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0</v>
      </c>
      <c r="BX263" t="s">
        <v>1</v>
      </c>
      <c r="BY263" t="s">
        <v>1</v>
      </c>
      <c r="BZ263" t="s">
        <v>1</v>
      </c>
      <c r="CA263" t="s">
        <v>1</v>
      </c>
      <c r="CB263" t="s">
        <v>3382</v>
      </c>
      <c r="CD263" t="str" cm="1">
        <f t="array" aca="1" ref="CD263" ca="1">eConcatenar(A263:CB263,"|")</f>
        <v>dIxJ7yUmvHmSP1fA|COM2019-0748|3|IMPERIAL DE LUJO|TABASCO|COMALCALCO|COMALCALCO|2019-04-10|12900|0|100|50|1|0|0|0|0|0|0|0|0|0|0||0|0|0|LEIVA|RODRIGUEZ|ROSENDA|SOLTERO|X|X|CALLE SANCHEZ MAGALLANES SIN NUMERO|COLONIA PUEBLO NUEVO|X|9331007157|X|X|X|CALLE SANCHEZ MAGALLANES SIN NUMERO|X|LUNES|x|x|x|x|x|DOMICILIO |10300|2600|X|X|X|2021-07-18|2021-07-25|x|x|x|x|x|ZCEYT2126ZYSJM7|x|HOMBRE|X|12900|X|X|X|X|X|X|X|X|CARDENAS|X|X|X|X|FINAL</v>
      </c>
    </row>
    <row r="264" spans="1:82" x14ac:dyDescent="0.25">
      <c r="A264" t="s">
        <v>642</v>
      </c>
      <c r="B264" t="s">
        <v>643</v>
      </c>
      <c r="C264">
        <v>3</v>
      </c>
      <c r="D264" t="s">
        <v>1372</v>
      </c>
      <c r="E264" t="s">
        <v>1380</v>
      </c>
      <c r="F264" t="s">
        <v>1384</v>
      </c>
      <c r="G264" t="s">
        <v>1384</v>
      </c>
      <c r="H264" t="s">
        <v>1470</v>
      </c>
      <c r="I264">
        <v>12900</v>
      </c>
      <c r="J264">
        <v>0</v>
      </c>
      <c r="K264">
        <v>200</v>
      </c>
      <c r="L264">
        <v>50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Y264">
        <v>0</v>
      </c>
      <c r="Z264">
        <v>0</v>
      </c>
      <c r="AA264">
        <v>0</v>
      </c>
      <c r="AB264" t="s">
        <v>2059</v>
      </c>
      <c r="AC264" t="s">
        <v>1851</v>
      </c>
      <c r="AD264" s="18" t="s">
        <v>2060</v>
      </c>
      <c r="AE264" t="s">
        <v>4</v>
      </c>
      <c r="AF264" t="s">
        <v>1</v>
      </c>
      <c r="AG264" t="s">
        <v>1</v>
      </c>
      <c r="AH264" t="s">
        <v>2664</v>
      </c>
      <c r="AI264" t="s">
        <v>3097</v>
      </c>
      <c r="AJ264" t="s">
        <v>1</v>
      </c>
      <c r="AK264">
        <v>9331706020</v>
      </c>
      <c r="AL264" t="s">
        <v>1</v>
      </c>
      <c r="AM264" t="s">
        <v>1</v>
      </c>
      <c r="AN264" t="s">
        <v>1</v>
      </c>
      <c r="AO264" t="s">
        <v>2664</v>
      </c>
      <c r="AP264" t="s">
        <v>1</v>
      </c>
      <c r="AQ264" t="s">
        <v>2</v>
      </c>
      <c r="AR264" t="s">
        <v>3</v>
      </c>
      <c r="AS264" t="s">
        <v>3</v>
      </c>
      <c r="AT264" t="s">
        <v>3</v>
      </c>
      <c r="AU264" t="s">
        <v>3</v>
      </c>
      <c r="AV264" t="s">
        <v>3</v>
      </c>
      <c r="AW264" t="s">
        <v>11</v>
      </c>
      <c r="AX264">
        <f>Tabla1[[#This Row],[precio del paquete]]-Tabla1[[#This Row],[Saldo_Deudor]]</f>
        <v>200</v>
      </c>
      <c r="AY264">
        <v>12700</v>
      </c>
      <c r="AZ264" t="s">
        <v>1</v>
      </c>
      <c r="BA264" t="s">
        <v>1</v>
      </c>
      <c r="BB264" t="s">
        <v>1</v>
      </c>
      <c r="BC264" t="s">
        <v>3272</v>
      </c>
      <c r="BD264" t="s">
        <v>3323</v>
      </c>
      <c r="BE264" t="s">
        <v>3</v>
      </c>
      <c r="BF264" t="s">
        <v>3</v>
      </c>
      <c r="BG264" t="s">
        <v>3</v>
      </c>
      <c r="BH264" t="s">
        <v>3</v>
      </c>
      <c r="BI264" t="s">
        <v>3</v>
      </c>
      <c r="BJ264" t="s">
        <v>3377</v>
      </c>
      <c r="BK264" t="s">
        <v>3</v>
      </c>
      <c r="BL264" t="s">
        <v>132</v>
      </c>
      <c r="BM264" t="s">
        <v>1</v>
      </c>
      <c r="BN264">
        <f>Tabla1[[#This Row],[precio del paquete]]</f>
        <v>12900</v>
      </c>
      <c r="BO264" t="s">
        <v>1</v>
      </c>
      <c r="BP264" t="s">
        <v>1</v>
      </c>
      <c r="BQ264" t="s">
        <v>1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0</v>
      </c>
      <c r="BX264" t="s">
        <v>1</v>
      </c>
      <c r="BY264" t="s">
        <v>1</v>
      </c>
      <c r="BZ264" t="s">
        <v>1</v>
      </c>
      <c r="CA264" t="s">
        <v>1</v>
      </c>
      <c r="CB264" t="s">
        <v>3382</v>
      </c>
      <c r="CD264" t="str" cm="1">
        <f t="array" aca="1" ref="CD264" ca="1">eConcatenar(A264:CB264,"|")</f>
        <v>SOWbi8Dqg0a75dUB|COM2020-3521|3|IMPERIAL DE LUJO|TABASCO|COMALCALCO|COMALCALCO|2020-12-26|12900|0|200|50|1|0|0|0|0|0|0|0|0|0|0||0|0|0|CUPIL|JAVIER|RAFAIN DAVID|SOLTERO|X|X|CARRETERA FEDERAL COMALCALCO CARDENAS|RANCHERIA ORIENTE SEGUNDA SECCION |X|9331706020|X|X|X|CARRETERA FEDERAL COMALCALCO CARDENAS|X|LUNES|x|x|x|x|x|DOMICILIO |200|12700|X|X|X|2020-12-24|2020-12-31|x|x|x|x|x|ZCEYT2126ZYSJM7|x|HOMBRE|X|12900|X|X|X|X|X|X|X|X|CARDENAS|X|X|X|X|FINAL</v>
      </c>
    </row>
    <row r="265" spans="1:82" x14ac:dyDescent="0.25">
      <c r="A265" t="s">
        <v>644</v>
      </c>
      <c r="B265" t="s">
        <v>645</v>
      </c>
      <c r="C265">
        <v>3</v>
      </c>
      <c r="D265" t="s">
        <v>1372</v>
      </c>
      <c r="E265" t="s">
        <v>1380</v>
      </c>
      <c r="F265" t="s">
        <v>1385</v>
      </c>
      <c r="G265" t="s">
        <v>1385</v>
      </c>
      <c r="H265" t="s">
        <v>1471</v>
      </c>
      <c r="I265">
        <v>12900</v>
      </c>
      <c r="J265">
        <v>0</v>
      </c>
      <c r="K265">
        <v>200</v>
      </c>
      <c r="L265">
        <v>50</v>
      </c>
      <c r="M265">
        <v>1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Y265">
        <v>0</v>
      </c>
      <c r="Z265">
        <v>0</v>
      </c>
      <c r="AA265">
        <v>0</v>
      </c>
      <c r="AB265" t="s">
        <v>1887</v>
      </c>
      <c r="AC265" t="s">
        <v>1699</v>
      </c>
      <c r="AD265" s="18" t="s">
        <v>2061</v>
      </c>
      <c r="AE265" t="s">
        <v>4</v>
      </c>
      <c r="AF265" t="s">
        <v>1</v>
      </c>
      <c r="AG265" t="s">
        <v>1</v>
      </c>
      <c r="AH265" t="s">
        <v>2665</v>
      </c>
      <c r="AI265" t="s">
        <v>3098</v>
      </c>
      <c r="AJ265" t="s">
        <v>1</v>
      </c>
      <c r="AK265">
        <v>9331043766</v>
      </c>
      <c r="AL265" t="s">
        <v>1</v>
      </c>
      <c r="AM265" t="s">
        <v>1</v>
      </c>
      <c r="AN265" t="s">
        <v>1</v>
      </c>
      <c r="AO265" t="s">
        <v>2665</v>
      </c>
      <c r="AP265" t="s">
        <v>1</v>
      </c>
      <c r="AQ265" t="s">
        <v>2</v>
      </c>
      <c r="AR265" t="s">
        <v>3</v>
      </c>
      <c r="AS265" t="s">
        <v>3</v>
      </c>
      <c r="AT265" t="s">
        <v>3</v>
      </c>
      <c r="AU265" t="s">
        <v>3</v>
      </c>
      <c r="AV265" t="s">
        <v>3</v>
      </c>
      <c r="AW265" t="s">
        <v>11</v>
      </c>
      <c r="AX265">
        <f>Tabla1[[#This Row],[precio del paquete]]-Tabla1[[#This Row],[Saldo_Deudor]]</f>
        <v>9800</v>
      </c>
      <c r="AY265">
        <v>3100</v>
      </c>
      <c r="AZ265" t="s">
        <v>1</v>
      </c>
      <c r="BA265" t="s">
        <v>1</v>
      </c>
      <c r="BB265" t="s">
        <v>1</v>
      </c>
      <c r="BC265" t="s">
        <v>1387</v>
      </c>
      <c r="BD265" t="s">
        <v>1397</v>
      </c>
      <c r="BE265" t="s">
        <v>3</v>
      </c>
      <c r="BF265" t="s">
        <v>3</v>
      </c>
      <c r="BG265" t="s">
        <v>3</v>
      </c>
      <c r="BH265" t="s">
        <v>3</v>
      </c>
      <c r="BI265" t="s">
        <v>3</v>
      </c>
      <c r="BJ265" t="s">
        <v>3377</v>
      </c>
      <c r="BK265" t="s">
        <v>3</v>
      </c>
      <c r="BL265" t="s">
        <v>132</v>
      </c>
      <c r="BM265" t="s">
        <v>1</v>
      </c>
      <c r="BN265">
        <f>Tabla1[[#This Row],[precio del paquete]]</f>
        <v>12900</v>
      </c>
      <c r="BO265" t="s">
        <v>1</v>
      </c>
      <c r="BP265" t="s">
        <v>1</v>
      </c>
      <c r="BQ265" t="s">
        <v>1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0</v>
      </c>
      <c r="BX265" t="s">
        <v>1</v>
      </c>
      <c r="BY265" t="s">
        <v>1</v>
      </c>
      <c r="BZ265" t="s">
        <v>1</v>
      </c>
      <c r="CA265" t="s">
        <v>1</v>
      </c>
      <c r="CB265" t="s">
        <v>3382</v>
      </c>
      <c r="CD265" t="str" cm="1">
        <f t="array" aca="1" ref="CD265" ca="1">eConcatenar(A265:CB265,"|")</f>
        <v>iowGau6Gxb9SWBKj|PAR2019-0948|3|IMPERIAL DE LUJO|TABASCO|PARAISO|PARAISO|2019-05-02|12900|0|200|50|1|0|0|0|0|0|0|0|0|0|0||0|0|0|GALLEGOS|CORDOVA|DERTONIRA|SOLTERO|X|X|CARRETERA A CHILTEPEC|POBLADO NICOLAS BRAVO|X|9331043766|X|X|X|CARRETERA A CHILTEPEC|X|LUNES|x|x|x|x|x|DOMICILIO |9800|3100|X|X|X|2022-01-31|2022-02-07|x|x|x|x|x|ZCEYT2126ZYSJM7|x|HOMBRE|X|12900|X|X|X|X|X|X|X|X|CARDENAS|X|X|X|X|FINAL</v>
      </c>
    </row>
    <row r="266" spans="1:82" x14ac:dyDescent="0.25">
      <c r="A266" t="s">
        <v>646</v>
      </c>
      <c r="B266" t="s">
        <v>647</v>
      </c>
      <c r="C266">
        <v>3</v>
      </c>
      <c r="D266" t="s">
        <v>1369</v>
      </c>
      <c r="E266" t="s">
        <v>1380</v>
      </c>
      <c r="F266" t="s">
        <v>1385</v>
      </c>
      <c r="G266" t="s">
        <v>1385</v>
      </c>
      <c r="H266" t="s">
        <v>1472</v>
      </c>
      <c r="I266">
        <v>14800</v>
      </c>
      <c r="J266">
        <v>0</v>
      </c>
      <c r="K266">
        <v>50</v>
      </c>
      <c r="L266">
        <v>50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Y266">
        <v>0</v>
      </c>
      <c r="Z266">
        <v>0</v>
      </c>
      <c r="AA266">
        <v>0</v>
      </c>
      <c r="AB266" t="s">
        <v>2062</v>
      </c>
      <c r="AC266" t="s">
        <v>1711</v>
      </c>
      <c r="AD266" s="18" t="s">
        <v>2063</v>
      </c>
      <c r="AE266" t="s">
        <v>4</v>
      </c>
      <c r="AF266" t="s">
        <v>1</v>
      </c>
      <c r="AG266" t="s">
        <v>1</v>
      </c>
      <c r="AH266" t="s">
        <v>2666</v>
      </c>
      <c r="AI266" t="s">
        <v>3098</v>
      </c>
      <c r="AJ266" t="s">
        <v>1</v>
      </c>
      <c r="AK266">
        <v>9331585558</v>
      </c>
      <c r="AL266" t="s">
        <v>1</v>
      </c>
      <c r="AM266" t="s">
        <v>1</v>
      </c>
      <c r="AN266" t="s">
        <v>1</v>
      </c>
      <c r="AO266" t="s">
        <v>2666</v>
      </c>
      <c r="AP266" t="s">
        <v>1</v>
      </c>
      <c r="AQ266" t="s">
        <v>2</v>
      </c>
      <c r="AR266" t="s">
        <v>3</v>
      </c>
      <c r="AS266" t="s">
        <v>3</v>
      </c>
      <c r="AT266" t="s">
        <v>3</v>
      </c>
      <c r="AU266" t="s">
        <v>3</v>
      </c>
      <c r="AV266" t="s">
        <v>3</v>
      </c>
      <c r="AW266" t="s">
        <v>11</v>
      </c>
      <c r="AX266">
        <f>Tabla1[[#This Row],[precio del paquete]]-Tabla1[[#This Row],[Saldo_Deudor]]</f>
        <v>450</v>
      </c>
      <c r="AY266">
        <v>14350</v>
      </c>
      <c r="AZ266" t="s">
        <v>1</v>
      </c>
      <c r="BA266" t="s">
        <v>1</v>
      </c>
      <c r="BB266" t="s">
        <v>1</v>
      </c>
      <c r="BC266" t="s">
        <v>1387</v>
      </c>
      <c r="BD266" t="s">
        <v>1397</v>
      </c>
      <c r="BE266" t="s">
        <v>3</v>
      </c>
      <c r="BF266" t="s">
        <v>3</v>
      </c>
      <c r="BG266" t="s">
        <v>3</v>
      </c>
      <c r="BH266" t="s">
        <v>3</v>
      </c>
      <c r="BI266" t="s">
        <v>3</v>
      </c>
      <c r="BJ266" t="s">
        <v>3377</v>
      </c>
      <c r="BK266" t="s">
        <v>3</v>
      </c>
      <c r="BL266" t="s">
        <v>132</v>
      </c>
      <c r="BM266" t="s">
        <v>1</v>
      </c>
      <c r="BN266">
        <f>Tabla1[[#This Row],[precio del paquete]]</f>
        <v>14800</v>
      </c>
      <c r="BO266" t="s">
        <v>1</v>
      </c>
      <c r="BP266" t="s">
        <v>1</v>
      </c>
      <c r="BQ266" t="s">
        <v>1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0</v>
      </c>
      <c r="BX266" t="s">
        <v>1</v>
      </c>
      <c r="BY266" t="s">
        <v>1</v>
      </c>
      <c r="BZ266" t="s">
        <v>1</v>
      </c>
      <c r="CA266" t="s">
        <v>1</v>
      </c>
      <c r="CB266" t="s">
        <v>3382</v>
      </c>
      <c r="CD266" t="str" cm="1">
        <f t="array" aca="1" ref="CD266" ca="1">eConcatenar(A266:CB266,"|")</f>
        <v>MhYURWZHRx6iJ2am|PAR2022-0124|3|MEMORIAL|TABASCO|PARAISO|PARAISO|2022-01-07|14800|0|50|50|1|0|0|0|0|0|0|0|0|0|0||0|0|0|OCHOA|HERNANDEZ|MARTHA JAZMIN|SOLTERO|X|X|NICOLAS BRAVO TERCERA SECCION|POBLADO NICOLAS BRAVO|X|9331585558|X|X|X|NICOLAS BRAVO TERCERA SECCION|X|LUNES|x|x|x|x|x|DOMICILIO |450|14350|X|X|X|2022-01-31|2022-02-07|x|x|x|x|x|ZCEYT2126ZYSJM7|x|HOMBRE|X|14800|X|X|X|X|X|X|X|X|CARDENAS|X|X|X|X|FINAL</v>
      </c>
    </row>
    <row r="267" spans="1:82" x14ac:dyDescent="0.25">
      <c r="A267" t="s">
        <v>648</v>
      </c>
      <c r="B267" t="s">
        <v>649</v>
      </c>
      <c r="C267">
        <v>3</v>
      </c>
      <c r="D267" t="s">
        <v>1369</v>
      </c>
      <c r="E267" t="s">
        <v>1380</v>
      </c>
      <c r="F267" t="s">
        <v>1385</v>
      </c>
      <c r="G267" t="s">
        <v>1385</v>
      </c>
      <c r="H267" t="s">
        <v>1473</v>
      </c>
      <c r="I267">
        <v>14800</v>
      </c>
      <c r="J267">
        <v>0</v>
      </c>
      <c r="K267">
        <v>100</v>
      </c>
      <c r="L267">
        <v>50</v>
      </c>
      <c r="M267">
        <v>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Y267">
        <v>0</v>
      </c>
      <c r="Z267">
        <v>0</v>
      </c>
      <c r="AA267">
        <v>0</v>
      </c>
      <c r="AB267" t="s">
        <v>1887</v>
      </c>
      <c r="AC267" t="s">
        <v>2064</v>
      </c>
      <c r="AD267" t="s">
        <v>2065</v>
      </c>
      <c r="AE267" t="s">
        <v>4</v>
      </c>
      <c r="AF267" t="s">
        <v>1</v>
      </c>
      <c r="AG267" t="s">
        <v>1</v>
      </c>
      <c r="AH267" t="s">
        <v>2667</v>
      </c>
      <c r="AI267" t="s">
        <v>3098</v>
      </c>
      <c r="AJ267" t="s">
        <v>1</v>
      </c>
      <c r="AK267">
        <v>9331216154</v>
      </c>
      <c r="AL267" t="s">
        <v>1</v>
      </c>
      <c r="AM267" t="s">
        <v>1</v>
      </c>
      <c r="AN267" t="s">
        <v>1</v>
      </c>
      <c r="AO267" t="s">
        <v>2667</v>
      </c>
      <c r="AP267" t="s">
        <v>1</v>
      </c>
      <c r="AQ267" t="s">
        <v>2</v>
      </c>
      <c r="AR267" t="s">
        <v>3</v>
      </c>
      <c r="AS267" t="s">
        <v>3</v>
      </c>
      <c r="AT267" t="s">
        <v>3</v>
      </c>
      <c r="AU267" t="s">
        <v>3</v>
      </c>
      <c r="AV267" t="s">
        <v>3</v>
      </c>
      <c r="AW267" t="s">
        <v>11</v>
      </c>
      <c r="AX267">
        <f>Tabla1[[#This Row],[precio del paquete]]-Tabla1[[#This Row],[Saldo_Deudor]]</f>
        <v>500</v>
      </c>
      <c r="AY267">
        <v>14300</v>
      </c>
      <c r="AZ267" t="s">
        <v>1</v>
      </c>
      <c r="BA267" t="s">
        <v>1</v>
      </c>
      <c r="BB267" t="s">
        <v>1</v>
      </c>
      <c r="BC267" t="s">
        <v>1387</v>
      </c>
      <c r="BD267" t="s">
        <v>1397</v>
      </c>
      <c r="BE267" t="s">
        <v>3</v>
      </c>
      <c r="BF267" t="s">
        <v>3</v>
      </c>
      <c r="BG267" t="s">
        <v>3</v>
      </c>
      <c r="BH267" t="s">
        <v>3</v>
      </c>
      <c r="BI267" t="s">
        <v>3</v>
      </c>
      <c r="BJ267" t="s">
        <v>3377</v>
      </c>
      <c r="BK267" t="s">
        <v>3</v>
      </c>
      <c r="BL267" t="s">
        <v>132</v>
      </c>
      <c r="BM267" t="s">
        <v>1</v>
      </c>
      <c r="BN267">
        <f>Tabla1[[#This Row],[precio del paquete]]</f>
        <v>14800</v>
      </c>
      <c r="BO267" t="s">
        <v>1</v>
      </c>
      <c r="BP267" t="s">
        <v>1</v>
      </c>
      <c r="BQ267" t="s">
        <v>1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0</v>
      </c>
      <c r="BX267" t="s">
        <v>1</v>
      </c>
      <c r="BY267" t="s">
        <v>1</v>
      </c>
      <c r="BZ267" t="s">
        <v>1</v>
      </c>
      <c r="CA267" t="s">
        <v>1</v>
      </c>
      <c r="CB267" t="s">
        <v>3382</v>
      </c>
      <c r="CD267" t="str" cm="1">
        <f t="array" aca="1" ref="CD267" ca="1">eConcatenar(A267:CB267,"|")</f>
        <v>8Qu8vfIP7g1uLly2|PAR2022-0128|3|MEMORIAL|TABASCO|PARAISO|PARAISO|2021-01-08|14800|0|100|50|1|0|0|0|0|0|0|0|0|0|0||0|0|0|GALLEGOS|MONTIEL|ROSSANA|SOLTERO|X|X|ENTRADA LOS CAÑALES SIN NUMERO|POBLADO NICOLAS BRAVO|X|9331216154|X|X|X|ENTRADA LOS CAÑALES SIN NUMERO|X|LUNES|x|x|x|x|x|DOMICILIO |500|14300|X|X|X|2022-01-31|2022-02-07|x|x|x|x|x|ZCEYT2126ZYSJM7|x|HOMBRE|X|14800|X|X|X|X|X|X|X|X|CARDENAS|X|X|X|X|FINAL</v>
      </c>
    </row>
    <row r="268" spans="1:82" x14ac:dyDescent="0.25">
      <c r="A268" t="s">
        <v>650</v>
      </c>
      <c r="B268" t="s">
        <v>651</v>
      </c>
      <c r="C268">
        <v>3</v>
      </c>
      <c r="D268" t="s">
        <v>1372</v>
      </c>
      <c r="E268" t="s">
        <v>1380</v>
      </c>
      <c r="F268" t="s">
        <v>1385</v>
      </c>
      <c r="G268" t="s">
        <v>1385</v>
      </c>
      <c r="H268" t="s">
        <v>1474</v>
      </c>
      <c r="I268">
        <v>12900</v>
      </c>
      <c r="J268">
        <v>0</v>
      </c>
      <c r="K268">
        <v>100</v>
      </c>
      <c r="L268">
        <v>50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Y268">
        <v>0</v>
      </c>
      <c r="Z268">
        <v>0</v>
      </c>
      <c r="AA268">
        <v>0</v>
      </c>
      <c r="AB268" t="s">
        <v>1699</v>
      </c>
      <c r="AC268" t="s">
        <v>1713</v>
      </c>
      <c r="AD268" t="s">
        <v>2066</v>
      </c>
      <c r="AE268" t="s">
        <v>4</v>
      </c>
      <c r="AF268" t="s">
        <v>1</v>
      </c>
      <c r="AG268" t="s">
        <v>1</v>
      </c>
      <c r="AH268" t="s">
        <v>2603</v>
      </c>
      <c r="AI268" t="s">
        <v>3099</v>
      </c>
      <c r="AJ268" t="s">
        <v>1</v>
      </c>
      <c r="AK268">
        <v>9331028858</v>
      </c>
      <c r="AL268" t="s">
        <v>1</v>
      </c>
      <c r="AM268" t="s">
        <v>1</v>
      </c>
      <c r="AN268" t="s">
        <v>1</v>
      </c>
      <c r="AO268" t="s">
        <v>2603</v>
      </c>
      <c r="AP268" t="s">
        <v>1</v>
      </c>
      <c r="AQ268" t="s">
        <v>2</v>
      </c>
      <c r="AR268" t="s">
        <v>3</v>
      </c>
      <c r="AS268" t="s">
        <v>3</v>
      </c>
      <c r="AT268" t="s">
        <v>3</v>
      </c>
      <c r="AU268" t="s">
        <v>3</v>
      </c>
      <c r="AV268" t="s">
        <v>3</v>
      </c>
      <c r="AW268" t="s">
        <v>11</v>
      </c>
      <c r="AX268">
        <f>Tabla1[[#This Row],[precio del paquete]]-Tabla1[[#This Row],[Saldo_Deudor]]</f>
        <v>10600</v>
      </c>
      <c r="AY268">
        <v>2300</v>
      </c>
      <c r="AZ268" t="s">
        <v>1</v>
      </c>
      <c r="BA268" t="s">
        <v>1</v>
      </c>
      <c r="BB268" t="s">
        <v>1</v>
      </c>
      <c r="BC268" t="s">
        <v>1387</v>
      </c>
      <c r="BD268" t="s">
        <v>1397</v>
      </c>
      <c r="BE268" t="s">
        <v>3</v>
      </c>
      <c r="BF268" t="s">
        <v>3</v>
      </c>
      <c r="BG268" t="s">
        <v>3</v>
      </c>
      <c r="BH268" t="s">
        <v>3</v>
      </c>
      <c r="BI268" t="s">
        <v>3</v>
      </c>
      <c r="BJ268" t="s">
        <v>3377</v>
      </c>
      <c r="BK268" t="s">
        <v>3</v>
      </c>
      <c r="BL268" t="s">
        <v>132</v>
      </c>
      <c r="BM268" t="s">
        <v>1</v>
      </c>
      <c r="BN268">
        <f>Tabla1[[#This Row],[precio del paquete]]</f>
        <v>12900</v>
      </c>
      <c r="BO268" t="s">
        <v>1</v>
      </c>
      <c r="BP268" t="s">
        <v>1</v>
      </c>
      <c r="BQ268" t="s">
        <v>1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0</v>
      </c>
      <c r="BX268" t="s">
        <v>1</v>
      </c>
      <c r="BY268" t="s">
        <v>1</v>
      </c>
      <c r="BZ268" t="s">
        <v>1</v>
      </c>
      <c r="CA268" t="s">
        <v>1</v>
      </c>
      <c r="CB268" t="s">
        <v>3382</v>
      </c>
      <c r="CD268" t="str" cm="1">
        <f t="array" aca="1" ref="CD268" ca="1">eConcatenar(A268:CB268,"|")</f>
        <v>Wr9IODl17M4O27Ls|PAR2019-0739|3|IMPERIAL DE LUJO|TABASCO|PARAISO|PARAISO|2019-04-09|12900|0|100|50|1|0|0|0|0|0|0|0|0|0|0||0|0|0|CORDOVA|DE LA CRUZ|ANTONIO|SOLTERO|X|X|CARRETERA PRINCIPAL |EJIDO EL ANGEL|X|9331028858|X|X|X|CARRETERA PRINCIPAL |X|LUNES|x|x|x|x|x|DOMICILIO |10600|2300|X|X|X|2022-01-31|2022-02-07|x|x|x|x|x|ZCEYT2126ZYSJM7|x|HOMBRE|X|12900|X|X|X|X|X|X|X|X|CARDENAS|X|X|X|X|FINAL</v>
      </c>
    </row>
    <row r="269" spans="1:82" x14ac:dyDescent="0.25">
      <c r="A269" t="s">
        <v>652</v>
      </c>
      <c r="B269" t="s">
        <v>653</v>
      </c>
      <c r="C269">
        <v>3</v>
      </c>
      <c r="D269" t="s">
        <v>1372</v>
      </c>
      <c r="E269" t="s">
        <v>1380</v>
      </c>
      <c r="F269" t="s">
        <v>1384</v>
      </c>
      <c r="G269" t="s">
        <v>1384</v>
      </c>
      <c r="H269" t="s">
        <v>1475</v>
      </c>
      <c r="I269">
        <v>12900</v>
      </c>
      <c r="J269">
        <v>0</v>
      </c>
      <c r="K269">
        <v>100</v>
      </c>
      <c r="L269">
        <v>50</v>
      </c>
      <c r="M269">
        <v>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Y269">
        <v>0</v>
      </c>
      <c r="Z269">
        <v>0</v>
      </c>
      <c r="AA269">
        <v>0</v>
      </c>
      <c r="AB269" t="s">
        <v>1693</v>
      </c>
      <c r="AC269" t="s">
        <v>1731</v>
      </c>
      <c r="AD269" t="s">
        <v>2067</v>
      </c>
      <c r="AE269" t="s">
        <v>4</v>
      </c>
      <c r="AF269" t="s">
        <v>1</v>
      </c>
      <c r="AG269" t="s">
        <v>1</v>
      </c>
      <c r="AH269" t="s">
        <v>2668</v>
      </c>
      <c r="AI269" t="s">
        <v>3100</v>
      </c>
      <c r="AJ269" t="s">
        <v>1</v>
      </c>
      <c r="AK269">
        <v>9331563872</v>
      </c>
      <c r="AL269" t="s">
        <v>1</v>
      </c>
      <c r="AM269" t="s">
        <v>1</v>
      </c>
      <c r="AN269" t="s">
        <v>1</v>
      </c>
      <c r="AO269" t="s">
        <v>2668</v>
      </c>
      <c r="AP269" t="s">
        <v>1</v>
      </c>
      <c r="AQ269" t="s">
        <v>2</v>
      </c>
      <c r="AR269" t="s">
        <v>3</v>
      </c>
      <c r="AS269" t="s">
        <v>3</v>
      </c>
      <c r="AT269" t="s">
        <v>3</v>
      </c>
      <c r="AU269" t="s">
        <v>3</v>
      </c>
      <c r="AV269" t="s">
        <v>3</v>
      </c>
      <c r="AW269" t="s">
        <v>11</v>
      </c>
      <c r="AX269">
        <f>Tabla1[[#This Row],[precio del paquete]]-Tabla1[[#This Row],[Saldo_Deudor]]</f>
        <v>3750</v>
      </c>
      <c r="AY269">
        <v>9150</v>
      </c>
      <c r="AZ269" t="s">
        <v>1</v>
      </c>
      <c r="BA269" t="s">
        <v>1</v>
      </c>
      <c r="BB269" t="s">
        <v>1</v>
      </c>
      <c r="BC269" t="s">
        <v>1402</v>
      </c>
      <c r="BD269" t="s">
        <v>1405</v>
      </c>
      <c r="BE269" t="s">
        <v>3</v>
      </c>
      <c r="BF269" t="s">
        <v>3</v>
      </c>
      <c r="BG269" t="s">
        <v>3</v>
      </c>
      <c r="BH269" t="s">
        <v>3</v>
      </c>
      <c r="BI269" t="s">
        <v>3</v>
      </c>
      <c r="BJ269" t="s">
        <v>3377</v>
      </c>
      <c r="BK269" t="s">
        <v>3</v>
      </c>
      <c r="BL269" t="s">
        <v>132</v>
      </c>
      <c r="BM269" t="s">
        <v>1</v>
      </c>
      <c r="BN269">
        <f>Tabla1[[#This Row],[precio del paquete]]</f>
        <v>12900</v>
      </c>
      <c r="BO269" t="s">
        <v>1</v>
      </c>
      <c r="BP269" t="s">
        <v>1</v>
      </c>
      <c r="BQ269" t="s">
        <v>1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0</v>
      </c>
      <c r="BX269" t="s">
        <v>1</v>
      </c>
      <c r="BY269" t="s">
        <v>1</v>
      </c>
      <c r="BZ269" t="s">
        <v>1</v>
      </c>
      <c r="CA269" t="s">
        <v>1</v>
      </c>
      <c r="CB269" t="s">
        <v>3382</v>
      </c>
      <c r="CD269" t="str" cm="1">
        <f t="array" aca="1" ref="CD269" ca="1">eConcatenar(A269:CB269,"|")</f>
        <v>p5hxQKgy69C5Eekc|COM2020-3199|3|IMPERIAL DE LUJO|TABASCO|COMALCALCO|COMALCALCO|2020-12-09|12900|0|100|50|1|0|0|0|0|0|0|0|0|0|0||0|0|0|RODRIGUEZ|GARCIA|RODER|SOLTERO|X|X|RANCHERIA SUR SEGUNDA SECCION |RANCHERIA SUR SEGUNDA SECCION|X|9331563872|X|X|X|RANCHERIA SUR SEGUNDA SECCION |X|LUNES|x|x|x|x|x|DOMICILIO |3750|9150|X|X|X|2022-02-08|2022-02-15|x|x|x|x|x|ZCEYT2126ZYSJM7|x|HOMBRE|X|12900|X|X|X|X|X|X|X|X|CARDENAS|X|X|X|X|FINAL</v>
      </c>
    </row>
    <row r="270" spans="1:82" x14ac:dyDescent="0.25">
      <c r="A270" t="s">
        <v>654</v>
      </c>
      <c r="B270" t="s">
        <v>655</v>
      </c>
      <c r="C270">
        <v>3</v>
      </c>
      <c r="D270" t="s">
        <v>1372</v>
      </c>
      <c r="E270" t="s">
        <v>1380</v>
      </c>
      <c r="F270" t="s">
        <v>1385</v>
      </c>
      <c r="G270" t="s">
        <v>1385</v>
      </c>
      <c r="H270" t="s">
        <v>1476</v>
      </c>
      <c r="I270">
        <v>12900</v>
      </c>
      <c r="J270">
        <v>0</v>
      </c>
      <c r="K270">
        <v>100</v>
      </c>
      <c r="L270">
        <v>50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Y270">
        <v>0</v>
      </c>
      <c r="Z270">
        <v>0</v>
      </c>
      <c r="AA270">
        <v>0</v>
      </c>
      <c r="AB270" t="s">
        <v>1699</v>
      </c>
      <c r="AC270" t="s">
        <v>2068</v>
      </c>
      <c r="AD270" t="s">
        <v>2069</v>
      </c>
      <c r="AE270" t="s">
        <v>4</v>
      </c>
      <c r="AF270" t="s">
        <v>1</v>
      </c>
      <c r="AG270" t="s">
        <v>1</v>
      </c>
      <c r="AH270" t="s">
        <v>2669</v>
      </c>
      <c r="AI270" t="s">
        <v>3101</v>
      </c>
      <c r="AJ270" t="s">
        <v>1</v>
      </c>
      <c r="AK270">
        <v>9331530326</v>
      </c>
      <c r="AL270" t="s">
        <v>1</v>
      </c>
      <c r="AM270" t="s">
        <v>1</v>
      </c>
      <c r="AN270" t="s">
        <v>1</v>
      </c>
      <c r="AO270" t="s">
        <v>2669</v>
      </c>
      <c r="AP270" t="s">
        <v>1</v>
      </c>
      <c r="AQ270" t="s">
        <v>2</v>
      </c>
      <c r="AR270" t="s">
        <v>3</v>
      </c>
      <c r="AS270" t="s">
        <v>3</v>
      </c>
      <c r="AT270" t="s">
        <v>3</v>
      </c>
      <c r="AU270" t="s">
        <v>3</v>
      </c>
      <c r="AV270" t="s">
        <v>3</v>
      </c>
      <c r="AW270" t="s">
        <v>11</v>
      </c>
      <c r="AX270">
        <f>Tabla1[[#This Row],[precio del paquete]]-Tabla1[[#This Row],[Saldo_Deudor]]</f>
        <v>6490</v>
      </c>
      <c r="AY270">
        <v>6410</v>
      </c>
      <c r="AZ270" t="s">
        <v>1</v>
      </c>
      <c r="BA270" t="s">
        <v>1</v>
      </c>
      <c r="BB270" t="s">
        <v>1</v>
      </c>
      <c r="BC270" t="s">
        <v>1389</v>
      </c>
      <c r="BD270" t="s">
        <v>1402</v>
      </c>
      <c r="BE270" t="s">
        <v>3</v>
      </c>
      <c r="BF270" t="s">
        <v>3</v>
      </c>
      <c r="BG270" t="s">
        <v>3</v>
      </c>
      <c r="BH270" t="s">
        <v>3</v>
      </c>
      <c r="BI270" t="s">
        <v>3</v>
      </c>
      <c r="BJ270" t="s">
        <v>3377</v>
      </c>
      <c r="BK270" t="s">
        <v>3</v>
      </c>
      <c r="BL270" t="s">
        <v>132</v>
      </c>
      <c r="BM270" t="s">
        <v>1</v>
      </c>
      <c r="BN270">
        <f>Tabla1[[#This Row],[precio del paquete]]</f>
        <v>12900</v>
      </c>
      <c r="BO270" t="s">
        <v>1</v>
      </c>
      <c r="BP270" t="s">
        <v>1</v>
      </c>
      <c r="BQ270" t="s">
        <v>1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0</v>
      </c>
      <c r="BX270" t="s">
        <v>1</v>
      </c>
      <c r="BY270" t="s">
        <v>1</v>
      </c>
      <c r="BZ270" t="s">
        <v>1</v>
      </c>
      <c r="CA270" t="s">
        <v>1</v>
      </c>
      <c r="CB270" t="s">
        <v>3382</v>
      </c>
      <c r="CD270" t="str" cm="1">
        <f t="array" aca="1" ref="CD270" ca="1">eConcatenar(A270:CB270,"|")</f>
        <v>NXtCjaeylmsnTuWN|PAR2019-0773|3|IMPERIAL DE LUJO|TABASCO|PARAISO|PARAISO|2019-04-13|12900|0|100|50|1|0|0|0|0|0|0|0|0|0|0||0|0|0|CORDOVA|SEGOVIA|LUISA|SOLTERO|X|X|EJIDO ORIENTE |EJIDO ORIENTE|X|9331530326|X|X|X|EJIDO ORIENTE |X|LUNES|x|x|x|x|x|DOMICILIO |6490|6410|X|X|X|2022-02-01|2022-02-08|x|x|x|x|x|ZCEYT2126ZYSJM7|x|HOMBRE|X|12900|X|X|X|X|X|X|X|X|CARDENAS|X|X|X|X|FINAL</v>
      </c>
    </row>
    <row r="271" spans="1:82" x14ac:dyDescent="0.25">
      <c r="A271" t="s">
        <v>656</v>
      </c>
      <c r="B271" t="s">
        <v>657</v>
      </c>
      <c r="C271">
        <v>3</v>
      </c>
      <c r="D271" t="s">
        <v>1372</v>
      </c>
      <c r="E271" t="s">
        <v>1380</v>
      </c>
      <c r="F271" t="s">
        <v>1382</v>
      </c>
      <c r="G271" t="s">
        <v>1382</v>
      </c>
      <c r="H271" t="s">
        <v>1477</v>
      </c>
      <c r="I271">
        <v>12900</v>
      </c>
      <c r="J271">
        <v>0</v>
      </c>
      <c r="K271">
        <v>100</v>
      </c>
      <c r="L271">
        <v>50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Y271">
        <v>0</v>
      </c>
      <c r="Z271">
        <v>0</v>
      </c>
      <c r="AA271">
        <v>0</v>
      </c>
      <c r="AB271" t="s">
        <v>1713</v>
      </c>
      <c r="AC271" t="s">
        <v>1699</v>
      </c>
      <c r="AD271" t="s">
        <v>1775</v>
      </c>
      <c r="AE271" t="s">
        <v>4</v>
      </c>
      <c r="AF271" t="s">
        <v>1</v>
      </c>
      <c r="AG271" t="s">
        <v>1</v>
      </c>
      <c r="AH271" t="s">
        <v>2670</v>
      </c>
      <c r="AI271" t="s">
        <v>3102</v>
      </c>
      <c r="AJ271" t="s">
        <v>1</v>
      </c>
      <c r="AK271">
        <v>9331644019</v>
      </c>
      <c r="AL271" t="s">
        <v>1</v>
      </c>
      <c r="AM271" t="s">
        <v>1</v>
      </c>
      <c r="AN271" t="s">
        <v>1</v>
      </c>
      <c r="AO271" t="s">
        <v>2670</v>
      </c>
      <c r="AP271" t="s">
        <v>1</v>
      </c>
      <c r="AQ271" t="s">
        <v>2</v>
      </c>
      <c r="AR271" t="s">
        <v>3</v>
      </c>
      <c r="AS271" t="s">
        <v>3</v>
      </c>
      <c r="AT271" t="s">
        <v>3</v>
      </c>
      <c r="AU271" t="s">
        <v>3</v>
      </c>
      <c r="AV271" t="s">
        <v>3</v>
      </c>
      <c r="AW271" t="s">
        <v>11</v>
      </c>
      <c r="AX271">
        <f>Tabla1[[#This Row],[precio del paquete]]-Tabla1[[#This Row],[Saldo_Deudor]]</f>
        <v>10100</v>
      </c>
      <c r="AY271">
        <v>2800</v>
      </c>
      <c r="AZ271" t="s">
        <v>1</v>
      </c>
      <c r="BA271" t="s">
        <v>1</v>
      </c>
      <c r="BB271" t="s">
        <v>1</v>
      </c>
      <c r="BC271" t="s">
        <v>1389</v>
      </c>
      <c r="BD271" t="s">
        <v>1402</v>
      </c>
      <c r="BE271" t="s">
        <v>3</v>
      </c>
      <c r="BF271" t="s">
        <v>3</v>
      </c>
      <c r="BG271" t="s">
        <v>3</v>
      </c>
      <c r="BH271" t="s">
        <v>3</v>
      </c>
      <c r="BI271" t="s">
        <v>3</v>
      </c>
      <c r="BJ271" t="s">
        <v>3377</v>
      </c>
      <c r="BK271" t="s">
        <v>3</v>
      </c>
      <c r="BL271" t="s">
        <v>132</v>
      </c>
      <c r="BM271" t="s">
        <v>1</v>
      </c>
      <c r="BN271">
        <f>Tabla1[[#This Row],[precio del paquete]]</f>
        <v>12900</v>
      </c>
      <c r="BO271" t="s">
        <v>1</v>
      </c>
      <c r="BP271" t="s">
        <v>1</v>
      </c>
      <c r="BQ271" t="s">
        <v>1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0</v>
      </c>
      <c r="BX271" t="s">
        <v>1</v>
      </c>
      <c r="BY271" t="s">
        <v>1</v>
      </c>
      <c r="BZ271" t="s">
        <v>1</v>
      </c>
      <c r="CA271" t="s">
        <v>1</v>
      </c>
      <c r="CB271" t="s">
        <v>3382</v>
      </c>
      <c r="CD271" t="str" cm="1">
        <f t="array" aca="1" ref="CD271" ca="1">eConcatenar(A271:CB271,"|")</f>
        <v>WwXhXKkQfnVfCYxf|PAR2019-0759|3|IMPERIAL DE LUJO|TABASCO|HUIMANGUILLO|HUIMANGUILLO|2019-04-12|12900|0|100|50|1|0|0|0|0|0|0|0|0|0|0||0|0|0|DE LA CRUZ|CORDOVA|MIRIAM|SOLTERO|X|X|CARRETERA A COMUNAL|EL MANGAL|X|9331644019|X|X|X|CARRETERA A COMUNAL|X|LUNES|x|x|x|x|x|DOMICILIO |10100|2800|X|X|X|2022-02-01|2022-02-08|x|x|x|x|x|ZCEYT2126ZYSJM7|x|HOMBRE|X|12900|X|X|X|X|X|X|X|X|CARDENAS|X|X|X|X|FINAL</v>
      </c>
    </row>
    <row r="272" spans="1:82" x14ac:dyDescent="0.25">
      <c r="A272" t="s">
        <v>658</v>
      </c>
      <c r="B272" t="s">
        <v>659</v>
      </c>
      <c r="C272">
        <v>3</v>
      </c>
      <c r="D272" t="s">
        <v>1372</v>
      </c>
      <c r="E272" t="s">
        <v>1380</v>
      </c>
      <c r="F272" t="s">
        <v>1385</v>
      </c>
      <c r="G272" t="s">
        <v>1385</v>
      </c>
      <c r="H272" t="s">
        <v>1474</v>
      </c>
      <c r="I272">
        <v>12900</v>
      </c>
      <c r="J272">
        <v>0</v>
      </c>
      <c r="K272">
        <v>100</v>
      </c>
      <c r="L272">
        <v>50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Y272">
        <v>0</v>
      </c>
      <c r="Z272">
        <v>0</v>
      </c>
      <c r="AA272">
        <v>0</v>
      </c>
      <c r="AB272" t="s">
        <v>1783</v>
      </c>
      <c r="AC272" t="s">
        <v>1731</v>
      </c>
      <c r="AD272" t="s">
        <v>1876</v>
      </c>
      <c r="AE272" t="s">
        <v>4</v>
      </c>
      <c r="AF272" t="s">
        <v>1</v>
      </c>
      <c r="AG272" t="s">
        <v>1</v>
      </c>
      <c r="AH272" t="s">
        <v>2669</v>
      </c>
      <c r="AI272" t="s">
        <v>3101</v>
      </c>
      <c r="AJ272" t="s">
        <v>1</v>
      </c>
      <c r="AK272">
        <v>9331538563</v>
      </c>
      <c r="AL272" t="s">
        <v>1</v>
      </c>
      <c r="AM272" t="s">
        <v>1</v>
      </c>
      <c r="AN272" t="s">
        <v>1</v>
      </c>
      <c r="AO272" t="s">
        <v>2669</v>
      </c>
      <c r="AP272" t="s">
        <v>1</v>
      </c>
      <c r="AQ272" t="s">
        <v>2</v>
      </c>
      <c r="AR272" t="s">
        <v>3</v>
      </c>
      <c r="AS272" t="s">
        <v>3</v>
      </c>
      <c r="AT272" t="s">
        <v>3</v>
      </c>
      <c r="AU272" t="s">
        <v>3</v>
      </c>
      <c r="AV272" t="s">
        <v>3</v>
      </c>
      <c r="AW272" t="s">
        <v>11</v>
      </c>
      <c r="AX272">
        <f>Tabla1[[#This Row],[precio del paquete]]-Tabla1[[#This Row],[Saldo_Deudor]]</f>
        <v>11350</v>
      </c>
      <c r="AY272">
        <v>1550</v>
      </c>
      <c r="AZ272" t="s">
        <v>1</v>
      </c>
      <c r="BA272" t="s">
        <v>1</v>
      </c>
      <c r="BB272" t="s">
        <v>1</v>
      </c>
      <c r="BC272" t="s">
        <v>1389</v>
      </c>
      <c r="BD272" t="s">
        <v>1402</v>
      </c>
      <c r="BE272" t="s">
        <v>3</v>
      </c>
      <c r="BF272" t="s">
        <v>3</v>
      </c>
      <c r="BG272" t="s">
        <v>3</v>
      </c>
      <c r="BH272" t="s">
        <v>3</v>
      </c>
      <c r="BI272" t="s">
        <v>3</v>
      </c>
      <c r="BJ272" t="s">
        <v>3377</v>
      </c>
      <c r="BK272" t="s">
        <v>3</v>
      </c>
      <c r="BL272" t="s">
        <v>132</v>
      </c>
      <c r="BM272" t="s">
        <v>1</v>
      </c>
      <c r="BN272">
        <f>Tabla1[[#This Row],[precio del paquete]]</f>
        <v>12900</v>
      </c>
      <c r="BO272" t="s">
        <v>1</v>
      </c>
      <c r="BP272" t="s">
        <v>1</v>
      </c>
      <c r="BQ272" t="s">
        <v>1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0</v>
      </c>
      <c r="BX272" t="s">
        <v>1</v>
      </c>
      <c r="BY272" t="s">
        <v>1</v>
      </c>
      <c r="BZ272" t="s">
        <v>1</v>
      </c>
      <c r="CA272" t="s">
        <v>1</v>
      </c>
      <c r="CB272" t="s">
        <v>3382</v>
      </c>
      <c r="CD272" t="str" cm="1">
        <f t="array" aca="1" ref="CD272" ca="1">eConcatenar(A272:CB272,"|")</f>
        <v>sTHNjy1uia6PWHaA|COM2019-0743|3|IMPERIAL DE LUJO|TABASCO|PARAISO|PARAISO|2019-04-09|12900|0|100|50|1|0|0|0|0|0|0|0|0|0|0||0|0|0|MENDEZ|GARCIA|ALICIA|SOLTERO|X|X|EJIDO ORIENTE |EJIDO ORIENTE|X|9331538563|X|X|X|EJIDO ORIENTE |X|LUNES|x|x|x|x|x|DOMICILIO |11350|1550|X|X|X|2022-02-01|2022-02-08|x|x|x|x|x|ZCEYT2126ZYSJM7|x|HOMBRE|X|12900|X|X|X|X|X|X|X|X|CARDENAS|X|X|X|X|FINAL</v>
      </c>
    </row>
    <row r="273" spans="1:82" x14ac:dyDescent="0.25">
      <c r="A273" t="s">
        <v>660</v>
      </c>
      <c r="B273" t="s">
        <v>661</v>
      </c>
      <c r="C273">
        <v>3</v>
      </c>
      <c r="D273" t="s">
        <v>1372</v>
      </c>
      <c r="E273" t="s">
        <v>1380</v>
      </c>
      <c r="F273" t="s">
        <v>1384</v>
      </c>
      <c r="G273" t="s">
        <v>1384</v>
      </c>
      <c r="H273" t="s">
        <v>1478</v>
      </c>
      <c r="I273">
        <v>12900</v>
      </c>
      <c r="J273">
        <v>0</v>
      </c>
      <c r="K273">
        <v>200</v>
      </c>
      <c r="L273">
        <v>50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Y273">
        <v>0</v>
      </c>
      <c r="Z273">
        <v>0</v>
      </c>
      <c r="AA273">
        <v>0</v>
      </c>
      <c r="AB273" t="s">
        <v>1748</v>
      </c>
      <c r="AC273" t="s">
        <v>2070</v>
      </c>
      <c r="AD273" t="s">
        <v>2071</v>
      </c>
      <c r="AE273" t="s">
        <v>4</v>
      </c>
      <c r="AF273" t="s">
        <v>1</v>
      </c>
      <c r="AG273" t="s">
        <v>1</v>
      </c>
      <c r="AH273" t="s">
        <v>2671</v>
      </c>
      <c r="AI273" t="s">
        <v>3103</v>
      </c>
      <c r="AJ273" t="s">
        <v>1</v>
      </c>
      <c r="AK273">
        <v>9331306563</v>
      </c>
      <c r="AL273" t="s">
        <v>1</v>
      </c>
      <c r="AM273" t="s">
        <v>1</v>
      </c>
      <c r="AN273" t="s">
        <v>1</v>
      </c>
      <c r="AO273" t="s">
        <v>2671</v>
      </c>
      <c r="AP273" t="s">
        <v>1</v>
      </c>
      <c r="AQ273" t="s">
        <v>2</v>
      </c>
      <c r="AR273" t="s">
        <v>3</v>
      </c>
      <c r="AS273" t="s">
        <v>3</v>
      </c>
      <c r="AT273" t="s">
        <v>3</v>
      </c>
      <c r="AU273" t="s">
        <v>3</v>
      </c>
      <c r="AV273" t="s">
        <v>3</v>
      </c>
      <c r="AW273" t="s">
        <v>11</v>
      </c>
      <c r="AX273">
        <f>Tabla1[[#This Row],[precio del paquete]]-Tabla1[[#This Row],[Saldo_Deudor]]</f>
        <v>5200</v>
      </c>
      <c r="AY273">
        <v>7700</v>
      </c>
      <c r="AZ273" t="s">
        <v>1</v>
      </c>
      <c r="BA273" t="s">
        <v>1</v>
      </c>
      <c r="BB273" t="s">
        <v>1</v>
      </c>
      <c r="BC273" t="s">
        <v>1389</v>
      </c>
      <c r="BD273" t="s">
        <v>1402</v>
      </c>
      <c r="BE273" t="s">
        <v>3</v>
      </c>
      <c r="BF273" t="s">
        <v>3</v>
      </c>
      <c r="BG273" t="s">
        <v>3</v>
      </c>
      <c r="BH273" t="s">
        <v>3</v>
      </c>
      <c r="BI273" t="s">
        <v>3</v>
      </c>
      <c r="BJ273" t="s">
        <v>3377</v>
      </c>
      <c r="BK273" t="s">
        <v>3</v>
      </c>
      <c r="BL273" t="s">
        <v>132</v>
      </c>
      <c r="BM273" t="s">
        <v>1</v>
      </c>
      <c r="BN273">
        <f>Tabla1[[#This Row],[precio del paquete]]</f>
        <v>12900</v>
      </c>
      <c r="BO273" t="s">
        <v>1</v>
      </c>
      <c r="BP273" t="s">
        <v>1</v>
      </c>
      <c r="BQ273" t="s">
        <v>1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0</v>
      </c>
      <c r="BX273" t="s">
        <v>1</v>
      </c>
      <c r="BY273" t="s">
        <v>1</v>
      </c>
      <c r="BZ273" t="s">
        <v>1</v>
      </c>
      <c r="CA273" t="s">
        <v>1</v>
      </c>
      <c r="CB273" t="s">
        <v>3382</v>
      </c>
      <c r="CD273" t="str" cm="1">
        <f t="array" aca="1" ref="CD273" ca="1">eConcatenar(A273:CB273,"|")</f>
        <v>IZtmX71F3wgKHe0d|COM2020-3372|3|IMPERIAL DE LUJO|TABASCO|COMALCALCO|COMALCALCO|2020-12-16|12900|0|200|50|1|0|0|0|0|0|0|0|0|0|0||0|0|0|JIMENEZ|VIOLETA|AMAYA|SOLTERO|X|X|CARRETERA VECINAL COMALCALCO TULIPAN|RANCHERIA SUR QUINTA SECCION |X|9331306563|X|X|X|CARRETERA VECINAL COMALCALCO TULIPAN|X|LUNES|x|x|x|x|x|DOMICILIO |5200|7700|X|X|X|2022-02-01|2022-02-08|x|x|x|x|x|ZCEYT2126ZYSJM7|x|HOMBRE|X|12900|X|X|X|X|X|X|X|X|CARDENAS|X|X|X|X|FINAL</v>
      </c>
    </row>
    <row r="274" spans="1:82" x14ac:dyDescent="0.25">
      <c r="A274" t="s">
        <v>662</v>
      </c>
      <c r="B274" t="s">
        <v>663</v>
      </c>
      <c r="C274">
        <v>3</v>
      </c>
      <c r="D274" t="s">
        <v>1369</v>
      </c>
      <c r="E274" t="s">
        <v>1380</v>
      </c>
      <c r="F274" t="s">
        <v>1384</v>
      </c>
      <c r="G274" t="s">
        <v>1384</v>
      </c>
      <c r="H274" t="s">
        <v>1422</v>
      </c>
      <c r="I274">
        <v>14800</v>
      </c>
      <c r="J274">
        <v>0</v>
      </c>
      <c r="K274">
        <v>100</v>
      </c>
      <c r="L274">
        <v>50</v>
      </c>
      <c r="M274">
        <v>1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Y274">
        <v>0</v>
      </c>
      <c r="Z274">
        <v>0</v>
      </c>
      <c r="AA274">
        <v>0</v>
      </c>
      <c r="AB274" t="s">
        <v>1758</v>
      </c>
      <c r="AC274" t="s">
        <v>1963</v>
      </c>
      <c r="AD274" t="s">
        <v>2072</v>
      </c>
      <c r="AE274" t="s">
        <v>4</v>
      </c>
      <c r="AF274" t="s">
        <v>1</v>
      </c>
      <c r="AG274" t="s">
        <v>1</v>
      </c>
      <c r="AH274" t="s">
        <v>2672</v>
      </c>
      <c r="AI274" t="s">
        <v>2672</v>
      </c>
      <c r="AJ274" t="s">
        <v>1</v>
      </c>
      <c r="AK274">
        <v>9333273678</v>
      </c>
      <c r="AL274" t="s">
        <v>1</v>
      </c>
      <c r="AM274" t="s">
        <v>1</v>
      </c>
      <c r="AN274" t="s">
        <v>1</v>
      </c>
      <c r="AO274" t="s">
        <v>2672</v>
      </c>
      <c r="AP274" t="s">
        <v>1</v>
      </c>
      <c r="AQ274" t="s">
        <v>2</v>
      </c>
      <c r="AR274" t="s">
        <v>3</v>
      </c>
      <c r="AS274" t="s">
        <v>3</v>
      </c>
      <c r="AT274" t="s">
        <v>3</v>
      </c>
      <c r="AU274" t="s">
        <v>3</v>
      </c>
      <c r="AV274" t="s">
        <v>3</v>
      </c>
      <c r="AW274" t="s">
        <v>11</v>
      </c>
      <c r="AX274">
        <f>Tabla1[[#This Row],[precio del paquete]]-Tabla1[[#This Row],[Saldo_Deudor]]</f>
        <v>2400</v>
      </c>
      <c r="AY274">
        <v>12400</v>
      </c>
      <c r="AZ274" t="s">
        <v>1</v>
      </c>
      <c r="BA274" t="s">
        <v>1</v>
      </c>
      <c r="BB274" t="s">
        <v>1</v>
      </c>
      <c r="BC274" t="s">
        <v>1389</v>
      </c>
      <c r="BD274" t="s">
        <v>1402</v>
      </c>
      <c r="BE274" t="s">
        <v>3</v>
      </c>
      <c r="BF274" t="s">
        <v>3</v>
      </c>
      <c r="BG274" t="s">
        <v>3</v>
      </c>
      <c r="BH274" t="s">
        <v>3</v>
      </c>
      <c r="BI274" t="s">
        <v>3</v>
      </c>
      <c r="BJ274" t="s">
        <v>3377</v>
      </c>
      <c r="BK274" t="s">
        <v>3</v>
      </c>
      <c r="BL274" t="s">
        <v>132</v>
      </c>
      <c r="BM274" t="s">
        <v>1</v>
      </c>
      <c r="BN274">
        <f>Tabla1[[#This Row],[precio del paquete]]</f>
        <v>14800</v>
      </c>
      <c r="BO274" t="s">
        <v>1</v>
      </c>
      <c r="BP274" t="s">
        <v>1</v>
      </c>
      <c r="BQ274" t="s">
        <v>1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0</v>
      </c>
      <c r="BX274" t="s">
        <v>1</v>
      </c>
      <c r="BY274" t="s">
        <v>1</v>
      </c>
      <c r="BZ274" t="s">
        <v>1</v>
      </c>
      <c r="CA274" t="s">
        <v>1</v>
      </c>
      <c r="CB274" t="s">
        <v>3382</v>
      </c>
      <c r="CD274" t="str" cm="1">
        <f t="array" aca="1" ref="CD274" ca="1">eConcatenar(A274:CB274,"|")</f>
        <v>mdcmUcmN3jd0ihzJ|COM2021-3762|3|MEMORIAL|TABASCO|COMALCALCO|COMALCALCO|2021-11-23|14800|0|100|50|1|0|0|0|0|0|0|0|0|0|0||0|0|0|ARIAS|HERRERA|MARTHA ESTELA|SOLTERO|X|X|RANCHERIA SUR PRIMERA SECCION|RANCHERIA SUR PRIMERA SECCION|X|9333273678|X|X|X|RANCHERIA SUR PRIMERA SECCION|X|LUNES|x|x|x|x|x|DOMICILIO |2400|12400|X|X|X|2022-02-01|2022-02-08|x|x|x|x|x|ZCEYT2126ZYSJM7|x|HOMBRE|X|14800|X|X|X|X|X|X|X|X|CARDENAS|X|X|X|X|FINAL</v>
      </c>
    </row>
    <row r="275" spans="1:82" x14ac:dyDescent="0.25">
      <c r="A275" t="s">
        <v>664</v>
      </c>
      <c r="B275" t="s">
        <v>665</v>
      </c>
      <c r="C275">
        <v>3</v>
      </c>
      <c r="D275" t="s">
        <v>1369</v>
      </c>
      <c r="E275" t="s">
        <v>1380</v>
      </c>
      <c r="F275" t="s">
        <v>1384</v>
      </c>
      <c r="G275" t="s">
        <v>1384</v>
      </c>
      <c r="H275" t="s">
        <v>1479</v>
      </c>
      <c r="I275">
        <v>14800</v>
      </c>
      <c r="J275">
        <v>0</v>
      </c>
      <c r="K275">
        <v>50</v>
      </c>
      <c r="L275">
        <v>50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Y275">
        <v>0</v>
      </c>
      <c r="Z275">
        <v>0</v>
      </c>
      <c r="AA275">
        <v>0</v>
      </c>
      <c r="AB275" t="s">
        <v>2073</v>
      </c>
      <c r="AC275" t="s">
        <v>2074</v>
      </c>
      <c r="AD275" t="s">
        <v>1991</v>
      </c>
      <c r="AE275" t="s">
        <v>4</v>
      </c>
      <c r="AF275" t="s">
        <v>1</v>
      </c>
      <c r="AG275" t="s">
        <v>1</v>
      </c>
      <c r="AH275" t="s">
        <v>2673</v>
      </c>
      <c r="AI275" t="s">
        <v>2659</v>
      </c>
      <c r="AJ275" t="s">
        <v>1</v>
      </c>
      <c r="AK275">
        <v>9933717915</v>
      </c>
      <c r="AL275" t="s">
        <v>1</v>
      </c>
      <c r="AM275" t="s">
        <v>1</v>
      </c>
      <c r="AN275" t="s">
        <v>1</v>
      </c>
      <c r="AO275" t="s">
        <v>2673</v>
      </c>
      <c r="AP275" t="s">
        <v>1</v>
      </c>
      <c r="AQ275" t="s">
        <v>2</v>
      </c>
      <c r="AR275" t="s">
        <v>3</v>
      </c>
      <c r="AS275" t="s">
        <v>3</v>
      </c>
      <c r="AT275" t="s">
        <v>3</v>
      </c>
      <c r="AU275" t="s">
        <v>3</v>
      </c>
      <c r="AV275" t="s">
        <v>3</v>
      </c>
      <c r="AW275" t="s">
        <v>11</v>
      </c>
      <c r="AX275">
        <f>Tabla1[[#This Row],[precio del paquete]]-Tabla1[[#This Row],[Saldo_Deudor]]</f>
        <v>850</v>
      </c>
      <c r="AY275">
        <v>13950</v>
      </c>
      <c r="AZ275" t="s">
        <v>1</v>
      </c>
      <c r="BA275" t="s">
        <v>1</v>
      </c>
      <c r="BB275" t="s">
        <v>1</v>
      </c>
      <c r="BC275" t="s">
        <v>1389</v>
      </c>
      <c r="BD275" t="s">
        <v>1402</v>
      </c>
      <c r="BE275" t="s">
        <v>3</v>
      </c>
      <c r="BF275" t="s">
        <v>3</v>
      </c>
      <c r="BG275" t="s">
        <v>3</v>
      </c>
      <c r="BH275" t="s">
        <v>3</v>
      </c>
      <c r="BI275" t="s">
        <v>3</v>
      </c>
      <c r="BJ275" t="s">
        <v>3377</v>
      </c>
      <c r="BK275" t="s">
        <v>3</v>
      </c>
      <c r="BL275" t="s">
        <v>132</v>
      </c>
      <c r="BM275" t="s">
        <v>1</v>
      </c>
      <c r="BN275">
        <f>Tabla1[[#This Row],[precio del paquete]]</f>
        <v>14800</v>
      </c>
      <c r="BO275" t="s">
        <v>1</v>
      </c>
      <c r="BP275" t="s">
        <v>1</v>
      </c>
      <c r="BQ275" t="s">
        <v>1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0</v>
      </c>
      <c r="BX275" t="s">
        <v>1</v>
      </c>
      <c r="BY275" t="s">
        <v>1</v>
      </c>
      <c r="BZ275" t="s">
        <v>1</v>
      </c>
      <c r="CA275" t="s">
        <v>1</v>
      </c>
      <c r="CB275" t="s">
        <v>3382</v>
      </c>
      <c r="CD275" t="str" cm="1">
        <f t="array" aca="1" ref="CD275" ca="1">eConcatenar(A275:CB275,"|")</f>
        <v>5sYQAbomoJyRBZdy|COM2021-3773|3|MEMORIAL|TABASCO|COMALCALCO|COMALCALCO|2021-11-24|14800|0|50|50|1|0|0|0|0|0|0|0|0|0|0||0|0|0|ALVAREZ|BARRUETA|VERONICA|SOLTERO|X|X|ENTRADA EL CAMINO AGRARIO SIN NUMERO|RANCHERIA SUR CUARTA SECION|X|9933717915|X|X|X|ENTRADA EL CAMINO AGRARIO SIN NUMERO|X|LUNES|x|x|x|x|x|DOMICILIO |850|13950|X|X|X|2022-02-01|2022-02-08|x|x|x|x|x|ZCEYT2126ZYSJM7|x|HOMBRE|X|14800|X|X|X|X|X|X|X|X|CARDENAS|X|X|X|X|FINAL</v>
      </c>
    </row>
    <row r="276" spans="1:82" x14ac:dyDescent="0.25">
      <c r="A276" t="s">
        <v>666</v>
      </c>
      <c r="B276" t="s">
        <v>667</v>
      </c>
      <c r="C276">
        <v>3</v>
      </c>
      <c r="D276" t="s">
        <v>1369</v>
      </c>
      <c r="E276" t="s">
        <v>1380</v>
      </c>
      <c r="F276" t="s">
        <v>1384</v>
      </c>
      <c r="G276" t="s">
        <v>1384</v>
      </c>
      <c r="H276" t="s">
        <v>1480</v>
      </c>
      <c r="I276">
        <v>14800</v>
      </c>
      <c r="J276">
        <v>0</v>
      </c>
      <c r="K276">
        <v>200</v>
      </c>
      <c r="L276">
        <v>50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Y276">
        <v>0</v>
      </c>
      <c r="Z276">
        <v>0</v>
      </c>
      <c r="AA276">
        <v>0</v>
      </c>
      <c r="AB276" t="s">
        <v>2075</v>
      </c>
      <c r="AC276" t="s">
        <v>2076</v>
      </c>
      <c r="AD276" t="s">
        <v>2077</v>
      </c>
      <c r="AE276" t="s">
        <v>4</v>
      </c>
      <c r="AF276" t="s">
        <v>1</v>
      </c>
      <c r="AG276" t="s">
        <v>1</v>
      </c>
      <c r="AH276" t="s">
        <v>2674</v>
      </c>
      <c r="AI276" t="s">
        <v>2672</v>
      </c>
      <c r="AJ276" t="s">
        <v>1</v>
      </c>
      <c r="AK276">
        <v>9331018733</v>
      </c>
      <c r="AL276" t="s">
        <v>1</v>
      </c>
      <c r="AM276" t="s">
        <v>1</v>
      </c>
      <c r="AN276" t="s">
        <v>1</v>
      </c>
      <c r="AO276" t="s">
        <v>2674</v>
      </c>
      <c r="AP276" t="s">
        <v>1</v>
      </c>
      <c r="AQ276" t="s">
        <v>2</v>
      </c>
      <c r="AR276" t="s">
        <v>3</v>
      </c>
      <c r="AS276" t="s">
        <v>3</v>
      </c>
      <c r="AT276" t="s">
        <v>3</v>
      </c>
      <c r="AU276" t="s">
        <v>3</v>
      </c>
      <c r="AV276" t="s">
        <v>3</v>
      </c>
      <c r="AW276" t="s">
        <v>11</v>
      </c>
      <c r="AX276">
        <f>Tabla1[[#This Row],[precio del paquete]]-Tabla1[[#This Row],[Saldo_Deudor]]</f>
        <v>1000</v>
      </c>
      <c r="AY276">
        <v>13800</v>
      </c>
      <c r="AZ276" t="s">
        <v>1</v>
      </c>
      <c r="BA276" t="s">
        <v>1</v>
      </c>
      <c r="BB276" t="s">
        <v>1</v>
      </c>
      <c r="BC276" t="s">
        <v>1389</v>
      </c>
      <c r="BD276" t="s">
        <v>1402</v>
      </c>
      <c r="BE276" t="s">
        <v>3</v>
      </c>
      <c r="BF276" t="s">
        <v>3</v>
      </c>
      <c r="BG276" t="s">
        <v>3</v>
      </c>
      <c r="BH276" t="s">
        <v>3</v>
      </c>
      <c r="BI276" t="s">
        <v>3</v>
      </c>
      <c r="BJ276" t="s">
        <v>3377</v>
      </c>
      <c r="BK276" t="s">
        <v>3</v>
      </c>
      <c r="BL276" t="s">
        <v>132</v>
      </c>
      <c r="BM276" t="s">
        <v>1</v>
      </c>
      <c r="BN276">
        <f>Tabla1[[#This Row],[precio del paquete]]</f>
        <v>14800</v>
      </c>
      <c r="BO276" t="s">
        <v>1</v>
      </c>
      <c r="BP276" t="s">
        <v>1</v>
      </c>
      <c r="BQ276" t="s">
        <v>1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0</v>
      </c>
      <c r="BX276" t="s">
        <v>1</v>
      </c>
      <c r="BY276" t="s">
        <v>1</v>
      </c>
      <c r="BZ276" t="s">
        <v>1</v>
      </c>
      <c r="CA276" t="s">
        <v>1</v>
      </c>
      <c r="CB276" t="s">
        <v>3382</v>
      </c>
      <c r="CD276" t="str" cm="1">
        <f t="array" aca="1" ref="CD276" ca="1">eConcatenar(A276:CB276,"|")</f>
        <v>p4mOiAeyf0ZYzo3l|  COM2021-3913|3|MEMORIAL|TABASCO|COMALCALCO|COMALCALCO|2021-11-01|14800|0|200|50|1|0|0|0|0|0|0|0|0|0|0||0|0|0|ESCALANTE|MORILLO|APOLONIO|SOLTERO|X|X|CARRETERA VECINAL A TULIPAN SIN NUMERO|RANCHERIA SUR PRIMERA SECCION|X|9331018733|X|X|X|CARRETERA VECINAL A TULIPAN SIN NUMERO|X|LUNES|x|x|x|x|x|DOMICILIO |1000|13800|X|X|X|2022-02-01|2022-02-08|x|x|x|x|x|ZCEYT2126ZYSJM7|x|HOMBRE|X|14800|X|X|X|X|X|X|X|X|CARDENAS|X|X|X|X|FINAL</v>
      </c>
    </row>
    <row r="277" spans="1:82" x14ac:dyDescent="0.25">
      <c r="A277" t="s">
        <v>668</v>
      </c>
      <c r="B277" t="s">
        <v>669</v>
      </c>
      <c r="C277">
        <v>3</v>
      </c>
      <c r="D277" t="s">
        <v>1372</v>
      </c>
      <c r="E277" t="s">
        <v>1380</v>
      </c>
      <c r="F277" t="s">
        <v>1384</v>
      </c>
      <c r="G277" t="s">
        <v>1384</v>
      </c>
      <c r="H277" t="s">
        <v>1481</v>
      </c>
      <c r="I277">
        <v>12900</v>
      </c>
      <c r="J277">
        <v>0</v>
      </c>
      <c r="K277">
        <v>100</v>
      </c>
      <c r="L277">
        <v>50</v>
      </c>
      <c r="M277">
        <v>1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Y277">
        <v>0</v>
      </c>
      <c r="Z277">
        <v>0</v>
      </c>
      <c r="AA277">
        <v>0</v>
      </c>
      <c r="AB277" t="s">
        <v>1713</v>
      </c>
      <c r="AC277" t="s">
        <v>1719</v>
      </c>
      <c r="AD277" t="s">
        <v>2078</v>
      </c>
      <c r="AE277" t="s">
        <v>4</v>
      </c>
      <c r="AF277" t="s">
        <v>1</v>
      </c>
      <c r="AG277" t="s">
        <v>1</v>
      </c>
      <c r="AH277" t="s">
        <v>2675</v>
      </c>
      <c r="AI277" t="s">
        <v>3097</v>
      </c>
      <c r="AJ277" t="s">
        <v>1</v>
      </c>
      <c r="AK277">
        <v>9331068284</v>
      </c>
      <c r="AL277" t="s">
        <v>1</v>
      </c>
      <c r="AM277" t="s">
        <v>1</v>
      </c>
      <c r="AN277" t="s">
        <v>1</v>
      </c>
      <c r="AO277" t="s">
        <v>2675</v>
      </c>
      <c r="AP277" t="s">
        <v>1</v>
      </c>
      <c r="AQ277" t="s">
        <v>2</v>
      </c>
      <c r="AR277" t="s">
        <v>3</v>
      </c>
      <c r="AS277" t="s">
        <v>3</v>
      </c>
      <c r="AT277" t="s">
        <v>3</v>
      </c>
      <c r="AU277" t="s">
        <v>3</v>
      </c>
      <c r="AV277" t="s">
        <v>3</v>
      </c>
      <c r="AW277" t="s">
        <v>11</v>
      </c>
      <c r="AX277">
        <f>Tabla1[[#This Row],[precio del paquete]]-Tabla1[[#This Row],[Saldo_Deudor]]</f>
        <v>4800</v>
      </c>
      <c r="AY277">
        <v>8100</v>
      </c>
      <c r="AZ277" t="s">
        <v>1</v>
      </c>
      <c r="BA277" t="s">
        <v>1</v>
      </c>
      <c r="BB277" t="s">
        <v>1</v>
      </c>
      <c r="BC277" t="s">
        <v>3273</v>
      </c>
      <c r="BD277" t="s">
        <v>3324</v>
      </c>
      <c r="BE277" t="s">
        <v>3</v>
      </c>
      <c r="BF277" t="s">
        <v>3</v>
      </c>
      <c r="BG277" t="s">
        <v>3</v>
      </c>
      <c r="BH277" t="s">
        <v>3</v>
      </c>
      <c r="BI277" t="s">
        <v>3</v>
      </c>
      <c r="BJ277" t="s">
        <v>3377</v>
      </c>
      <c r="BK277" t="s">
        <v>3</v>
      </c>
      <c r="BL277" t="s">
        <v>132</v>
      </c>
      <c r="BM277" t="s">
        <v>1</v>
      </c>
      <c r="BN277">
        <f>Tabla1[[#This Row],[precio del paquete]]</f>
        <v>12900</v>
      </c>
      <c r="BO277" t="s">
        <v>1</v>
      </c>
      <c r="BP277" t="s">
        <v>1</v>
      </c>
      <c r="BQ277" t="s">
        <v>1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0</v>
      </c>
      <c r="BX277" t="s">
        <v>1</v>
      </c>
      <c r="BY277" t="s">
        <v>1</v>
      </c>
      <c r="BZ277" t="s">
        <v>1</v>
      </c>
      <c r="CA277" t="s">
        <v>1</v>
      </c>
      <c r="CB277" t="s">
        <v>3382</v>
      </c>
      <c r="CD277" t="str" cm="1">
        <f t="array" aca="1" ref="CD277" ca="1">eConcatenar(A277:CB277,"|")</f>
        <v>44DDktyAT764iI2q|COM2020-3324|3|IMPERIAL DE LUJO|TABASCO|COMALCALCO|COMALCALCO|2020-12-12|12900|0|100|50|1|0|0|0|0|0|0|0|0|0|0||0|0|0|DE LA CRUZ|PALMA|AURORA|SOLTERO|X|X|CALLE CAYETANO|RANCHERIA ORIENTE SEGUNDA SECCION |X|9331068284|X|X|X|CALLE CAYETANO|X|LUNES|x|x|x|x|x|DOMICILIO |4800|8100|X|X|X|2022-01-18|2022-01-25|x|x|x|x|x|ZCEYT2126ZYSJM7|x|HOMBRE|X|12900|X|X|X|X|X|X|X|X|CARDENAS|X|X|X|X|FINAL</v>
      </c>
    </row>
    <row r="278" spans="1:82" x14ac:dyDescent="0.25">
      <c r="A278" t="s">
        <v>670</v>
      </c>
      <c r="B278" t="s">
        <v>671</v>
      </c>
      <c r="C278">
        <v>3</v>
      </c>
      <c r="D278" t="s">
        <v>1372</v>
      </c>
      <c r="E278" t="s">
        <v>1380</v>
      </c>
      <c r="F278" t="s">
        <v>1384</v>
      </c>
      <c r="G278" t="s">
        <v>1384</v>
      </c>
      <c r="H278" t="s">
        <v>1476</v>
      </c>
      <c r="I278">
        <v>12900</v>
      </c>
      <c r="J278">
        <v>0</v>
      </c>
      <c r="K278">
        <v>100</v>
      </c>
      <c r="L278">
        <v>50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Y278">
        <v>0</v>
      </c>
      <c r="Z278">
        <v>0</v>
      </c>
      <c r="AA278">
        <v>0</v>
      </c>
      <c r="AB278" t="s">
        <v>1758</v>
      </c>
      <c r="AC278" t="s">
        <v>2079</v>
      </c>
      <c r="AD278" t="s">
        <v>2080</v>
      </c>
      <c r="AE278" t="s">
        <v>4</v>
      </c>
      <c r="AF278" t="s">
        <v>1</v>
      </c>
      <c r="AG278" t="s">
        <v>1</v>
      </c>
      <c r="AH278" t="s">
        <v>2676</v>
      </c>
      <c r="AI278" t="s">
        <v>3104</v>
      </c>
      <c r="AJ278" t="s">
        <v>1</v>
      </c>
      <c r="AK278">
        <v>9331680938</v>
      </c>
      <c r="AL278" t="s">
        <v>1</v>
      </c>
      <c r="AM278" t="s">
        <v>1</v>
      </c>
      <c r="AN278" t="s">
        <v>1</v>
      </c>
      <c r="AO278" t="s">
        <v>2676</v>
      </c>
      <c r="AP278" t="s">
        <v>1</v>
      </c>
      <c r="AQ278" t="s">
        <v>2</v>
      </c>
      <c r="AR278" t="s">
        <v>3</v>
      </c>
      <c r="AS278" t="s">
        <v>3</v>
      </c>
      <c r="AT278" t="s">
        <v>3</v>
      </c>
      <c r="AU278" t="s">
        <v>3</v>
      </c>
      <c r="AV278" t="s">
        <v>3</v>
      </c>
      <c r="AW278" t="s">
        <v>11</v>
      </c>
      <c r="AX278">
        <f>Tabla1[[#This Row],[precio del paquete]]-Tabla1[[#This Row],[Saldo_Deudor]]</f>
        <v>6400</v>
      </c>
      <c r="AY278">
        <v>6500</v>
      </c>
      <c r="AZ278" t="s">
        <v>1</v>
      </c>
      <c r="BA278" t="s">
        <v>1</v>
      </c>
      <c r="BB278" t="s">
        <v>1</v>
      </c>
      <c r="BC278" t="s">
        <v>3274</v>
      </c>
      <c r="BD278" t="s">
        <v>3325</v>
      </c>
      <c r="BE278" t="s">
        <v>3</v>
      </c>
      <c r="BF278" t="s">
        <v>3</v>
      </c>
      <c r="BG278" t="s">
        <v>3</v>
      </c>
      <c r="BH278" t="s">
        <v>3</v>
      </c>
      <c r="BI278" t="s">
        <v>3</v>
      </c>
      <c r="BJ278" t="s">
        <v>3377</v>
      </c>
      <c r="BK278" t="s">
        <v>3</v>
      </c>
      <c r="BL278" t="s">
        <v>132</v>
      </c>
      <c r="BM278" t="s">
        <v>1</v>
      </c>
      <c r="BN278">
        <f>Tabla1[[#This Row],[precio del paquete]]</f>
        <v>12900</v>
      </c>
      <c r="BO278" t="s">
        <v>1</v>
      </c>
      <c r="BP278" t="s">
        <v>1</v>
      </c>
      <c r="BQ278" t="s">
        <v>1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0</v>
      </c>
      <c r="BX278" t="s">
        <v>1</v>
      </c>
      <c r="BY278" t="s">
        <v>1</v>
      </c>
      <c r="BZ278" t="s">
        <v>1</v>
      </c>
      <c r="CA278" t="s">
        <v>1</v>
      </c>
      <c r="CB278" t="s">
        <v>3382</v>
      </c>
      <c r="CD278" t="str" cm="1">
        <f t="array" aca="1" ref="CD278" ca="1">eConcatenar(A278:CB278,"|")</f>
        <v>4zlB8427YFB9vryQ|COM2019-0765|3|IMPERIAL DE LUJO|TABASCO|COMALCALCO|COMALCALCO|2019-04-13|12900|0|100|50|1|0|0|0|0|0|0|0|0|0|0||0|0|0|ARIAS|VICENTE|ISIDRA|SOLTERO|X|X|CALLE ROSANDO TARACONA|VILLA CHICHICAPA|X|9331680938|X|X|X|CALLE ROSANDO TARACONA|X|LUNES|x|x|x|x|x|DOMICILIO |6400|6500|X|X|X|2021-04-19|2021-04-26|x|x|x|x|x|ZCEYT2126ZYSJM7|x|HOMBRE|X|12900|X|X|X|X|X|X|X|X|CARDENAS|X|X|X|X|FINAL</v>
      </c>
    </row>
    <row r="279" spans="1:82" x14ac:dyDescent="0.25">
      <c r="A279" t="s">
        <v>672</v>
      </c>
      <c r="B279" t="s">
        <v>673</v>
      </c>
      <c r="C279">
        <v>3</v>
      </c>
      <c r="D279" t="s">
        <v>1372</v>
      </c>
      <c r="E279" t="s">
        <v>1380</v>
      </c>
      <c r="F279" t="s">
        <v>1384</v>
      </c>
      <c r="G279" t="s">
        <v>1384</v>
      </c>
      <c r="H279" t="s">
        <v>1478</v>
      </c>
      <c r="I279">
        <v>12900</v>
      </c>
      <c r="J279">
        <v>0</v>
      </c>
      <c r="K279">
        <v>200</v>
      </c>
      <c r="L279">
        <v>50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Y279">
        <v>0</v>
      </c>
      <c r="Z279">
        <v>0</v>
      </c>
      <c r="AA279">
        <v>0</v>
      </c>
      <c r="AB279" t="s">
        <v>2035</v>
      </c>
      <c r="AC279" t="s">
        <v>1731</v>
      </c>
      <c r="AD279" t="s">
        <v>2081</v>
      </c>
      <c r="AE279" t="s">
        <v>4</v>
      </c>
      <c r="AF279" t="s">
        <v>1</v>
      </c>
      <c r="AG279" t="s">
        <v>1</v>
      </c>
      <c r="AH279" t="s">
        <v>2677</v>
      </c>
      <c r="AI279" t="s">
        <v>3105</v>
      </c>
      <c r="AJ279" t="s">
        <v>1</v>
      </c>
      <c r="AK279">
        <v>9381762219</v>
      </c>
      <c r="AL279" t="s">
        <v>1</v>
      </c>
      <c r="AM279" t="s">
        <v>1</v>
      </c>
      <c r="AN279" t="s">
        <v>1</v>
      </c>
      <c r="AO279" t="s">
        <v>2677</v>
      </c>
      <c r="AP279" t="s">
        <v>1</v>
      </c>
      <c r="AQ279" t="s">
        <v>2</v>
      </c>
      <c r="AR279" t="s">
        <v>3</v>
      </c>
      <c r="AS279" t="s">
        <v>3</v>
      </c>
      <c r="AT279" t="s">
        <v>3</v>
      </c>
      <c r="AU279" t="s">
        <v>3</v>
      </c>
      <c r="AV279" t="s">
        <v>3</v>
      </c>
      <c r="AW279" t="s">
        <v>11</v>
      </c>
      <c r="AX279">
        <f>Tabla1[[#This Row],[precio del paquete]]-Tabla1[[#This Row],[Saldo_Deudor]]</f>
        <v>600</v>
      </c>
      <c r="AY279">
        <v>12300</v>
      </c>
      <c r="AZ279" t="s">
        <v>1</v>
      </c>
      <c r="BA279" t="s">
        <v>1</v>
      </c>
      <c r="BB279" t="s">
        <v>1</v>
      </c>
      <c r="BC279" t="s">
        <v>3275</v>
      </c>
      <c r="BD279" t="s">
        <v>3326</v>
      </c>
      <c r="BE279" t="s">
        <v>3</v>
      </c>
      <c r="BF279" t="s">
        <v>3</v>
      </c>
      <c r="BG279" t="s">
        <v>3</v>
      </c>
      <c r="BH279" t="s">
        <v>3</v>
      </c>
      <c r="BI279" t="s">
        <v>3</v>
      </c>
      <c r="BJ279" t="s">
        <v>3377</v>
      </c>
      <c r="BK279" t="s">
        <v>3</v>
      </c>
      <c r="BL279" t="s">
        <v>132</v>
      </c>
      <c r="BM279" t="s">
        <v>1</v>
      </c>
      <c r="BN279">
        <f>Tabla1[[#This Row],[precio del paquete]]</f>
        <v>12900</v>
      </c>
      <c r="BO279" t="s">
        <v>1</v>
      </c>
      <c r="BP279" t="s">
        <v>1</v>
      </c>
      <c r="BQ279" t="s">
        <v>1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0</v>
      </c>
      <c r="BX279" t="s">
        <v>1</v>
      </c>
      <c r="BY279" t="s">
        <v>1</v>
      </c>
      <c r="BZ279" t="s">
        <v>1</v>
      </c>
      <c r="CA279" t="s">
        <v>1</v>
      </c>
      <c r="CB279" t="s">
        <v>3382</v>
      </c>
      <c r="CD279" t="str" cm="1">
        <f t="array" aca="1" ref="CD279" ca="1">eConcatenar(A279:CB279,"|")</f>
        <v>59mUfVjjQycwKvp2|COM2020-3373|3|IMPERIAL DE LUJO|TABASCO|COMALCALCO|COMALCALCO|2020-12-16|12900|0|200|50|1|0|0|0|0|0|0|0|0|0|0||0|0|0|ALCUDIA|GARCIA|AMALIA|SOLTERO|X|X|CARRETERA A LA IGLESIA CATOLICA|RANCHERIA SUR TERCERA SECCION |X|9381762219|X|X|X|CARRETERA A LA IGLESIA CATOLICA|X|LUNES|x|x|x|x|x|DOMICILIO |600|12300|X|X|X|2021-01-05|2021-01-12|x|x|x|x|x|ZCEYT2126ZYSJM7|x|HOMBRE|X|12900|X|X|X|X|X|X|X|X|CARDENAS|X|X|X|X|FINAL</v>
      </c>
    </row>
    <row r="280" spans="1:82" x14ac:dyDescent="0.25">
      <c r="A280" t="s">
        <v>674</v>
      </c>
      <c r="B280" t="s">
        <v>675</v>
      </c>
      <c r="C280">
        <v>3</v>
      </c>
      <c r="D280" t="s">
        <v>1372</v>
      </c>
      <c r="E280" t="s">
        <v>1380</v>
      </c>
      <c r="F280" t="s">
        <v>1384</v>
      </c>
      <c r="G280" t="s">
        <v>1384</v>
      </c>
      <c r="H280" t="s">
        <v>1482</v>
      </c>
      <c r="I280">
        <v>12900</v>
      </c>
      <c r="J280">
        <v>0</v>
      </c>
      <c r="K280">
        <v>100</v>
      </c>
      <c r="L280">
        <v>50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Y280">
        <v>0</v>
      </c>
      <c r="Z280">
        <v>0</v>
      </c>
      <c r="AA280">
        <v>0</v>
      </c>
      <c r="AB280" t="s">
        <v>1693</v>
      </c>
      <c r="AC280" t="s">
        <v>1693</v>
      </c>
      <c r="AD280" t="s">
        <v>2082</v>
      </c>
      <c r="AE280" t="s">
        <v>4</v>
      </c>
      <c r="AF280" t="s">
        <v>1</v>
      </c>
      <c r="AG280" t="s">
        <v>1</v>
      </c>
      <c r="AH280" t="s">
        <v>2678</v>
      </c>
      <c r="AI280" t="s">
        <v>2678</v>
      </c>
      <c r="AJ280" t="s">
        <v>1</v>
      </c>
      <c r="AK280">
        <v>9331030692</v>
      </c>
      <c r="AL280" t="s">
        <v>1</v>
      </c>
      <c r="AM280" t="s">
        <v>1</v>
      </c>
      <c r="AN280" t="s">
        <v>1</v>
      </c>
      <c r="AO280" t="s">
        <v>2678</v>
      </c>
      <c r="AP280" t="s">
        <v>1</v>
      </c>
      <c r="AQ280" t="s">
        <v>2</v>
      </c>
      <c r="AR280" t="s">
        <v>3</v>
      </c>
      <c r="AS280" t="s">
        <v>3</v>
      </c>
      <c r="AT280" t="s">
        <v>3</v>
      </c>
      <c r="AU280" t="s">
        <v>3</v>
      </c>
      <c r="AV280" t="s">
        <v>3</v>
      </c>
      <c r="AW280" t="s">
        <v>11</v>
      </c>
      <c r="AX280">
        <f>Tabla1[[#This Row],[precio del paquete]]-Tabla1[[#This Row],[Saldo_Deudor]]</f>
        <v>10800</v>
      </c>
      <c r="AY280">
        <v>2100</v>
      </c>
      <c r="AZ280" t="s">
        <v>1</v>
      </c>
      <c r="BA280" t="s">
        <v>1</v>
      </c>
      <c r="BB280" t="s">
        <v>1</v>
      </c>
      <c r="BC280" t="s">
        <v>3251</v>
      </c>
      <c r="BD280" t="s">
        <v>3309</v>
      </c>
      <c r="BE280" t="s">
        <v>3</v>
      </c>
      <c r="BF280" t="s">
        <v>3</v>
      </c>
      <c r="BG280" t="s">
        <v>3</v>
      </c>
      <c r="BH280" t="s">
        <v>3</v>
      </c>
      <c r="BI280" t="s">
        <v>3</v>
      </c>
      <c r="BJ280" t="s">
        <v>3377</v>
      </c>
      <c r="BK280" t="s">
        <v>3</v>
      </c>
      <c r="BL280" t="s">
        <v>132</v>
      </c>
      <c r="BM280" t="s">
        <v>1</v>
      </c>
      <c r="BN280">
        <f>Tabla1[[#This Row],[precio del paquete]]</f>
        <v>12900</v>
      </c>
      <c r="BO280" t="s">
        <v>1</v>
      </c>
      <c r="BP280" t="s">
        <v>1</v>
      </c>
      <c r="BQ280" t="s">
        <v>1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0</v>
      </c>
      <c r="BX280" t="s">
        <v>1</v>
      </c>
      <c r="BY280" t="s">
        <v>1</v>
      </c>
      <c r="BZ280" t="s">
        <v>1</v>
      </c>
      <c r="CA280" t="s">
        <v>1</v>
      </c>
      <c r="CB280" t="s">
        <v>3382</v>
      </c>
      <c r="CD280" t="str" cm="1">
        <f t="array" aca="1" ref="CD280" ca="1">eConcatenar(A280:CB280,"|")</f>
        <v>0IGkDlkZulcl8RNF|COM2019-2661|3|IMPERIAL DE LUJO|TABASCO|COMALCALCO|COMALCALCO|2019-10-01|12900|0|100|50|0|0|0|0|0|0|0|0|0|0|0||0|0|0|RODRIGUEZ|RODRIGUEZ|CONCEPCION|SOLTERO|X|X|RANCHERIA ORIENTE SEXTA|RANCHERIA ORIENTE SEXTA|X|9331030692|X|X|X|RANCHERIA ORIENTE SEXTA|X|LUNES|x|x|x|x|x|DOMICILIO |10800|2100|X|X|X|2022-02-22|2022-03-01|x|x|x|x|x|ZCEYT2126ZYSJM7|x|HOMBRE|X|12900|X|X|X|X|X|X|X|X|CARDENAS|X|X|X|X|FINAL</v>
      </c>
    </row>
    <row r="281" spans="1:82" x14ac:dyDescent="0.25">
      <c r="A281" t="s">
        <v>676</v>
      </c>
      <c r="B281" t="s">
        <v>677</v>
      </c>
      <c r="C281">
        <v>3</v>
      </c>
      <c r="D281" t="s">
        <v>1369</v>
      </c>
      <c r="E281" t="s">
        <v>1380</v>
      </c>
      <c r="F281" t="s">
        <v>1384</v>
      </c>
      <c r="G281" t="s">
        <v>1384</v>
      </c>
      <c r="H281" t="s">
        <v>1483</v>
      </c>
      <c r="I281">
        <v>14800</v>
      </c>
      <c r="J281">
        <v>0</v>
      </c>
      <c r="K281">
        <v>200</v>
      </c>
      <c r="L281">
        <v>50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Y281">
        <v>0</v>
      </c>
      <c r="Z281">
        <v>0</v>
      </c>
      <c r="AA281">
        <v>0</v>
      </c>
      <c r="AB281" t="s">
        <v>1731</v>
      </c>
      <c r="AC281" t="s">
        <v>1711</v>
      </c>
      <c r="AD281" t="s">
        <v>2083</v>
      </c>
      <c r="AE281" t="s">
        <v>4</v>
      </c>
      <c r="AF281" t="s">
        <v>1</v>
      </c>
      <c r="AG281" t="s">
        <v>1</v>
      </c>
      <c r="AH281" t="s">
        <v>2671</v>
      </c>
      <c r="AI281" t="s">
        <v>3106</v>
      </c>
      <c r="AJ281" t="s">
        <v>1</v>
      </c>
      <c r="AK281">
        <v>9331548189</v>
      </c>
      <c r="AL281" t="s">
        <v>1</v>
      </c>
      <c r="AM281" t="s">
        <v>1</v>
      </c>
      <c r="AN281" t="s">
        <v>1</v>
      </c>
      <c r="AO281" t="s">
        <v>2671</v>
      </c>
      <c r="AP281" t="s">
        <v>1</v>
      </c>
      <c r="AQ281" t="s">
        <v>2</v>
      </c>
      <c r="AR281" t="s">
        <v>3</v>
      </c>
      <c r="AS281" t="s">
        <v>3</v>
      </c>
      <c r="AT281" t="s">
        <v>3</v>
      </c>
      <c r="AU281" t="s">
        <v>3</v>
      </c>
      <c r="AV281" t="s">
        <v>3</v>
      </c>
      <c r="AW281" t="s">
        <v>11</v>
      </c>
      <c r="AX281">
        <f>Tabla1[[#This Row],[precio del paquete]]-Tabla1[[#This Row],[Saldo_Deudor]]</f>
        <v>4900</v>
      </c>
      <c r="AY281">
        <v>9900</v>
      </c>
      <c r="AZ281" t="s">
        <v>1</v>
      </c>
      <c r="BA281" t="s">
        <v>1</v>
      </c>
      <c r="BB281" t="s">
        <v>1</v>
      </c>
      <c r="BC281" t="s">
        <v>3251</v>
      </c>
      <c r="BD281" t="s">
        <v>3309</v>
      </c>
      <c r="BE281" t="s">
        <v>3</v>
      </c>
      <c r="BF281" t="s">
        <v>3</v>
      </c>
      <c r="BG281" t="s">
        <v>3</v>
      </c>
      <c r="BH281" t="s">
        <v>3</v>
      </c>
      <c r="BI281" t="s">
        <v>3</v>
      </c>
      <c r="BJ281" t="s">
        <v>3377</v>
      </c>
      <c r="BK281" t="s">
        <v>3</v>
      </c>
      <c r="BL281" t="s">
        <v>132</v>
      </c>
      <c r="BM281" t="s">
        <v>1</v>
      </c>
      <c r="BN281">
        <f>Tabla1[[#This Row],[precio del paquete]]</f>
        <v>14800</v>
      </c>
      <c r="BO281" t="s">
        <v>1</v>
      </c>
      <c r="BP281" t="s">
        <v>1</v>
      </c>
      <c r="BQ281" t="s">
        <v>1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0</v>
      </c>
      <c r="BX281" t="s">
        <v>1</v>
      </c>
      <c r="BY281" t="s">
        <v>1</v>
      </c>
      <c r="BZ281" t="s">
        <v>1</v>
      </c>
      <c r="CA281" t="s">
        <v>1</v>
      </c>
      <c r="CB281" t="s">
        <v>3382</v>
      </c>
      <c r="CD281" t="str" cm="1">
        <f t="array" aca="1" ref="CD281" ca="1">eConcatenar(A281:CB281,"|")</f>
        <v>0uPFTu90HIolP3eA|COM2021-2788|3|MEMORIAL|TABASCO|COMALCALCO|COMALCALCO|2021-09-07|14800|0|200|50|0|0|0|0|0|0|0|0|0|0|0||0|0|0|GARCIA|HERNANDEZ|SANDRA|SOLTERO|X|X|CARRETERA VECINAL COMALCALCO TULIPAN|RANCHERIA ZURDA TULIPAN |X|9331548189|X|X|X|CARRETERA VECINAL COMALCALCO TULIPAN|X|LUNES|x|x|x|x|x|DOMICILIO |4900|9900|X|X|X|2022-02-22|2022-03-01|x|x|x|x|x|ZCEYT2126ZYSJM7|x|HOMBRE|X|14800|X|X|X|X|X|X|X|X|CARDENAS|X|X|X|X|FINAL</v>
      </c>
    </row>
    <row r="282" spans="1:82" x14ac:dyDescent="0.25">
      <c r="A282" t="s">
        <v>678</v>
      </c>
      <c r="B282" t="s">
        <v>679</v>
      </c>
      <c r="C282">
        <v>3</v>
      </c>
      <c r="D282" t="s">
        <v>1369</v>
      </c>
      <c r="E282" t="s">
        <v>1380</v>
      </c>
      <c r="F282" t="s">
        <v>1384</v>
      </c>
      <c r="G282" t="s">
        <v>1384</v>
      </c>
      <c r="H282" t="s">
        <v>1484</v>
      </c>
      <c r="I282">
        <v>14800</v>
      </c>
      <c r="J282">
        <v>0</v>
      </c>
      <c r="K282">
        <v>100</v>
      </c>
      <c r="L282">
        <v>50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Y282">
        <v>0</v>
      </c>
      <c r="Z282">
        <v>0</v>
      </c>
      <c r="AA282">
        <v>0</v>
      </c>
      <c r="AB282" t="s">
        <v>1769</v>
      </c>
      <c r="AC282" t="s">
        <v>1699</v>
      </c>
      <c r="AD282" t="s">
        <v>1746</v>
      </c>
      <c r="AE282" t="s">
        <v>4</v>
      </c>
      <c r="AF282" t="s">
        <v>1</v>
      </c>
      <c r="AG282" t="s">
        <v>1</v>
      </c>
      <c r="AH282" t="s">
        <v>2679</v>
      </c>
      <c r="AI282" t="s">
        <v>2672</v>
      </c>
      <c r="AJ282" t="s">
        <v>1</v>
      </c>
      <c r="AK282">
        <v>9331071686</v>
      </c>
      <c r="AL282" t="s">
        <v>1</v>
      </c>
      <c r="AM282" t="s">
        <v>1</v>
      </c>
      <c r="AN282" t="s">
        <v>1</v>
      </c>
      <c r="AO282" t="s">
        <v>2679</v>
      </c>
      <c r="AP282" t="s">
        <v>1</v>
      </c>
      <c r="AQ282" t="s">
        <v>2</v>
      </c>
      <c r="AR282" t="s">
        <v>3</v>
      </c>
      <c r="AS282" t="s">
        <v>3</v>
      </c>
      <c r="AT282" t="s">
        <v>3</v>
      </c>
      <c r="AU282" t="s">
        <v>3</v>
      </c>
      <c r="AV282" t="s">
        <v>3</v>
      </c>
      <c r="AW282" t="s">
        <v>11</v>
      </c>
      <c r="AX282">
        <f>Tabla1[[#This Row],[precio del paquete]]-Tabla1[[#This Row],[Saldo_Deudor]]</f>
        <v>2100</v>
      </c>
      <c r="AY282">
        <v>12700</v>
      </c>
      <c r="AZ282" t="s">
        <v>1</v>
      </c>
      <c r="BA282" t="s">
        <v>1</v>
      </c>
      <c r="BB282" t="s">
        <v>1</v>
      </c>
      <c r="BC282" t="s">
        <v>3251</v>
      </c>
      <c r="BD282" t="s">
        <v>3309</v>
      </c>
      <c r="BE282" t="s">
        <v>3</v>
      </c>
      <c r="BF282" t="s">
        <v>3</v>
      </c>
      <c r="BG282" t="s">
        <v>3</v>
      </c>
      <c r="BH282" t="s">
        <v>3</v>
      </c>
      <c r="BI282" t="s">
        <v>3</v>
      </c>
      <c r="BJ282" t="s">
        <v>3377</v>
      </c>
      <c r="BK282" t="s">
        <v>3</v>
      </c>
      <c r="BL282" t="s">
        <v>132</v>
      </c>
      <c r="BM282" t="s">
        <v>1</v>
      </c>
      <c r="BN282">
        <f>Tabla1[[#This Row],[precio del paquete]]</f>
        <v>14800</v>
      </c>
      <c r="BO282" t="s">
        <v>1</v>
      </c>
      <c r="BP282" t="s">
        <v>1</v>
      </c>
      <c r="BQ282" t="s">
        <v>1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0</v>
      </c>
      <c r="BX282" t="s">
        <v>1</v>
      </c>
      <c r="BY282" t="s">
        <v>1</v>
      </c>
      <c r="BZ282" t="s">
        <v>1</v>
      </c>
      <c r="CA282" t="s">
        <v>1</v>
      </c>
      <c r="CB282" t="s">
        <v>3382</v>
      </c>
      <c r="CD282" t="str" cm="1">
        <f t="array" aca="1" ref="CD282" ca="1">eConcatenar(A282:CB282,"|")</f>
        <v>w2k4rHHdzYqw5wdz|COM2021-3317|3|MEMORIAL|TABASCO|COMALCALCO|COMALCALCO|2021-10-18|14800|0|100|50|0|0|0|0|0|0|0|0|0|0|0||0|0|0|TORRES|CORDOVA|SEBASTIAN|SOLTERO|X|X|CARRETERA VECINAL|RANCHERIA SUR PRIMERA SECCION|X|9331071686|X|X|X|CARRETERA VECINAL|X|LUNES|x|x|x|x|x|DOMICILIO |2100|12700|X|X|X|2022-02-22|2022-03-01|x|x|x|x|x|ZCEYT2126ZYSJM7|x|HOMBRE|X|14800|X|X|X|X|X|X|X|X|CARDENAS|X|X|X|X|FINAL</v>
      </c>
    </row>
    <row r="283" spans="1:82" x14ac:dyDescent="0.25">
      <c r="A283" t="s">
        <v>680</v>
      </c>
      <c r="B283" t="s">
        <v>681</v>
      </c>
      <c r="C283">
        <v>3</v>
      </c>
      <c r="D283" t="s">
        <v>1369</v>
      </c>
      <c r="E283" t="s">
        <v>1380</v>
      </c>
      <c r="F283" t="s">
        <v>1384</v>
      </c>
      <c r="G283" t="s">
        <v>1384</v>
      </c>
      <c r="H283" t="s">
        <v>1422</v>
      </c>
      <c r="I283">
        <v>14800</v>
      </c>
      <c r="J283">
        <v>0</v>
      </c>
      <c r="K283">
        <v>50</v>
      </c>
      <c r="L283">
        <v>50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Y283">
        <v>0</v>
      </c>
      <c r="Z283">
        <v>0</v>
      </c>
      <c r="AA283">
        <v>0</v>
      </c>
      <c r="AB283" t="s">
        <v>1963</v>
      </c>
      <c r="AC283" t="s">
        <v>2084</v>
      </c>
      <c r="AD283" t="s">
        <v>2085</v>
      </c>
      <c r="AE283" t="s">
        <v>4</v>
      </c>
      <c r="AF283" t="s">
        <v>1</v>
      </c>
      <c r="AG283" t="s">
        <v>1</v>
      </c>
      <c r="AH283" t="s">
        <v>2672</v>
      </c>
      <c r="AI283" t="s">
        <v>2672</v>
      </c>
      <c r="AJ283" t="s">
        <v>1</v>
      </c>
      <c r="AK283">
        <v>9381762699</v>
      </c>
      <c r="AL283" t="s">
        <v>1</v>
      </c>
      <c r="AM283" t="s">
        <v>1</v>
      </c>
      <c r="AN283" t="s">
        <v>1</v>
      </c>
      <c r="AO283" t="s">
        <v>2672</v>
      </c>
      <c r="AP283" t="s">
        <v>1</v>
      </c>
      <c r="AQ283" t="s">
        <v>2</v>
      </c>
      <c r="AR283" t="s">
        <v>3</v>
      </c>
      <c r="AS283" t="s">
        <v>3</v>
      </c>
      <c r="AT283" t="s">
        <v>3</v>
      </c>
      <c r="AU283" t="s">
        <v>3</v>
      </c>
      <c r="AV283" t="s">
        <v>3</v>
      </c>
      <c r="AW283" t="s">
        <v>11</v>
      </c>
      <c r="AX283">
        <f>Tabla1[[#This Row],[precio del paquete]]-Tabla1[[#This Row],[Saldo_Deudor]]</f>
        <v>1250</v>
      </c>
      <c r="AY283">
        <v>13550</v>
      </c>
      <c r="AZ283" t="s">
        <v>1</v>
      </c>
      <c r="BA283" t="s">
        <v>1</v>
      </c>
      <c r="BB283" t="s">
        <v>1</v>
      </c>
      <c r="BC283" t="s">
        <v>3251</v>
      </c>
      <c r="BD283" t="s">
        <v>3309</v>
      </c>
      <c r="BE283" t="s">
        <v>3</v>
      </c>
      <c r="BF283" t="s">
        <v>3</v>
      </c>
      <c r="BG283" t="s">
        <v>3</v>
      </c>
      <c r="BH283" t="s">
        <v>3</v>
      </c>
      <c r="BI283" t="s">
        <v>3</v>
      </c>
      <c r="BJ283" t="s">
        <v>3377</v>
      </c>
      <c r="BK283" t="s">
        <v>3</v>
      </c>
      <c r="BL283" t="s">
        <v>132</v>
      </c>
      <c r="BM283" t="s">
        <v>1</v>
      </c>
      <c r="BN283">
        <f>Tabla1[[#This Row],[precio del paquete]]</f>
        <v>14800</v>
      </c>
      <c r="BO283" t="s">
        <v>1</v>
      </c>
      <c r="BP283" t="s">
        <v>1</v>
      </c>
      <c r="BQ283" t="s">
        <v>1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0</v>
      </c>
      <c r="BX283" t="s">
        <v>1</v>
      </c>
      <c r="BY283" t="s">
        <v>1</v>
      </c>
      <c r="BZ283" t="s">
        <v>1</v>
      </c>
      <c r="CA283" t="s">
        <v>1</v>
      </c>
      <c r="CB283" t="s">
        <v>3382</v>
      </c>
      <c r="CD283" t="str" cm="1">
        <f t="array" aca="1" ref="CD283" ca="1">eConcatenar(A283:CB283,"|")</f>
        <v>YrElhFbqg3msuqgV|COM2021-3759|3|MEMORIAL|TABASCO|COMALCALCO|COMALCALCO|2021-11-23|14800|0|50|50|0|0|0|0|0|0|0|0|0|0|0||0|0|0|HERRERA|OSORIO|CLARIVEL|SOLTERO|X|X|RANCHERIA SUR PRIMERA SECCION|RANCHERIA SUR PRIMERA SECCION|X|9381762699|X|X|X|RANCHERIA SUR PRIMERA SECCION|X|LUNES|x|x|x|x|x|DOMICILIO |1250|13550|X|X|X|2022-02-22|2022-03-01|x|x|x|x|x|ZCEYT2126ZYSJM7|x|HOMBRE|X|14800|X|X|X|X|X|X|X|X|CARDENAS|X|X|X|X|FINAL</v>
      </c>
    </row>
    <row r="284" spans="1:82" x14ac:dyDescent="0.25">
      <c r="A284" t="s">
        <v>682</v>
      </c>
      <c r="B284" t="s">
        <v>683</v>
      </c>
      <c r="C284">
        <v>3</v>
      </c>
      <c r="D284" t="s">
        <v>1372</v>
      </c>
      <c r="E284" t="s">
        <v>1380</v>
      </c>
      <c r="F284" t="s">
        <v>1384</v>
      </c>
      <c r="G284" t="s">
        <v>1384</v>
      </c>
      <c r="H284" t="s">
        <v>1485</v>
      </c>
      <c r="I284">
        <v>12900</v>
      </c>
      <c r="J284">
        <v>0</v>
      </c>
      <c r="K284">
        <v>100</v>
      </c>
      <c r="L284">
        <v>50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Y284">
        <v>0</v>
      </c>
      <c r="Z284">
        <v>0</v>
      </c>
      <c r="AA284">
        <v>0</v>
      </c>
      <c r="AB284" t="s">
        <v>1693</v>
      </c>
      <c r="AC284" t="s">
        <v>1783</v>
      </c>
      <c r="AD284" t="s">
        <v>2086</v>
      </c>
      <c r="AE284" t="s">
        <v>4</v>
      </c>
      <c r="AF284" t="s">
        <v>1</v>
      </c>
      <c r="AG284" t="s">
        <v>1</v>
      </c>
      <c r="AH284" t="s">
        <v>2680</v>
      </c>
      <c r="AI284" t="s">
        <v>2680</v>
      </c>
      <c r="AJ284" t="s">
        <v>1</v>
      </c>
      <c r="AK284">
        <v>9331665894</v>
      </c>
      <c r="AL284" t="s">
        <v>1</v>
      </c>
      <c r="AM284" t="s">
        <v>1</v>
      </c>
      <c r="AN284" t="s">
        <v>1</v>
      </c>
      <c r="AO284" t="s">
        <v>2680</v>
      </c>
      <c r="AP284" t="s">
        <v>1</v>
      </c>
      <c r="AQ284" t="s">
        <v>2</v>
      </c>
      <c r="AR284" t="s">
        <v>3</v>
      </c>
      <c r="AS284" t="s">
        <v>3</v>
      </c>
      <c r="AT284" t="s">
        <v>3</v>
      </c>
      <c r="AU284" t="s">
        <v>3</v>
      </c>
      <c r="AV284" t="s">
        <v>3</v>
      </c>
      <c r="AW284" t="s">
        <v>11</v>
      </c>
      <c r="AX284">
        <f>Tabla1[[#This Row],[precio del paquete]]-Tabla1[[#This Row],[Saldo_Deudor]]</f>
        <v>9300</v>
      </c>
      <c r="AY284">
        <v>3600</v>
      </c>
      <c r="AZ284" t="s">
        <v>1</v>
      </c>
      <c r="BA284" t="s">
        <v>1</v>
      </c>
      <c r="BB284" t="s">
        <v>1</v>
      </c>
      <c r="BC284" t="s">
        <v>3251</v>
      </c>
      <c r="BD284" t="s">
        <v>3309</v>
      </c>
      <c r="BE284" t="s">
        <v>3</v>
      </c>
      <c r="BF284" t="s">
        <v>3</v>
      </c>
      <c r="BG284" t="s">
        <v>3</v>
      </c>
      <c r="BH284" t="s">
        <v>3</v>
      </c>
      <c r="BI284" t="s">
        <v>3</v>
      </c>
      <c r="BJ284" t="s">
        <v>3378</v>
      </c>
      <c r="BK284" t="s">
        <v>3</v>
      </c>
      <c r="BL284" t="s">
        <v>132</v>
      </c>
      <c r="BM284" t="s">
        <v>1</v>
      </c>
      <c r="BN284">
        <f>Tabla1[[#This Row],[precio del paquete]]</f>
        <v>12900</v>
      </c>
      <c r="BO284" t="s">
        <v>1</v>
      </c>
      <c r="BP284" t="s">
        <v>1</v>
      </c>
      <c r="BQ284" t="s">
        <v>1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0</v>
      </c>
      <c r="BX284" t="s">
        <v>1</v>
      </c>
      <c r="BY284" t="s">
        <v>1</v>
      </c>
      <c r="BZ284" t="s">
        <v>1</v>
      </c>
      <c r="CA284" t="s">
        <v>1</v>
      </c>
      <c r="CB284" t="s">
        <v>3382</v>
      </c>
      <c r="CD284" t="str" cm="1">
        <f t="array" aca="1" ref="CD284" ca="1">eConcatenar(A284:CB284,"|")</f>
        <v>yvVhtPDRXZgUJ7YZ|COM2020-2144|3|IMPERIAL DE LUJO|TABASCO|COMALCALCO|COMALCALCO|2020-09-21|12900|0|100|50|0|0|0|0|0|0|0|0|0|0|0||0|0|0|RODRIGUEZ|MENDEZ|YOANA|SOLTERO|X|X|RANCHERIA REYES HERNANDEZ PRIMERA SECCION |RANCHERIA REYES HERNANDEZ PRIMERA SECCION |X|9331665894|X|X|X|RANCHERIA REYES HERNANDEZ PRIMERA SECCION |X|LUNES|x|x|x|x|x|DOMICILIO |9300|3600|X|X|X|2022-02-22|2022-03-01|x|x|x|x|x|QX002L4E9KVTQO|x|HOMBRE|X|12900|X|X|X|X|X|X|X|X|CARDENAS|X|X|X|X|FINAL</v>
      </c>
    </row>
    <row r="285" spans="1:82" x14ac:dyDescent="0.25">
      <c r="A285" t="s">
        <v>684</v>
      </c>
      <c r="B285" t="s">
        <v>685</v>
      </c>
      <c r="C285">
        <v>3</v>
      </c>
      <c r="D285" t="s">
        <v>1369</v>
      </c>
      <c r="E285" t="s">
        <v>1380</v>
      </c>
      <c r="F285" t="s">
        <v>1384</v>
      </c>
      <c r="G285" t="s">
        <v>1384</v>
      </c>
      <c r="H285" t="s">
        <v>1486</v>
      </c>
      <c r="I285">
        <v>14800</v>
      </c>
      <c r="J285">
        <v>0</v>
      </c>
      <c r="K285">
        <v>200</v>
      </c>
      <c r="L285">
        <v>50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Y285">
        <v>0</v>
      </c>
      <c r="Z285">
        <v>0</v>
      </c>
      <c r="AA285">
        <v>0</v>
      </c>
      <c r="AB285" t="s">
        <v>1713</v>
      </c>
      <c r="AC285" t="s">
        <v>7</v>
      </c>
      <c r="AD285" t="s">
        <v>2066</v>
      </c>
      <c r="AE285" t="s">
        <v>4</v>
      </c>
      <c r="AF285" t="s">
        <v>1</v>
      </c>
      <c r="AG285" t="s">
        <v>1</v>
      </c>
      <c r="AH285" t="s">
        <v>2681</v>
      </c>
      <c r="AI285" t="s">
        <v>2681</v>
      </c>
      <c r="AJ285" t="s">
        <v>1</v>
      </c>
      <c r="AK285">
        <v>9331458649</v>
      </c>
      <c r="AL285" t="s">
        <v>1</v>
      </c>
      <c r="AM285" t="s">
        <v>1</v>
      </c>
      <c r="AN285" t="s">
        <v>1</v>
      </c>
      <c r="AO285" t="s">
        <v>2681</v>
      </c>
      <c r="AP285" t="s">
        <v>1</v>
      </c>
      <c r="AQ285" t="s">
        <v>2</v>
      </c>
      <c r="AR285" t="s">
        <v>3</v>
      </c>
      <c r="AS285" t="s">
        <v>3</v>
      </c>
      <c r="AT285" t="s">
        <v>3</v>
      </c>
      <c r="AU285" t="s">
        <v>3</v>
      </c>
      <c r="AV285" t="s">
        <v>3</v>
      </c>
      <c r="AW285" t="s">
        <v>11</v>
      </c>
      <c r="AX285">
        <f>Tabla1[[#This Row],[precio del paquete]]-Tabla1[[#This Row],[Saldo_Deudor]]</f>
        <v>2200</v>
      </c>
      <c r="AY285">
        <v>12600</v>
      </c>
      <c r="AZ285" t="s">
        <v>1</v>
      </c>
      <c r="BA285" t="s">
        <v>1</v>
      </c>
      <c r="BB285" t="s">
        <v>1</v>
      </c>
      <c r="BC285" t="s">
        <v>3251</v>
      </c>
      <c r="BD285" t="s">
        <v>3309</v>
      </c>
      <c r="BE285" t="s">
        <v>3</v>
      </c>
      <c r="BF285" t="s">
        <v>3</v>
      </c>
      <c r="BG285" t="s">
        <v>3</v>
      </c>
      <c r="BH285" t="s">
        <v>3</v>
      </c>
      <c r="BI285" t="s">
        <v>3</v>
      </c>
      <c r="BJ285" t="s">
        <v>3378</v>
      </c>
      <c r="BK285" t="s">
        <v>3</v>
      </c>
      <c r="BL285" t="s">
        <v>132</v>
      </c>
      <c r="BM285" t="s">
        <v>1</v>
      </c>
      <c r="BN285">
        <f>Tabla1[[#This Row],[precio del paquete]]</f>
        <v>14800</v>
      </c>
      <c r="BO285" t="s">
        <v>1</v>
      </c>
      <c r="BP285" t="s">
        <v>1</v>
      </c>
      <c r="BQ285" t="s">
        <v>1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0</v>
      </c>
      <c r="BX285" t="s">
        <v>1</v>
      </c>
      <c r="BY285" t="s">
        <v>1</v>
      </c>
      <c r="BZ285" t="s">
        <v>1</v>
      </c>
      <c r="CA285" t="s">
        <v>1</v>
      </c>
      <c r="CB285" t="s">
        <v>3382</v>
      </c>
      <c r="CD285" t="str" cm="1">
        <f t="array" aca="1" ref="CD285" ca="1">eConcatenar(A285:CB285,"|")</f>
        <v>Yz8ABAaFKHXtxX5z|COM2021-2903|3|MEMORIAL|TABASCO|COMALCALCO|COMALCALCO|2021-09-11|14800|0|200|50|1|0|0|0|0|0|0|0|0|0|0||0|0|0|DE LA CRUZ|LOPEZ|ANTONIO|SOLTERO|X|X|VILLA TECOLUTILLA|VILLA TECOLUTILLA|X|9331458649|X|X|X|VILLA TECOLUTILLA|X|LUNES|x|x|x|x|x|DOMICILIO |2200|12600|X|X|X|2022-02-22|2022-03-01|x|x|x|x|x|QX002L4E9KVTQO|x|HOMBRE|X|14800|X|X|X|X|X|X|X|X|CARDENAS|X|X|X|X|FINAL</v>
      </c>
    </row>
    <row r="286" spans="1:82" x14ac:dyDescent="0.25">
      <c r="A286" t="s">
        <v>686</v>
      </c>
      <c r="B286" t="s">
        <v>687</v>
      </c>
      <c r="C286">
        <v>3</v>
      </c>
      <c r="D286" t="s">
        <v>1368</v>
      </c>
      <c r="E286" t="s">
        <v>1380</v>
      </c>
      <c r="F286" t="s">
        <v>1384</v>
      </c>
      <c r="G286" t="s">
        <v>1384</v>
      </c>
      <c r="H286" t="s">
        <v>1487</v>
      </c>
      <c r="I286">
        <v>24500</v>
      </c>
      <c r="J286">
        <v>0</v>
      </c>
      <c r="K286">
        <v>200</v>
      </c>
      <c r="L286">
        <v>50</v>
      </c>
      <c r="M286">
        <v>1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Y286">
        <v>0</v>
      </c>
      <c r="Z286">
        <v>0</v>
      </c>
      <c r="AA286">
        <v>0</v>
      </c>
      <c r="AB286" t="s">
        <v>2087</v>
      </c>
      <c r="AC286" t="s">
        <v>2088</v>
      </c>
      <c r="AD286" t="s">
        <v>1898</v>
      </c>
      <c r="AE286" t="s">
        <v>4</v>
      </c>
      <c r="AF286" t="s">
        <v>1</v>
      </c>
      <c r="AG286" t="s">
        <v>1</v>
      </c>
      <c r="AH286" t="s">
        <v>2681</v>
      </c>
      <c r="AI286" t="s">
        <v>2681</v>
      </c>
      <c r="AJ286" t="s">
        <v>1</v>
      </c>
      <c r="AK286">
        <v>9331635617</v>
      </c>
      <c r="AL286" t="s">
        <v>1</v>
      </c>
      <c r="AM286" t="s">
        <v>1</v>
      </c>
      <c r="AN286" t="s">
        <v>1</v>
      </c>
      <c r="AO286" t="s">
        <v>2681</v>
      </c>
      <c r="AP286" t="s">
        <v>1</v>
      </c>
      <c r="AQ286" t="s">
        <v>2</v>
      </c>
      <c r="AR286" t="s">
        <v>3</v>
      </c>
      <c r="AS286" t="s">
        <v>3</v>
      </c>
      <c r="AT286" t="s">
        <v>3</v>
      </c>
      <c r="AU286" t="s">
        <v>3</v>
      </c>
      <c r="AV286" t="s">
        <v>3</v>
      </c>
      <c r="AW286" t="s">
        <v>11</v>
      </c>
      <c r="AX286">
        <f>Tabla1[[#This Row],[precio del paquete]]-Tabla1[[#This Row],[Saldo_Deudor]]</f>
        <v>1700</v>
      </c>
      <c r="AY286">
        <v>22800</v>
      </c>
      <c r="AZ286" t="s">
        <v>1</v>
      </c>
      <c r="BA286" t="s">
        <v>1</v>
      </c>
      <c r="BB286" t="s">
        <v>1</v>
      </c>
      <c r="BC286" t="s">
        <v>3251</v>
      </c>
      <c r="BD286" t="s">
        <v>3309</v>
      </c>
      <c r="BE286" t="s">
        <v>3</v>
      </c>
      <c r="BF286" t="s">
        <v>3</v>
      </c>
      <c r="BG286" t="s">
        <v>3</v>
      </c>
      <c r="BH286" t="s">
        <v>3</v>
      </c>
      <c r="BI286" t="s">
        <v>3</v>
      </c>
      <c r="BJ286" t="s">
        <v>3378</v>
      </c>
      <c r="BK286" t="s">
        <v>3</v>
      </c>
      <c r="BL286" t="s">
        <v>132</v>
      </c>
      <c r="BM286" t="s">
        <v>1</v>
      </c>
      <c r="BN286">
        <f>Tabla1[[#This Row],[precio del paquete]]</f>
        <v>24500</v>
      </c>
      <c r="BO286" t="s">
        <v>1</v>
      </c>
      <c r="BP286" t="s">
        <v>1</v>
      </c>
      <c r="BQ286" t="s">
        <v>1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0</v>
      </c>
      <c r="BX286" t="s">
        <v>1</v>
      </c>
      <c r="BY286" t="s">
        <v>1</v>
      </c>
      <c r="BZ286" t="s">
        <v>1</v>
      </c>
      <c r="CA286" t="s">
        <v>1</v>
      </c>
      <c r="CB286" t="s">
        <v>3382</v>
      </c>
      <c r="CD286" t="str" cm="1">
        <f t="array" aca="1" ref="CD286" ca="1">eConcatenar(A286:CB286,"|")</f>
        <v>gHv4lSjuASHa4vAp|COM2021-3115|3|DIGNITY|TABASCO|COMALCALCO|COMALCALCO|2021-10-01|24500|0|200|50|1|0|0|0|0|0|0|0|0|0|0||0|0|0|ZAMUDIO|BALTAZAR|RAFAEL|SOLTERO|X|X|VILLA TECOLUTILLA|VILLA TECOLUTILLA|X|9331635617|X|X|X|VILLA TECOLUTILLA|X|LUNES|x|x|x|x|x|DOMICILIO |1700|22800|X|X|X|2022-02-22|2022-03-01|x|x|x|x|x|QX002L4E9KVTQO|x|HOMBRE|X|24500|X|X|X|X|X|X|X|X|CARDENAS|X|X|X|X|FINAL</v>
      </c>
    </row>
    <row r="287" spans="1:82" x14ac:dyDescent="0.25">
      <c r="A287" t="s">
        <v>688</v>
      </c>
      <c r="B287" t="s">
        <v>689</v>
      </c>
      <c r="C287">
        <v>3</v>
      </c>
      <c r="D287" t="s">
        <v>1372</v>
      </c>
      <c r="E287" t="s">
        <v>1380</v>
      </c>
      <c r="F287" t="s">
        <v>1384</v>
      </c>
      <c r="G287" t="s">
        <v>1384</v>
      </c>
      <c r="H287" t="s">
        <v>1488</v>
      </c>
      <c r="I287">
        <v>12900</v>
      </c>
      <c r="J287">
        <v>0</v>
      </c>
      <c r="K287">
        <v>100</v>
      </c>
      <c r="L287">
        <v>50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Y287">
        <v>0</v>
      </c>
      <c r="Z287">
        <v>0</v>
      </c>
      <c r="AA287">
        <v>0</v>
      </c>
      <c r="AB287" t="s">
        <v>1713</v>
      </c>
      <c r="AC287" t="s">
        <v>1693</v>
      </c>
      <c r="AD287" t="s">
        <v>2089</v>
      </c>
      <c r="AE287" t="s">
        <v>4</v>
      </c>
      <c r="AF287" t="s">
        <v>1</v>
      </c>
      <c r="AG287" t="s">
        <v>1</v>
      </c>
      <c r="AH287" t="s">
        <v>2681</v>
      </c>
      <c r="AI287" t="s">
        <v>2681</v>
      </c>
      <c r="AJ287" t="s">
        <v>1</v>
      </c>
      <c r="AK287">
        <v>9331022687</v>
      </c>
      <c r="AL287" t="s">
        <v>1</v>
      </c>
      <c r="AM287" t="s">
        <v>1</v>
      </c>
      <c r="AN287" t="s">
        <v>1</v>
      </c>
      <c r="AO287" t="s">
        <v>2681</v>
      </c>
      <c r="AP287" t="s">
        <v>1</v>
      </c>
      <c r="AQ287" t="s">
        <v>2</v>
      </c>
      <c r="AR287" t="s">
        <v>3</v>
      </c>
      <c r="AS287" t="s">
        <v>3</v>
      </c>
      <c r="AT287" t="s">
        <v>3</v>
      </c>
      <c r="AU287" t="s">
        <v>3</v>
      </c>
      <c r="AV287" t="s">
        <v>3</v>
      </c>
      <c r="AW287" t="s">
        <v>11</v>
      </c>
      <c r="AX287">
        <f>Tabla1[[#This Row],[precio del paquete]]-Tabla1[[#This Row],[Saldo_Deudor]]</f>
        <v>6100</v>
      </c>
      <c r="AY287">
        <v>6800</v>
      </c>
      <c r="AZ287" t="s">
        <v>1</v>
      </c>
      <c r="BA287" t="s">
        <v>1</v>
      </c>
      <c r="BB287" t="s">
        <v>1</v>
      </c>
      <c r="BC287" t="s">
        <v>3251</v>
      </c>
      <c r="BD287" t="s">
        <v>3309</v>
      </c>
      <c r="BE287" t="s">
        <v>3</v>
      </c>
      <c r="BF287" t="s">
        <v>3</v>
      </c>
      <c r="BG287" t="s">
        <v>3</v>
      </c>
      <c r="BH287" t="s">
        <v>3</v>
      </c>
      <c r="BI287" t="s">
        <v>3</v>
      </c>
      <c r="BJ287" t="s">
        <v>3378</v>
      </c>
      <c r="BK287" t="s">
        <v>3</v>
      </c>
      <c r="BL287" t="s">
        <v>132</v>
      </c>
      <c r="BM287" t="s">
        <v>1</v>
      </c>
      <c r="BN287">
        <f>Tabla1[[#This Row],[precio del paquete]]</f>
        <v>12900</v>
      </c>
      <c r="BO287" t="s">
        <v>1</v>
      </c>
      <c r="BP287" t="s">
        <v>1</v>
      </c>
      <c r="BQ287" t="s">
        <v>1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0</v>
      </c>
      <c r="BX287" t="s">
        <v>1</v>
      </c>
      <c r="BY287" t="s">
        <v>1</v>
      </c>
      <c r="BZ287" t="s">
        <v>1</v>
      </c>
      <c r="CA287" t="s">
        <v>1</v>
      </c>
      <c r="CB287" t="s">
        <v>3382</v>
      </c>
      <c r="CD287" t="str" cm="1">
        <f t="array" aca="1" ref="CD287" ca="1">eConcatenar(A287:CB287,"|")</f>
        <v>VAOfYiTFNE3f4Whs|COM2020-2371|3|IMPERIAL DE LUJO|TABASCO|COMALCALCO|COMALCALCO|2020-10-13|12900|0|100|50|0|0|0|0|0|0|0|0|0|0|0||0|0|0|DE LA CRUZ|RODRIGUEZ|CARMELA|SOLTERO|X|X|VILLA TECOLUTILLA|VILLA TECOLUTILLA|X|9331022687|X|X|X|VILLA TECOLUTILLA|X|LUNES|x|x|x|x|x|DOMICILIO |6100|6800|X|X|X|2022-02-22|2022-03-01|x|x|x|x|x|QX002L4E9KVTQO|x|HOMBRE|X|12900|X|X|X|X|X|X|X|X|CARDENAS|X|X|X|X|FINAL</v>
      </c>
    </row>
    <row r="288" spans="1:82" x14ac:dyDescent="0.25">
      <c r="A288" t="s">
        <v>690</v>
      </c>
      <c r="B288" t="s">
        <v>691</v>
      </c>
      <c r="C288">
        <v>3</v>
      </c>
      <c r="D288" t="s">
        <v>1372</v>
      </c>
      <c r="E288" t="s">
        <v>1380</v>
      </c>
      <c r="F288" t="s">
        <v>1384</v>
      </c>
      <c r="G288" t="s">
        <v>1384</v>
      </c>
      <c r="H288" t="s">
        <v>1489</v>
      </c>
      <c r="I288">
        <v>12900</v>
      </c>
      <c r="J288">
        <v>0</v>
      </c>
      <c r="K288">
        <v>200</v>
      </c>
      <c r="L288">
        <v>50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Y288">
        <v>0</v>
      </c>
      <c r="Z288">
        <v>0</v>
      </c>
      <c r="AA288">
        <v>0</v>
      </c>
      <c r="AB288" t="s">
        <v>1713</v>
      </c>
      <c r="AC288" t="s">
        <v>7</v>
      </c>
      <c r="AD288" t="s">
        <v>2090</v>
      </c>
      <c r="AE288" t="s">
        <v>4</v>
      </c>
      <c r="AF288" t="s">
        <v>1</v>
      </c>
      <c r="AG288" t="s">
        <v>1</v>
      </c>
      <c r="AH288" t="s">
        <v>2681</v>
      </c>
      <c r="AI288" t="s">
        <v>2681</v>
      </c>
      <c r="AJ288" t="s">
        <v>1</v>
      </c>
      <c r="AK288">
        <v>9111923966</v>
      </c>
      <c r="AL288" t="s">
        <v>1</v>
      </c>
      <c r="AM288" t="s">
        <v>1</v>
      </c>
      <c r="AN288" t="s">
        <v>1</v>
      </c>
      <c r="AO288" t="s">
        <v>2681</v>
      </c>
      <c r="AP288" t="s">
        <v>1</v>
      </c>
      <c r="AQ288" t="s">
        <v>2</v>
      </c>
      <c r="AR288" t="s">
        <v>3</v>
      </c>
      <c r="AS288" t="s">
        <v>3</v>
      </c>
      <c r="AT288" t="s">
        <v>3</v>
      </c>
      <c r="AU288" t="s">
        <v>3</v>
      </c>
      <c r="AV288" t="s">
        <v>3</v>
      </c>
      <c r="AW288" t="s">
        <v>11</v>
      </c>
      <c r="AX288">
        <f>Tabla1[[#This Row],[precio del paquete]]-Tabla1[[#This Row],[Saldo_Deudor]]</f>
        <v>5100</v>
      </c>
      <c r="AY288">
        <v>7800</v>
      </c>
      <c r="AZ288" t="s">
        <v>1</v>
      </c>
      <c r="BA288" t="s">
        <v>1</v>
      </c>
      <c r="BB288" t="s">
        <v>1</v>
      </c>
      <c r="BC288" t="s">
        <v>3251</v>
      </c>
      <c r="BD288" t="s">
        <v>3309</v>
      </c>
      <c r="BE288" t="s">
        <v>3</v>
      </c>
      <c r="BF288" t="s">
        <v>3</v>
      </c>
      <c r="BG288" t="s">
        <v>3</v>
      </c>
      <c r="BH288" t="s">
        <v>3</v>
      </c>
      <c r="BI288" t="s">
        <v>3</v>
      </c>
      <c r="BJ288" t="s">
        <v>3378</v>
      </c>
      <c r="BK288" t="s">
        <v>3</v>
      </c>
      <c r="BL288" t="s">
        <v>132</v>
      </c>
      <c r="BM288" t="s">
        <v>1</v>
      </c>
      <c r="BN288">
        <f>Tabla1[[#This Row],[precio del paquete]]</f>
        <v>12900</v>
      </c>
      <c r="BO288" t="s">
        <v>1</v>
      </c>
      <c r="BP288" t="s">
        <v>1</v>
      </c>
      <c r="BQ288" t="s">
        <v>1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0</v>
      </c>
      <c r="BX288" t="s">
        <v>1</v>
      </c>
      <c r="BY288" t="s">
        <v>1</v>
      </c>
      <c r="BZ288" t="s">
        <v>1</v>
      </c>
      <c r="CA288" t="s">
        <v>1</v>
      </c>
      <c r="CB288" t="s">
        <v>3382</v>
      </c>
      <c r="CD288" t="str" cm="1">
        <f t="array" aca="1" ref="CD288" ca="1">eConcatenar(A288:CB288,"|")</f>
        <v>PONnUfuhFQ9OW87U|COM2020-2316|3|IMPERIAL DE LUJO|TABASCO|COMALCALCO|COMALCALCO|2020-10-05|12900|0|200|50|1|0|0|0|0|0|0|0|0|0|0||0|0|0|DE LA CRUZ|LOPEZ|FLORIBERTA|SOLTERO|X|X|VILLA TECOLUTILLA|VILLA TECOLUTILLA|X|9111923966|X|X|X|VILLA TECOLUTILLA|X|LUNES|x|x|x|x|x|DOMICILIO |5100|7800|X|X|X|2022-02-22|2022-03-01|x|x|x|x|x|QX002L4E9KVTQO|x|HOMBRE|X|12900|X|X|X|X|X|X|X|X|CARDENAS|X|X|X|X|FINAL</v>
      </c>
    </row>
    <row r="289" spans="1:82" x14ac:dyDescent="0.25">
      <c r="A289" t="s">
        <v>692</v>
      </c>
      <c r="B289" t="s">
        <v>693</v>
      </c>
      <c r="C289">
        <v>3</v>
      </c>
      <c r="D289" t="s">
        <v>1372</v>
      </c>
      <c r="E289" t="s">
        <v>1380</v>
      </c>
      <c r="F289" t="s">
        <v>1384</v>
      </c>
      <c r="G289" t="s">
        <v>1384</v>
      </c>
      <c r="H289" t="s">
        <v>1489</v>
      </c>
      <c r="I289">
        <v>12900</v>
      </c>
      <c r="J289">
        <v>0</v>
      </c>
      <c r="K289">
        <v>200</v>
      </c>
      <c r="L289">
        <v>50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Y289">
        <v>0</v>
      </c>
      <c r="Z289">
        <v>0</v>
      </c>
      <c r="AA289">
        <v>0</v>
      </c>
      <c r="AB289" t="s">
        <v>1774</v>
      </c>
      <c r="AC289" t="s">
        <v>1748</v>
      </c>
      <c r="AD289" t="s">
        <v>2091</v>
      </c>
      <c r="AE289" t="s">
        <v>4</v>
      </c>
      <c r="AF289" t="s">
        <v>1</v>
      </c>
      <c r="AG289" t="s">
        <v>1</v>
      </c>
      <c r="AH289" t="s">
        <v>2681</v>
      </c>
      <c r="AI289" t="s">
        <v>2681</v>
      </c>
      <c r="AJ289" t="s">
        <v>1</v>
      </c>
      <c r="AK289">
        <v>9331547330</v>
      </c>
      <c r="AL289" t="s">
        <v>1</v>
      </c>
      <c r="AM289" t="s">
        <v>1</v>
      </c>
      <c r="AN289" t="s">
        <v>1</v>
      </c>
      <c r="AO289" t="s">
        <v>2681</v>
      </c>
      <c r="AP289" t="s">
        <v>1</v>
      </c>
      <c r="AQ289" t="s">
        <v>2</v>
      </c>
      <c r="AR289" t="s">
        <v>3</v>
      </c>
      <c r="AS289" t="s">
        <v>3</v>
      </c>
      <c r="AT289" t="s">
        <v>3</v>
      </c>
      <c r="AU289" t="s">
        <v>3</v>
      </c>
      <c r="AV289" t="s">
        <v>3</v>
      </c>
      <c r="AW289" t="s">
        <v>11</v>
      </c>
      <c r="AX289">
        <f>Tabla1[[#This Row],[precio del paquete]]-Tabla1[[#This Row],[Saldo_Deudor]]</f>
        <v>4550</v>
      </c>
      <c r="AY289">
        <v>8350</v>
      </c>
      <c r="AZ289" t="s">
        <v>1</v>
      </c>
      <c r="BA289" t="s">
        <v>1</v>
      </c>
      <c r="BB289" t="s">
        <v>1</v>
      </c>
      <c r="BC289" t="s">
        <v>3251</v>
      </c>
      <c r="BD289" t="s">
        <v>3309</v>
      </c>
      <c r="BE289" t="s">
        <v>3</v>
      </c>
      <c r="BF289" t="s">
        <v>3</v>
      </c>
      <c r="BG289" t="s">
        <v>3</v>
      </c>
      <c r="BH289" t="s">
        <v>3</v>
      </c>
      <c r="BI289" t="s">
        <v>3</v>
      </c>
      <c r="BJ289" t="s">
        <v>3378</v>
      </c>
      <c r="BK289" t="s">
        <v>3</v>
      </c>
      <c r="BL289" t="s">
        <v>132</v>
      </c>
      <c r="BM289" t="s">
        <v>1</v>
      </c>
      <c r="BN289">
        <f>Tabla1[[#This Row],[precio del paquete]]</f>
        <v>12900</v>
      </c>
      <c r="BO289" t="s">
        <v>1</v>
      </c>
      <c r="BP289" t="s">
        <v>1</v>
      </c>
      <c r="BQ289" t="s">
        <v>1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0</v>
      </c>
      <c r="BX289" t="s">
        <v>1</v>
      </c>
      <c r="BY289" t="s">
        <v>1</v>
      </c>
      <c r="BZ289" t="s">
        <v>1</v>
      </c>
      <c r="CA289" t="s">
        <v>1</v>
      </c>
      <c r="CB289" t="s">
        <v>3382</v>
      </c>
      <c r="CD289" t="str" cm="1">
        <f t="array" aca="1" ref="CD289" ca="1">eConcatenar(A289:CB289,"|")</f>
        <v>YqcqUbmEqy6ttIyW|COM2020-2313|3|IMPERIAL DE LUJO|TABASCO|COMALCALCO|COMALCALCO|2020-10-05|12900|0|200|50|1|0|0|0|0|0|0|0|0|0|0||0|0|0|GONZALEZ|JIMENEZ|MARIA LUISA|SOLTERO|X|X|VILLA TECOLUTILLA|VILLA TECOLUTILLA|X|9331547330|X|X|X|VILLA TECOLUTILLA|X|LUNES|x|x|x|x|x|DOMICILIO |4550|8350|X|X|X|2022-02-22|2022-03-01|x|x|x|x|x|QX002L4E9KVTQO|x|HOMBRE|X|12900|X|X|X|X|X|X|X|X|CARDENAS|X|X|X|X|FINAL</v>
      </c>
    </row>
    <row r="290" spans="1:82" x14ac:dyDescent="0.25">
      <c r="A290" t="s">
        <v>694</v>
      </c>
      <c r="B290" t="s">
        <v>695</v>
      </c>
      <c r="C290">
        <v>3</v>
      </c>
      <c r="D290" t="s">
        <v>1372</v>
      </c>
      <c r="E290" t="s">
        <v>1380</v>
      </c>
      <c r="F290" t="s">
        <v>1384</v>
      </c>
      <c r="G290" t="s">
        <v>1384</v>
      </c>
      <c r="H290" t="s">
        <v>1466</v>
      </c>
      <c r="I290">
        <v>12900</v>
      </c>
      <c r="J290">
        <v>0</v>
      </c>
      <c r="K290">
        <v>100</v>
      </c>
      <c r="L290">
        <v>50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Y290">
        <v>0</v>
      </c>
      <c r="Z290">
        <v>0</v>
      </c>
      <c r="AA290">
        <v>0</v>
      </c>
      <c r="AB290" t="s">
        <v>1945</v>
      </c>
      <c r="AC290" t="s">
        <v>2092</v>
      </c>
      <c r="AD290" t="s">
        <v>2093</v>
      </c>
      <c r="AE290" t="s">
        <v>4</v>
      </c>
      <c r="AF290" t="s">
        <v>1</v>
      </c>
      <c r="AG290" t="s">
        <v>1</v>
      </c>
      <c r="AH290" t="s">
        <v>2681</v>
      </c>
      <c r="AI290" t="s">
        <v>2681</v>
      </c>
      <c r="AJ290" t="s">
        <v>1</v>
      </c>
      <c r="AK290">
        <v>9334472907</v>
      </c>
      <c r="AL290" t="s">
        <v>1</v>
      </c>
      <c r="AM290" t="s">
        <v>1</v>
      </c>
      <c r="AN290" t="s">
        <v>1</v>
      </c>
      <c r="AO290" t="s">
        <v>2681</v>
      </c>
      <c r="AP290" t="s">
        <v>1</v>
      </c>
      <c r="AQ290" t="s">
        <v>2</v>
      </c>
      <c r="AR290" t="s">
        <v>3</v>
      </c>
      <c r="AS290" t="s">
        <v>3</v>
      </c>
      <c r="AT290" t="s">
        <v>3</v>
      </c>
      <c r="AU290" t="s">
        <v>3</v>
      </c>
      <c r="AV290" t="s">
        <v>3</v>
      </c>
      <c r="AW290" t="s">
        <v>11</v>
      </c>
      <c r="AX290">
        <f>Tabla1[[#This Row],[precio del paquete]]-Tabla1[[#This Row],[Saldo_Deudor]]</f>
        <v>6000</v>
      </c>
      <c r="AY290">
        <v>6900</v>
      </c>
      <c r="AZ290" t="s">
        <v>1</v>
      </c>
      <c r="BA290" t="s">
        <v>1</v>
      </c>
      <c r="BB290" t="s">
        <v>1</v>
      </c>
      <c r="BC290" t="s">
        <v>3251</v>
      </c>
      <c r="BD290" t="s">
        <v>3309</v>
      </c>
      <c r="BE290" t="s">
        <v>3</v>
      </c>
      <c r="BF290" t="s">
        <v>3</v>
      </c>
      <c r="BG290" t="s">
        <v>3</v>
      </c>
      <c r="BH290" t="s">
        <v>3</v>
      </c>
      <c r="BI290" t="s">
        <v>3</v>
      </c>
      <c r="BJ290" t="s">
        <v>3378</v>
      </c>
      <c r="BK290" t="s">
        <v>3</v>
      </c>
      <c r="BL290" t="s">
        <v>132</v>
      </c>
      <c r="BM290" t="s">
        <v>1</v>
      </c>
      <c r="BN290">
        <f>Tabla1[[#This Row],[precio del paquete]]</f>
        <v>12900</v>
      </c>
      <c r="BO290" t="s">
        <v>1</v>
      </c>
      <c r="BP290" t="s">
        <v>1</v>
      </c>
      <c r="BQ290" t="s">
        <v>1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0</v>
      </c>
      <c r="BX290" t="s">
        <v>1</v>
      </c>
      <c r="BY290" t="s">
        <v>1</v>
      </c>
      <c r="BZ290" t="s">
        <v>1</v>
      </c>
      <c r="CA290" t="s">
        <v>1</v>
      </c>
      <c r="CB290" t="s">
        <v>3382</v>
      </c>
      <c r="CD290" t="str" cm="1">
        <f t="array" aca="1" ref="CD290" ca="1">eConcatenar(A290:CB290,"|")</f>
        <v>f3usr42hyBwjAHve|COM2020-2191|3|IMPERIAL DE LUJO|TABASCO|COMALCALCO|COMALCALCO|2020-09-29|12900|0|100|50|0|0|0|0|0|0|0|0|0|0|0||0|0|0|RAYMUNDO|PEREGRINO|MAGNOLIA|SOLTERO|X|X|VILLA TECOLUTILLA|VILLA TECOLUTILLA|X|9334472907|X|X|X|VILLA TECOLUTILLA|X|LUNES|x|x|x|x|x|DOMICILIO |6000|6900|X|X|X|2022-02-22|2022-03-01|x|x|x|x|x|QX002L4E9KVTQO|x|HOMBRE|X|12900|X|X|X|X|X|X|X|X|CARDENAS|X|X|X|X|FINAL</v>
      </c>
    </row>
    <row r="291" spans="1:82" x14ac:dyDescent="0.25">
      <c r="A291" t="s">
        <v>696</v>
      </c>
      <c r="B291" t="s">
        <v>697</v>
      </c>
      <c r="C291">
        <v>3</v>
      </c>
      <c r="D291" t="s">
        <v>1368</v>
      </c>
      <c r="E291" t="s">
        <v>1380</v>
      </c>
      <c r="F291" t="s">
        <v>1384</v>
      </c>
      <c r="G291" t="s">
        <v>1384</v>
      </c>
      <c r="H291" t="s">
        <v>1490</v>
      </c>
      <c r="I291">
        <v>24500</v>
      </c>
      <c r="J291">
        <v>0</v>
      </c>
      <c r="K291">
        <v>200</v>
      </c>
      <c r="L291">
        <v>50</v>
      </c>
      <c r="M291">
        <v>1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Y291">
        <v>0</v>
      </c>
      <c r="Z291">
        <v>0</v>
      </c>
      <c r="AA291">
        <v>0</v>
      </c>
      <c r="AB291" t="s">
        <v>7</v>
      </c>
      <c r="AC291" t="s">
        <v>1711</v>
      </c>
      <c r="AD291" t="s">
        <v>2094</v>
      </c>
      <c r="AE291" t="s">
        <v>4</v>
      </c>
      <c r="AF291" t="s">
        <v>1</v>
      </c>
      <c r="AG291" t="s">
        <v>1</v>
      </c>
      <c r="AH291" t="s">
        <v>2681</v>
      </c>
      <c r="AI291" t="s">
        <v>2681</v>
      </c>
      <c r="AJ291" t="s">
        <v>1</v>
      </c>
      <c r="AK291">
        <v>9331030782</v>
      </c>
      <c r="AL291" t="s">
        <v>1</v>
      </c>
      <c r="AM291" t="s">
        <v>1</v>
      </c>
      <c r="AN291" t="s">
        <v>1</v>
      </c>
      <c r="AO291" t="s">
        <v>2681</v>
      </c>
      <c r="AP291" t="s">
        <v>1</v>
      </c>
      <c r="AQ291" t="s">
        <v>2</v>
      </c>
      <c r="AR291" t="s">
        <v>3</v>
      </c>
      <c r="AS291" t="s">
        <v>3</v>
      </c>
      <c r="AT291" t="s">
        <v>3</v>
      </c>
      <c r="AU291" t="s">
        <v>3</v>
      </c>
      <c r="AV291" t="s">
        <v>3</v>
      </c>
      <c r="AW291" t="s">
        <v>11</v>
      </c>
      <c r="AX291">
        <f>Tabla1[[#This Row],[precio del paquete]]-Tabla1[[#This Row],[Saldo_Deudor]]</f>
        <v>2400</v>
      </c>
      <c r="AY291">
        <v>22100</v>
      </c>
      <c r="AZ291" t="s">
        <v>1</v>
      </c>
      <c r="BA291" t="s">
        <v>1</v>
      </c>
      <c r="BB291" t="s">
        <v>1</v>
      </c>
      <c r="BC291" t="s">
        <v>3251</v>
      </c>
      <c r="BD291" t="s">
        <v>3309</v>
      </c>
      <c r="BE291" t="s">
        <v>3</v>
      </c>
      <c r="BF291" t="s">
        <v>3</v>
      </c>
      <c r="BG291" t="s">
        <v>3</v>
      </c>
      <c r="BH291" t="s">
        <v>3</v>
      </c>
      <c r="BI291" t="s">
        <v>3</v>
      </c>
      <c r="BJ291" t="s">
        <v>3378</v>
      </c>
      <c r="BK291" t="s">
        <v>3</v>
      </c>
      <c r="BL291" t="s">
        <v>132</v>
      </c>
      <c r="BM291" t="s">
        <v>1</v>
      </c>
      <c r="BN291">
        <f>Tabla1[[#This Row],[precio del paquete]]</f>
        <v>24500</v>
      </c>
      <c r="BO291" t="s">
        <v>1</v>
      </c>
      <c r="BP291" t="s">
        <v>1</v>
      </c>
      <c r="BQ291" t="s">
        <v>1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0</v>
      </c>
      <c r="BX291" t="s">
        <v>1</v>
      </c>
      <c r="BY291" t="s">
        <v>1</v>
      </c>
      <c r="BZ291" t="s">
        <v>1</v>
      </c>
      <c r="CA291" t="s">
        <v>1</v>
      </c>
      <c r="CB291" t="s">
        <v>3382</v>
      </c>
      <c r="CD291" t="str" cm="1">
        <f t="array" aca="1" ref="CD291" ca="1">eConcatenar(A291:CB291,"|")</f>
        <v>oQWOxnp2EXMZaFbU|COM2021-2797|3|DIGNITY|TABASCO|COMALCALCO|COMALCALCO|2021-09-10|24500|0|200|50|1|0|0|0|0|0|0|0|0|0|0||0|0|0|LOPEZ|HERNANDEZ|NINIVE|SOLTERO|X|X|VILLA TECOLUTILLA|VILLA TECOLUTILLA|X|9331030782|X|X|X|VILLA TECOLUTILLA|X|LUNES|x|x|x|x|x|DOMICILIO |2400|22100|X|X|X|2022-02-22|2022-03-01|x|x|x|x|x|QX002L4E9KVTQO|x|HOMBRE|X|24500|X|X|X|X|X|X|X|X|CARDENAS|X|X|X|X|FINAL</v>
      </c>
    </row>
    <row r="292" spans="1:82" x14ac:dyDescent="0.25">
      <c r="A292" t="s">
        <v>698</v>
      </c>
      <c r="B292" t="s">
        <v>699</v>
      </c>
      <c r="C292">
        <v>3</v>
      </c>
      <c r="D292" t="s">
        <v>1369</v>
      </c>
      <c r="E292" t="s">
        <v>1380</v>
      </c>
      <c r="F292" t="s">
        <v>1384</v>
      </c>
      <c r="G292" t="s">
        <v>1384</v>
      </c>
      <c r="H292" t="s">
        <v>1483</v>
      </c>
      <c r="I292">
        <v>14800</v>
      </c>
      <c r="J292">
        <v>0</v>
      </c>
      <c r="K292">
        <v>200</v>
      </c>
      <c r="L292">
        <v>50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Y292">
        <v>0</v>
      </c>
      <c r="Z292">
        <v>0</v>
      </c>
      <c r="AA292">
        <v>0</v>
      </c>
      <c r="AB292" t="s">
        <v>1812</v>
      </c>
      <c r="AC292" t="s">
        <v>8</v>
      </c>
      <c r="AD292" t="s">
        <v>1906</v>
      </c>
      <c r="AE292" t="s">
        <v>4</v>
      </c>
      <c r="AF292" t="s">
        <v>1</v>
      </c>
      <c r="AG292" t="s">
        <v>1</v>
      </c>
      <c r="AH292" t="s">
        <v>2682</v>
      </c>
      <c r="AI292" t="s">
        <v>3107</v>
      </c>
      <c r="AJ292" t="s">
        <v>1</v>
      </c>
      <c r="AK292">
        <v>9331534269</v>
      </c>
      <c r="AL292" t="s">
        <v>1</v>
      </c>
      <c r="AM292" t="s">
        <v>1</v>
      </c>
      <c r="AN292" t="s">
        <v>1</v>
      </c>
      <c r="AO292" t="s">
        <v>2682</v>
      </c>
      <c r="AP292" t="s">
        <v>1</v>
      </c>
      <c r="AQ292" t="s">
        <v>2</v>
      </c>
      <c r="AR292" t="s">
        <v>3</v>
      </c>
      <c r="AS292" t="s">
        <v>3</v>
      </c>
      <c r="AT292" t="s">
        <v>3</v>
      </c>
      <c r="AU292" t="s">
        <v>3</v>
      </c>
      <c r="AV292" t="s">
        <v>3</v>
      </c>
      <c r="AW292" t="s">
        <v>11</v>
      </c>
      <c r="AX292">
        <f>Tabla1[[#This Row],[precio del paquete]]-Tabla1[[#This Row],[Saldo_Deudor]]</f>
        <v>2000</v>
      </c>
      <c r="AY292">
        <v>12800</v>
      </c>
      <c r="AZ292" t="s">
        <v>1</v>
      </c>
      <c r="BA292" t="s">
        <v>1</v>
      </c>
      <c r="BB292" t="s">
        <v>1</v>
      </c>
      <c r="BC292" t="s">
        <v>3251</v>
      </c>
      <c r="BD292" t="s">
        <v>3309</v>
      </c>
      <c r="BE292" t="s">
        <v>3</v>
      </c>
      <c r="BF292" t="s">
        <v>3</v>
      </c>
      <c r="BG292" t="s">
        <v>3</v>
      </c>
      <c r="BH292" t="s">
        <v>3</v>
      </c>
      <c r="BI292" t="s">
        <v>3</v>
      </c>
      <c r="BJ292" t="s">
        <v>3378</v>
      </c>
      <c r="BK292" t="s">
        <v>3</v>
      </c>
      <c r="BL292" t="s">
        <v>132</v>
      </c>
      <c r="BM292" t="s">
        <v>1</v>
      </c>
      <c r="BN292">
        <f>Tabla1[[#This Row],[precio del paquete]]</f>
        <v>14800</v>
      </c>
      <c r="BO292" t="s">
        <v>1</v>
      </c>
      <c r="BP292" t="s">
        <v>1</v>
      </c>
      <c r="BQ292" t="s">
        <v>1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0</v>
      </c>
      <c r="BX292" t="s">
        <v>1</v>
      </c>
      <c r="BY292" t="s">
        <v>1</v>
      </c>
      <c r="BZ292" t="s">
        <v>1</v>
      </c>
      <c r="CA292" t="s">
        <v>1</v>
      </c>
      <c r="CB292" t="s">
        <v>3382</v>
      </c>
      <c r="CD292" t="str" cm="1">
        <f t="array" aca="1" ref="CD292" ca="1">eConcatenar(A292:CB292,"|")</f>
        <v>3cFw62AyV0CpPOs2|COM2021-2787|3|MEMORIAL|TABASCO|COMALCALCO|COMALCALCO|2021-09-07|14800|0|200|50|1|0|0|0|0|0|0|0|0|0|0||0|0|0|SANCHEZ|GOMEZ|JERONIMO|SOLTERO|X|X|RANCHERIA BETANIA |RANCHERIA BETANIA|X|9331534269|X|X|X|RANCHERIA BETANIA |X|LUNES|x|x|x|x|x|DOMICILIO |2000|12800|X|X|X|2022-02-22|2022-03-01|x|x|x|x|x|QX002L4E9KVTQO|x|HOMBRE|X|14800|X|X|X|X|X|X|X|X|CARDENAS|X|X|X|X|FINAL</v>
      </c>
    </row>
    <row r="293" spans="1:82" x14ac:dyDescent="0.25">
      <c r="A293" t="s">
        <v>700</v>
      </c>
      <c r="B293" t="s">
        <v>701</v>
      </c>
      <c r="C293">
        <v>3</v>
      </c>
      <c r="D293" t="s">
        <v>1369</v>
      </c>
      <c r="E293" t="s">
        <v>1380</v>
      </c>
      <c r="F293" t="s">
        <v>1384</v>
      </c>
      <c r="G293" t="s">
        <v>1384</v>
      </c>
      <c r="H293" t="s">
        <v>1491</v>
      </c>
      <c r="I293">
        <v>14800</v>
      </c>
      <c r="J293">
        <v>0</v>
      </c>
      <c r="K293">
        <v>100</v>
      </c>
      <c r="L293">
        <v>50</v>
      </c>
      <c r="M293">
        <v>1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Y293">
        <v>0</v>
      </c>
      <c r="Z293">
        <v>0</v>
      </c>
      <c r="AA293">
        <v>0</v>
      </c>
      <c r="AB293" t="s">
        <v>1699</v>
      </c>
      <c r="AC293" t="s">
        <v>1748</v>
      </c>
      <c r="AD293" t="s">
        <v>2095</v>
      </c>
      <c r="AE293" t="s">
        <v>4</v>
      </c>
      <c r="AF293" t="s">
        <v>1</v>
      </c>
      <c r="AG293" t="s">
        <v>1</v>
      </c>
      <c r="AH293" t="s">
        <v>2681</v>
      </c>
      <c r="AI293" t="s">
        <v>2681</v>
      </c>
      <c r="AJ293" t="s">
        <v>1</v>
      </c>
      <c r="AK293">
        <v>9331072782</v>
      </c>
      <c r="AL293" t="s">
        <v>1</v>
      </c>
      <c r="AM293" t="s">
        <v>1</v>
      </c>
      <c r="AN293" t="s">
        <v>1</v>
      </c>
      <c r="AO293" t="s">
        <v>2681</v>
      </c>
      <c r="AP293" t="s">
        <v>1</v>
      </c>
      <c r="AQ293" t="s">
        <v>2</v>
      </c>
      <c r="AR293" t="s">
        <v>3</v>
      </c>
      <c r="AS293" t="s">
        <v>3</v>
      </c>
      <c r="AT293" t="s">
        <v>3</v>
      </c>
      <c r="AU293" t="s">
        <v>3</v>
      </c>
      <c r="AV293" t="s">
        <v>3</v>
      </c>
      <c r="AW293" t="s">
        <v>11</v>
      </c>
      <c r="AX293">
        <f>Tabla1[[#This Row],[precio del paquete]]-Tabla1[[#This Row],[Saldo_Deudor]]</f>
        <v>500</v>
      </c>
      <c r="AY293">
        <v>14300</v>
      </c>
      <c r="AZ293" t="s">
        <v>1</v>
      </c>
      <c r="BA293" t="s">
        <v>1</v>
      </c>
      <c r="BB293" t="s">
        <v>1</v>
      </c>
      <c r="BC293" t="s">
        <v>3251</v>
      </c>
      <c r="BD293" t="s">
        <v>3309</v>
      </c>
      <c r="BE293" t="s">
        <v>3</v>
      </c>
      <c r="BF293" t="s">
        <v>3</v>
      </c>
      <c r="BG293" t="s">
        <v>3</v>
      </c>
      <c r="BH293" t="s">
        <v>3</v>
      </c>
      <c r="BI293" t="s">
        <v>3</v>
      </c>
      <c r="BJ293" t="s">
        <v>3378</v>
      </c>
      <c r="BK293" t="s">
        <v>3</v>
      </c>
      <c r="BL293" t="s">
        <v>132</v>
      </c>
      <c r="BM293" t="s">
        <v>1</v>
      </c>
      <c r="BN293">
        <f>Tabla1[[#This Row],[precio del paquete]]</f>
        <v>14800</v>
      </c>
      <c r="BO293" t="s">
        <v>1</v>
      </c>
      <c r="BP293" t="s">
        <v>1</v>
      </c>
      <c r="BQ293" t="s">
        <v>1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0</v>
      </c>
      <c r="BX293" t="s">
        <v>1</v>
      </c>
      <c r="BY293" t="s">
        <v>1</v>
      </c>
      <c r="BZ293" t="s">
        <v>1</v>
      </c>
      <c r="CA293" t="s">
        <v>1</v>
      </c>
      <c r="CB293" t="s">
        <v>3382</v>
      </c>
      <c r="CD293" t="str" cm="1">
        <f t="array" aca="1" ref="CD293" ca="1">eConcatenar(A293:CB293,"|")</f>
        <v>KIbg9SXxl6kLGbXX|COM2021-3372|3|MEMORIAL|TABASCO|COMALCALCO|COMALCALCO|2021-10-25|14800|0|100|50|1|0|0|0|0|0|0|0|0|0|0||0|0|0|CORDOVA|JIMENEZ|MARIA REYES|SOLTERO|X|X|VILLA TECOLUTILLA|VILLA TECOLUTILLA|X|9331072782|X|X|X|VILLA TECOLUTILLA|X|LUNES|x|x|x|x|x|DOMICILIO |500|14300|X|X|X|2022-02-22|2022-03-01|x|x|x|x|x|QX002L4E9KVTQO|x|HOMBRE|X|14800|X|X|X|X|X|X|X|X|CARDENAS|X|X|X|X|FINAL</v>
      </c>
    </row>
    <row r="294" spans="1:82" x14ac:dyDescent="0.25">
      <c r="A294" t="s">
        <v>702</v>
      </c>
      <c r="B294" t="s">
        <v>703</v>
      </c>
      <c r="C294">
        <v>3</v>
      </c>
      <c r="D294" t="s">
        <v>1368</v>
      </c>
      <c r="E294" t="s">
        <v>1380</v>
      </c>
      <c r="F294" t="s">
        <v>1384</v>
      </c>
      <c r="G294" t="s">
        <v>1384</v>
      </c>
      <c r="H294" t="s">
        <v>1487</v>
      </c>
      <c r="I294">
        <v>24500</v>
      </c>
      <c r="J294">
        <v>0</v>
      </c>
      <c r="K294">
        <v>200</v>
      </c>
      <c r="L294">
        <v>50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Y294">
        <v>0</v>
      </c>
      <c r="Z294">
        <v>0</v>
      </c>
      <c r="AA294">
        <v>0</v>
      </c>
      <c r="AB294" t="s">
        <v>2084</v>
      </c>
      <c r="AC294" t="s">
        <v>1739</v>
      </c>
      <c r="AD294" t="s">
        <v>2096</v>
      </c>
      <c r="AE294" t="s">
        <v>4</v>
      </c>
      <c r="AF294" t="s">
        <v>1</v>
      </c>
      <c r="AG294" t="s">
        <v>1</v>
      </c>
      <c r="AH294" t="s">
        <v>2683</v>
      </c>
      <c r="AI294" t="s">
        <v>2683</v>
      </c>
      <c r="AJ294" t="s">
        <v>1</v>
      </c>
      <c r="AK294">
        <v>9331223723</v>
      </c>
      <c r="AL294" t="s">
        <v>1</v>
      </c>
      <c r="AM294" t="s">
        <v>1</v>
      </c>
      <c r="AN294" t="s">
        <v>1</v>
      </c>
      <c r="AO294" t="s">
        <v>2683</v>
      </c>
      <c r="AP294" t="s">
        <v>1</v>
      </c>
      <c r="AQ294" t="s">
        <v>2</v>
      </c>
      <c r="AR294" t="s">
        <v>3</v>
      </c>
      <c r="AS294" t="s">
        <v>3</v>
      </c>
      <c r="AT294" t="s">
        <v>3</v>
      </c>
      <c r="AU294" t="s">
        <v>3</v>
      </c>
      <c r="AV294" t="s">
        <v>3</v>
      </c>
      <c r="AW294" t="s">
        <v>11</v>
      </c>
      <c r="AX294">
        <f>Tabla1[[#This Row],[precio del paquete]]-Tabla1[[#This Row],[Saldo_Deudor]]</f>
        <v>500</v>
      </c>
      <c r="AY294">
        <v>24000</v>
      </c>
      <c r="AZ294" t="s">
        <v>1</v>
      </c>
      <c r="BA294" t="s">
        <v>1</v>
      </c>
      <c r="BB294" t="s">
        <v>1</v>
      </c>
      <c r="BC294" t="s">
        <v>3261</v>
      </c>
      <c r="BD294" t="s">
        <v>1426</v>
      </c>
      <c r="BE294" t="s">
        <v>3</v>
      </c>
      <c r="BF294" t="s">
        <v>3</v>
      </c>
      <c r="BG294" t="s">
        <v>3</v>
      </c>
      <c r="BH294" t="s">
        <v>3</v>
      </c>
      <c r="BI294" t="s">
        <v>3</v>
      </c>
      <c r="BJ294" t="s">
        <v>3378</v>
      </c>
      <c r="BK294" t="s">
        <v>3</v>
      </c>
      <c r="BL294" t="s">
        <v>132</v>
      </c>
      <c r="BM294" t="s">
        <v>1</v>
      </c>
      <c r="BN294">
        <f>Tabla1[[#This Row],[precio del paquete]]</f>
        <v>24500</v>
      </c>
      <c r="BO294" t="s">
        <v>1</v>
      </c>
      <c r="BP294" t="s">
        <v>1</v>
      </c>
      <c r="BQ294" t="s">
        <v>1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0</v>
      </c>
      <c r="BX294" t="s">
        <v>1</v>
      </c>
      <c r="BY294" t="s">
        <v>1</v>
      </c>
      <c r="BZ294" t="s">
        <v>1</v>
      </c>
      <c r="CA294" t="s">
        <v>1</v>
      </c>
      <c r="CB294" t="s">
        <v>3382</v>
      </c>
      <c r="CD294" t="str" cm="1">
        <f t="array" aca="1" ref="CD294" ca="1">eConcatenar(A294:CB294,"|")</f>
        <v>GWL6ZYoJ3aebxPUe|COM2021-3102|3|DIGNITY|TABASCO|COMALCALCO|COMALCALCO|2021-10-01|24500|0|200|50|1|0|0|0|0|0|0|0|0|0|0||0|0|0|OSORIO|DE LOS SANTOS|JUANA|SOLTERO|X|X|RANCHERIA PATASTAL SEGUNDA SECCION|RANCHERIA PATASTAL SEGUNDA SECCION|X|9331223723|X|X|X|RANCHERIA PATASTAL SEGUNDA SECCION|X|LUNES|x|x|x|x|x|DOMICILIO |500|24000|X|X|X|2022-01-04|2022-01-11|x|x|x|x|x|QX002L4E9KVTQO|x|HOMBRE|X|24500|X|X|X|X|X|X|X|X|CARDENAS|X|X|X|X|FINAL</v>
      </c>
    </row>
    <row r="295" spans="1:82" x14ac:dyDescent="0.25">
      <c r="A295" t="s">
        <v>704</v>
      </c>
      <c r="B295" t="s">
        <v>705</v>
      </c>
      <c r="C295">
        <v>3</v>
      </c>
      <c r="D295" t="s">
        <v>1369</v>
      </c>
      <c r="E295" t="s">
        <v>1380</v>
      </c>
      <c r="F295" t="s">
        <v>1384</v>
      </c>
      <c r="G295" t="s">
        <v>1384</v>
      </c>
      <c r="H295" t="s">
        <v>1492</v>
      </c>
      <c r="I295">
        <v>14800</v>
      </c>
      <c r="J295">
        <v>0</v>
      </c>
      <c r="K295">
        <v>100</v>
      </c>
      <c r="L295">
        <v>50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Y295">
        <v>0</v>
      </c>
      <c r="Z295">
        <v>0</v>
      </c>
      <c r="AA295">
        <v>0</v>
      </c>
      <c r="AB295" t="s">
        <v>1711</v>
      </c>
      <c r="AC295" t="s">
        <v>2097</v>
      </c>
      <c r="AD295" t="s">
        <v>2098</v>
      </c>
      <c r="AE295" t="s">
        <v>4</v>
      </c>
      <c r="AF295" t="s">
        <v>1</v>
      </c>
      <c r="AG295" t="s">
        <v>1</v>
      </c>
      <c r="AH295" t="s">
        <v>2681</v>
      </c>
      <c r="AI295" t="s">
        <v>2681</v>
      </c>
      <c r="AJ295" t="s">
        <v>1</v>
      </c>
      <c r="AK295">
        <v>9331295360</v>
      </c>
      <c r="AL295" t="s">
        <v>1</v>
      </c>
      <c r="AM295" t="s">
        <v>1</v>
      </c>
      <c r="AN295" t="s">
        <v>1</v>
      </c>
      <c r="AO295" t="s">
        <v>2681</v>
      </c>
      <c r="AP295" t="s">
        <v>1</v>
      </c>
      <c r="AQ295" t="s">
        <v>2</v>
      </c>
      <c r="AR295" t="s">
        <v>3</v>
      </c>
      <c r="AS295" t="s">
        <v>3</v>
      </c>
      <c r="AT295" t="s">
        <v>3</v>
      </c>
      <c r="AU295" t="s">
        <v>3</v>
      </c>
      <c r="AV295" t="s">
        <v>3</v>
      </c>
      <c r="AW295" t="s">
        <v>11</v>
      </c>
      <c r="AX295">
        <f>Tabla1[[#This Row],[precio del paquete]]-Tabla1[[#This Row],[Saldo_Deudor]]</f>
        <v>850</v>
      </c>
      <c r="AY295">
        <v>13950</v>
      </c>
      <c r="AZ295" t="s">
        <v>1</v>
      </c>
      <c r="BA295" t="s">
        <v>1</v>
      </c>
      <c r="BB295" t="s">
        <v>1</v>
      </c>
      <c r="BC295" t="s">
        <v>3276</v>
      </c>
      <c r="BD295" t="s">
        <v>1659</v>
      </c>
      <c r="BE295" t="s">
        <v>3</v>
      </c>
      <c r="BF295" t="s">
        <v>3</v>
      </c>
      <c r="BG295" t="s">
        <v>3</v>
      </c>
      <c r="BH295" t="s">
        <v>3</v>
      </c>
      <c r="BI295" t="s">
        <v>3</v>
      </c>
      <c r="BJ295" t="s">
        <v>3378</v>
      </c>
      <c r="BK295" t="s">
        <v>3</v>
      </c>
      <c r="BL295" t="s">
        <v>132</v>
      </c>
      <c r="BM295" t="s">
        <v>1</v>
      </c>
      <c r="BN295">
        <f>Tabla1[[#This Row],[precio del paquete]]</f>
        <v>14800</v>
      </c>
      <c r="BO295" t="s">
        <v>1</v>
      </c>
      <c r="BP295" t="s">
        <v>1</v>
      </c>
      <c r="BQ295" t="s">
        <v>1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0</v>
      </c>
      <c r="BX295" t="s">
        <v>1</v>
      </c>
      <c r="BY295" t="s">
        <v>1</v>
      </c>
      <c r="BZ295" t="s">
        <v>1</v>
      </c>
      <c r="CA295" t="s">
        <v>1</v>
      </c>
      <c r="CB295" t="s">
        <v>3382</v>
      </c>
      <c r="CD295" t="str" cm="1">
        <f t="array" aca="1" ref="CD295" ca="1">eConcatenar(A295:CB295,"|")</f>
        <v>b7TJrr9ReUpfrOU9|COM2021-2118|3|MEMORIAL|TABASCO|COMALCALCO|COMALCALCO|2021-07-25|14800|0|100|50|1|0|0|0|0|0|0|0|0|0|0||0|0|0|HERNANDEZ|SASNCHEZ|SUSANA|SOLTERO|X|X|VILLA TECOLUTILLA|VILLA TECOLUTILLA|X|9331295360|X|X|X|VILLA TECOLUTILLA|X|LUNES|x|x|x|x|x|DOMICILIO |850|13950|X|X|X|2021-12-21|2021-12-28|x|x|x|x|x|QX002L4E9KVTQO|x|HOMBRE|X|14800|X|X|X|X|X|X|X|X|CARDENAS|X|X|X|X|FINAL</v>
      </c>
    </row>
    <row r="296" spans="1:82" x14ac:dyDescent="0.25">
      <c r="A296" t="s">
        <v>706</v>
      </c>
      <c r="B296" t="s">
        <v>707</v>
      </c>
      <c r="C296">
        <v>3</v>
      </c>
      <c r="D296" t="s">
        <v>1369</v>
      </c>
      <c r="E296" t="s">
        <v>1380</v>
      </c>
      <c r="F296" t="s">
        <v>1384</v>
      </c>
      <c r="G296" t="s">
        <v>1384</v>
      </c>
      <c r="H296" t="s">
        <v>1487</v>
      </c>
      <c r="I296">
        <v>14800</v>
      </c>
      <c r="J296">
        <v>0</v>
      </c>
      <c r="K296">
        <v>100</v>
      </c>
      <c r="L296">
        <v>50</v>
      </c>
      <c r="M296">
        <v>1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Y296">
        <v>0</v>
      </c>
      <c r="Z296">
        <v>0</v>
      </c>
      <c r="AA296">
        <v>0</v>
      </c>
      <c r="AB296" t="s">
        <v>1711</v>
      </c>
      <c r="AC296" t="s">
        <v>1731</v>
      </c>
      <c r="AD296" t="s">
        <v>2099</v>
      </c>
      <c r="AE296" t="s">
        <v>4</v>
      </c>
      <c r="AF296" t="s">
        <v>1</v>
      </c>
      <c r="AG296" t="s">
        <v>1</v>
      </c>
      <c r="AH296" t="s">
        <v>2681</v>
      </c>
      <c r="AI296" t="s">
        <v>2681</v>
      </c>
      <c r="AJ296" t="s">
        <v>1</v>
      </c>
      <c r="AK296">
        <v>9331240956</v>
      </c>
      <c r="AL296" t="s">
        <v>1</v>
      </c>
      <c r="AM296" t="s">
        <v>1</v>
      </c>
      <c r="AN296" t="s">
        <v>1</v>
      </c>
      <c r="AO296" t="s">
        <v>2681</v>
      </c>
      <c r="AP296" t="s">
        <v>1</v>
      </c>
      <c r="AQ296" t="s">
        <v>2</v>
      </c>
      <c r="AR296" t="s">
        <v>3</v>
      </c>
      <c r="AS296" t="s">
        <v>3</v>
      </c>
      <c r="AT296" t="s">
        <v>3</v>
      </c>
      <c r="AU296" t="s">
        <v>3</v>
      </c>
      <c r="AV296" t="s">
        <v>3</v>
      </c>
      <c r="AW296" t="s">
        <v>11</v>
      </c>
      <c r="AX296">
        <f>Tabla1[[#This Row],[precio del paquete]]-Tabla1[[#This Row],[Saldo_Deudor]]</f>
        <v>700</v>
      </c>
      <c r="AY296">
        <v>14100</v>
      </c>
      <c r="AZ296" t="s">
        <v>1</v>
      </c>
      <c r="BA296" t="s">
        <v>1</v>
      </c>
      <c r="BB296" t="s">
        <v>1</v>
      </c>
      <c r="BC296" t="s">
        <v>3273</v>
      </c>
      <c r="BD296" t="s">
        <v>3324</v>
      </c>
      <c r="BE296" t="s">
        <v>3</v>
      </c>
      <c r="BF296" t="s">
        <v>3</v>
      </c>
      <c r="BG296" t="s">
        <v>3</v>
      </c>
      <c r="BH296" t="s">
        <v>3</v>
      </c>
      <c r="BI296" t="s">
        <v>3</v>
      </c>
      <c r="BJ296" t="s">
        <v>3378</v>
      </c>
      <c r="BK296" t="s">
        <v>3</v>
      </c>
      <c r="BL296" t="s">
        <v>132</v>
      </c>
      <c r="BM296" t="s">
        <v>1</v>
      </c>
      <c r="BN296">
        <f>Tabla1[[#This Row],[precio del paquete]]</f>
        <v>14800</v>
      </c>
      <c r="BO296" t="s">
        <v>1</v>
      </c>
      <c r="BP296" t="s">
        <v>1</v>
      </c>
      <c r="BQ296" t="s">
        <v>1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0</v>
      </c>
      <c r="BX296" t="s">
        <v>1</v>
      </c>
      <c r="BY296" t="s">
        <v>1</v>
      </c>
      <c r="BZ296" t="s">
        <v>1</v>
      </c>
      <c r="CA296" t="s">
        <v>1</v>
      </c>
      <c r="CB296" t="s">
        <v>3382</v>
      </c>
      <c r="CD296" t="str" cm="1">
        <f t="array" aca="1" ref="CD296" ca="1">eConcatenar(A296:CB296,"|")</f>
        <v>KhTKAEWn1599tYM6|COM2021-3112|3|MEMORIAL|TABASCO|COMALCALCO|COMALCALCO|2021-10-01|14800|0|100|50|1|0|0|0|0|0|0|0|0|0|0||0|0|0|HERNANDEZ|GARCIA|EDUARDO|SOLTERO|X|X|VILLA TECOLUTILLA|VILLA TECOLUTILLA|X|9331240956|X|X|X|VILLA TECOLUTILLA|X|LUNES|x|x|x|x|x|DOMICILIO |700|14100|X|X|X|2022-01-18|2022-01-25|x|x|x|x|x|QX002L4E9KVTQO|x|HOMBRE|X|14800|X|X|X|X|X|X|X|X|CARDENAS|X|X|X|X|FINAL</v>
      </c>
    </row>
    <row r="297" spans="1:82" x14ac:dyDescent="0.25">
      <c r="A297" t="s">
        <v>708</v>
      </c>
      <c r="B297" t="s">
        <v>709</v>
      </c>
      <c r="C297">
        <v>3</v>
      </c>
      <c r="D297" t="s">
        <v>1369</v>
      </c>
      <c r="E297" t="s">
        <v>12</v>
      </c>
      <c r="F297" t="s">
        <v>0</v>
      </c>
      <c r="G297" t="s">
        <v>0</v>
      </c>
      <c r="H297" t="s">
        <v>1415</v>
      </c>
      <c r="I297">
        <v>14800</v>
      </c>
      <c r="J297">
        <v>0</v>
      </c>
      <c r="K297">
        <v>500</v>
      </c>
      <c r="L297">
        <v>50</v>
      </c>
      <c r="M297">
        <v>1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Y297">
        <v>0</v>
      </c>
      <c r="Z297">
        <v>0</v>
      </c>
      <c r="AA297">
        <v>0</v>
      </c>
      <c r="AB297" t="s">
        <v>1698</v>
      </c>
      <c r="AC297" t="s">
        <v>2100</v>
      </c>
      <c r="AD297" t="s">
        <v>2101</v>
      </c>
      <c r="AE297" t="s">
        <v>4</v>
      </c>
      <c r="AF297" t="s">
        <v>1</v>
      </c>
      <c r="AG297" t="s">
        <v>1</v>
      </c>
      <c r="AH297" t="s">
        <v>2684</v>
      </c>
      <c r="AI297" t="s">
        <v>3085</v>
      </c>
      <c r="AJ297" t="s">
        <v>1</v>
      </c>
      <c r="AK297">
        <v>9932779199</v>
      </c>
      <c r="AL297" t="s">
        <v>1</v>
      </c>
      <c r="AM297" t="s">
        <v>1</v>
      </c>
      <c r="AN297" t="s">
        <v>1</v>
      </c>
      <c r="AO297" t="s">
        <v>2684</v>
      </c>
      <c r="AP297" t="s">
        <v>1</v>
      </c>
      <c r="AQ297" t="s">
        <v>2</v>
      </c>
      <c r="AR297" t="s">
        <v>3</v>
      </c>
      <c r="AS297" t="s">
        <v>3</v>
      </c>
      <c r="AT297" t="s">
        <v>3</v>
      </c>
      <c r="AU297" t="s">
        <v>3</v>
      </c>
      <c r="AV297" t="s">
        <v>3</v>
      </c>
      <c r="AW297" t="s">
        <v>11</v>
      </c>
      <c r="AX297">
        <f>Tabla1[[#This Row],[precio del paquete]]-Tabla1[[#This Row],[Saldo_Deudor]]</f>
        <v>1300</v>
      </c>
      <c r="AY297">
        <v>13500</v>
      </c>
      <c r="AZ297" t="s">
        <v>1</v>
      </c>
      <c r="BA297" t="s">
        <v>1</v>
      </c>
      <c r="BB297" t="s">
        <v>1</v>
      </c>
      <c r="BC297" t="s">
        <v>1406</v>
      </c>
      <c r="BD297" t="s">
        <v>3308</v>
      </c>
      <c r="BE297" t="s">
        <v>3</v>
      </c>
      <c r="BF297" t="s">
        <v>3</v>
      </c>
      <c r="BG297" t="s">
        <v>3</v>
      </c>
      <c r="BH297" t="s">
        <v>3</v>
      </c>
      <c r="BI297" t="s">
        <v>3</v>
      </c>
      <c r="BJ297" t="s">
        <v>3355</v>
      </c>
      <c r="BK297" t="s">
        <v>3</v>
      </c>
      <c r="BL297" t="s">
        <v>132</v>
      </c>
      <c r="BM297" t="s">
        <v>1</v>
      </c>
      <c r="BN297">
        <f>Tabla1[[#This Row],[precio del paquete]]</f>
        <v>14800</v>
      </c>
      <c r="BO297" t="s">
        <v>1</v>
      </c>
      <c r="BP297" t="s">
        <v>1</v>
      </c>
      <c r="BQ297" t="s">
        <v>1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0</v>
      </c>
      <c r="BX297" t="s">
        <v>1</v>
      </c>
      <c r="BY297" t="s">
        <v>1</v>
      </c>
      <c r="BZ297" t="s">
        <v>1</v>
      </c>
      <c r="CA297" t="s">
        <v>1</v>
      </c>
      <c r="CB297" t="s">
        <v>3382</v>
      </c>
      <c r="CD297" t="str" cm="1">
        <f t="array" aca="1" ref="CD297" ca="1">eConcatenar(A297:CB297,"|")</f>
        <v>5XpxPRvPBJfDPgNZ|CAR2021-7653|3|MEMORIAL|TABASCO |CARDENAS|CARDENAS|2021-12-23|14800|0|500|50|1|0|0|0|0|0|0|0|0|0|0||0|0|0|VAZQUEZ|ALEGRIA|JORGE LINA|SOLTERO|X|X|AQUILES CALDERON |COLONIA SECCION 40|X|9932779199|X|X|X|AQUILES CALDERON |X|LUNES|x|x|x|x|x|DOMICILIO |1300|13500|X|X|X|2022-02-16|2022-02-23|x|x|x|x|x|OQGRX80BMUHQJ2X|x|HOMBRE|X|14800|X|X|X|X|X|X|X|X|CARDENAS|X|X|X|X|FINAL</v>
      </c>
    </row>
    <row r="298" spans="1:82" x14ac:dyDescent="0.25">
      <c r="A298" t="s">
        <v>710</v>
      </c>
      <c r="B298" t="s">
        <v>711</v>
      </c>
      <c r="C298">
        <v>3</v>
      </c>
      <c r="D298" t="s">
        <v>1373</v>
      </c>
      <c r="E298" t="s">
        <v>12</v>
      </c>
      <c r="F298" t="s">
        <v>0</v>
      </c>
      <c r="G298" t="s">
        <v>0</v>
      </c>
      <c r="H298" t="s">
        <v>1493</v>
      </c>
      <c r="I298">
        <v>19800</v>
      </c>
      <c r="J298">
        <v>0</v>
      </c>
      <c r="K298">
        <v>200</v>
      </c>
      <c r="L298">
        <v>50</v>
      </c>
      <c r="M298">
        <v>1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Y298">
        <v>0</v>
      </c>
      <c r="Z298">
        <v>0</v>
      </c>
      <c r="AA298">
        <v>0</v>
      </c>
      <c r="AB298" t="s">
        <v>1812</v>
      </c>
      <c r="AC298" t="s">
        <v>1708</v>
      </c>
      <c r="AD298" t="s">
        <v>2102</v>
      </c>
      <c r="AE298" t="s">
        <v>4</v>
      </c>
      <c r="AF298" t="s">
        <v>1</v>
      </c>
      <c r="AG298" t="s">
        <v>1</v>
      </c>
      <c r="AH298" t="s">
        <v>2685</v>
      </c>
      <c r="AI298" t="s">
        <v>3108</v>
      </c>
      <c r="AJ298" t="s">
        <v>1</v>
      </c>
      <c r="AK298">
        <v>9371465550</v>
      </c>
      <c r="AL298" t="s">
        <v>1</v>
      </c>
      <c r="AM298" t="s">
        <v>1</v>
      </c>
      <c r="AN298" t="s">
        <v>1</v>
      </c>
      <c r="AO298" t="s">
        <v>2685</v>
      </c>
      <c r="AP298" t="s">
        <v>1</v>
      </c>
      <c r="AQ298" t="s">
        <v>2</v>
      </c>
      <c r="AR298" t="s">
        <v>3</v>
      </c>
      <c r="AS298" t="s">
        <v>3</v>
      </c>
      <c r="AT298" t="s">
        <v>3</v>
      </c>
      <c r="AU298" t="s">
        <v>3</v>
      </c>
      <c r="AV298" t="s">
        <v>3</v>
      </c>
      <c r="AW298" t="s">
        <v>11</v>
      </c>
      <c r="AX298">
        <f>Tabla1[[#This Row],[precio del paquete]]-Tabla1[[#This Row],[Saldo_Deudor]]</f>
        <v>4500</v>
      </c>
      <c r="AY298">
        <v>15300</v>
      </c>
      <c r="AZ298" t="s">
        <v>1</v>
      </c>
      <c r="BA298" t="s">
        <v>1</v>
      </c>
      <c r="BB298" t="s">
        <v>1</v>
      </c>
      <c r="BC298" t="s">
        <v>1406</v>
      </c>
      <c r="BD298" t="s">
        <v>3308</v>
      </c>
      <c r="BE298" t="s">
        <v>3</v>
      </c>
      <c r="BF298" t="s">
        <v>3</v>
      </c>
      <c r="BG298" t="s">
        <v>3</v>
      </c>
      <c r="BH298" t="s">
        <v>3</v>
      </c>
      <c r="BI298" t="s">
        <v>3</v>
      </c>
      <c r="BJ298" t="s">
        <v>3355</v>
      </c>
      <c r="BK298" t="s">
        <v>3</v>
      </c>
      <c r="BL298" t="s">
        <v>132</v>
      </c>
      <c r="BM298" t="s">
        <v>1</v>
      </c>
      <c r="BN298">
        <f>Tabla1[[#This Row],[precio del paquete]]</f>
        <v>19800</v>
      </c>
      <c r="BO298" t="s">
        <v>1</v>
      </c>
      <c r="BP298" t="s">
        <v>1</v>
      </c>
      <c r="BQ298" t="s">
        <v>1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0</v>
      </c>
      <c r="BX298" t="s">
        <v>1</v>
      </c>
      <c r="BY298" t="s">
        <v>1</v>
      </c>
      <c r="BZ298" t="s">
        <v>1</v>
      </c>
      <c r="CA298" t="s">
        <v>1</v>
      </c>
      <c r="CB298" t="s">
        <v>3382</v>
      </c>
      <c r="CD298" t="str" cm="1">
        <f t="array" aca="1" ref="CD298" ca="1">eConcatenar(A298:CB298,"|")</f>
        <v>9qw3TEoy9ssw7vgz|CAR2020-2869|3|ZAFIRO|TABASCO |CARDENAS|CARDENAS|2020-09-03|19800|0|200|50|1|0|0|0|0|0|0|0|0|0|0||0|0|0|SANCHEZ||AMELIA FOCIL|SOLTERO|X|X|CALLE HOMBRES DEL SURESTE |COLONIA CARDENAS CENTRO |X|9371465550|X|X|X|CALLE HOMBRES DEL SURESTE |X|LUNES|x|x|x|x|x|DOMICILIO |4500|15300|X|X|X|2022-02-16|2022-02-23|x|x|x|x|x|OQGRX80BMUHQJ2X|x|HOMBRE|X|19800|X|X|X|X|X|X|X|X|CARDENAS|X|X|X|X|FINAL</v>
      </c>
    </row>
    <row r="299" spans="1:82" x14ac:dyDescent="0.25">
      <c r="A299" t="s">
        <v>712</v>
      </c>
      <c r="B299" t="s">
        <v>713</v>
      </c>
      <c r="C299">
        <v>3</v>
      </c>
      <c r="D299" t="s">
        <v>1368</v>
      </c>
      <c r="E299" t="s">
        <v>12</v>
      </c>
      <c r="F299" t="s">
        <v>0</v>
      </c>
      <c r="G299" t="s">
        <v>0</v>
      </c>
      <c r="H299" t="s">
        <v>1494</v>
      </c>
      <c r="I299">
        <v>24500</v>
      </c>
      <c r="J299">
        <v>0</v>
      </c>
      <c r="K299">
        <v>200</v>
      </c>
      <c r="L299">
        <v>50</v>
      </c>
      <c r="M299">
        <v>1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Y299">
        <v>0</v>
      </c>
      <c r="Z299">
        <v>0</v>
      </c>
      <c r="AA299">
        <v>0</v>
      </c>
      <c r="AB299" t="s">
        <v>1727</v>
      </c>
      <c r="AC299" t="s">
        <v>1708</v>
      </c>
      <c r="AD299" t="s">
        <v>2103</v>
      </c>
      <c r="AE299" t="s">
        <v>4</v>
      </c>
      <c r="AF299" t="s">
        <v>1</v>
      </c>
      <c r="AG299" t="s">
        <v>1</v>
      </c>
      <c r="AH299" t="s">
        <v>2686</v>
      </c>
      <c r="AI299" t="s">
        <v>3109</v>
      </c>
      <c r="AJ299" t="s">
        <v>1</v>
      </c>
      <c r="AK299">
        <v>9372837838</v>
      </c>
      <c r="AL299" t="s">
        <v>1</v>
      </c>
      <c r="AM299" t="s">
        <v>1</v>
      </c>
      <c r="AN299" t="s">
        <v>1</v>
      </c>
      <c r="AO299" t="s">
        <v>2686</v>
      </c>
      <c r="AP299" t="s">
        <v>1</v>
      </c>
      <c r="AQ299" t="s">
        <v>2</v>
      </c>
      <c r="AR299" t="s">
        <v>3</v>
      </c>
      <c r="AS299" t="s">
        <v>3</v>
      </c>
      <c r="AT299" t="s">
        <v>3</v>
      </c>
      <c r="AU299" t="s">
        <v>3</v>
      </c>
      <c r="AV299" t="s">
        <v>3</v>
      </c>
      <c r="AW299" t="s">
        <v>11</v>
      </c>
      <c r="AX299">
        <f>Tabla1[[#This Row],[precio del paquete]]-Tabla1[[#This Row],[Saldo_Deudor]]</f>
        <v>1200</v>
      </c>
      <c r="AY299">
        <v>23300</v>
      </c>
      <c r="AZ299" t="s">
        <v>1</v>
      </c>
      <c r="BA299" t="s">
        <v>1</v>
      </c>
      <c r="BB299" t="s">
        <v>1</v>
      </c>
      <c r="BC299" t="s">
        <v>1406</v>
      </c>
      <c r="BD299" t="s">
        <v>3308</v>
      </c>
      <c r="BE299" t="s">
        <v>3</v>
      </c>
      <c r="BF299" t="s">
        <v>3</v>
      </c>
      <c r="BG299" t="s">
        <v>3</v>
      </c>
      <c r="BH299" t="s">
        <v>3</v>
      </c>
      <c r="BI299" t="s">
        <v>3</v>
      </c>
      <c r="BJ299" t="s">
        <v>3355</v>
      </c>
      <c r="BK299" t="s">
        <v>3</v>
      </c>
      <c r="BL299" t="s">
        <v>132</v>
      </c>
      <c r="BM299" t="s">
        <v>1</v>
      </c>
      <c r="BN299">
        <f>Tabla1[[#This Row],[precio del paquete]]</f>
        <v>24500</v>
      </c>
      <c r="BO299" t="s">
        <v>1</v>
      </c>
      <c r="BP299" t="s">
        <v>1</v>
      </c>
      <c r="BQ299" t="s">
        <v>1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0</v>
      </c>
      <c r="BX299" t="s">
        <v>1</v>
      </c>
      <c r="BY299" t="s">
        <v>1</v>
      </c>
      <c r="BZ299" t="s">
        <v>1</v>
      </c>
      <c r="CA299" t="s">
        <v>1</v>
      </c>
      <c r="CB299" t="s">
        <v>3382</v>
      </c>
      <c r="CD299" t="str" cm="1">
        <f t="array" aca="1" ref="CD299" ca="1">eConcatenar(A299:CB299,"|")</f>
        <v>NlZLQ0tN9A4Dh8j2|CAR2021-6485|3|DIGNITY|TABASCO |CARDENAS|CARDENAS|2021-10-29|24500|0|200|50|1|0|0|0|0|0|0|0|0|0|0||0|0|0|RIVERA||VERONICA LEON|SOLTERO|X|X|CALLE CINCO|RANCHERIA HABANERO PRIMERA SECCION (VENUSTIANO)|X|9372837838|X|X|X|CALLE CINCO|X|LUNES|x|x|x|x|x|DOMICILIO |1200|23300|X|X|X|2022-02-16|2022-02-23|x|x|x|x|x|OQGRX80BMUHQJ2X|x|HOMBRE|X|24500|X|X|X|X|X|X|X|X|CARDENAS|X|X|X|X|FINAL</v>
      </c>
    </row>
    <row r="300" spans="1:82" x14ac:dyDescent="0.25">
      <c r="A300" t="s">
        <v>714</v>
      </c>
      <c r="B300" t="s">
        <v>291</v>
      </c>
      <c r="C300">
        <v>3</v>
      </c>
      <c r="D300" t="s">
        <v>1369</v>
      </c>
      <c r="E300" t="s">
        <v>12</v>
      </c>
      <c r="F300" t="s">
        <v>0</v>
      </c>
      <c r="G300" t="s">
        <v>0</v>
      </c>
      <c r="H300" t="s">
        <v>1389</v>
      </c>
      <c r="I300">
        <v>14800</v>
      </c>
      <c r="J300">
        <v>0</v>
      </c>
      <c r="K300">
        <v>100</v>
      </c>
      <c r="L300">
        <v>50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Y300">
        <v>0</v>
      </c>
      <c r="Z300">
        <v>0</v>
      </c>
      <c r="AA300">
        <v>0</v>
      </c>
      <c r="AB300" t="s">
        <v>1820</v>
      </c>
      <c r="AC300" t="s">
        <v>1743</v>
      </c>
      <c r="AD300" t="s">
        <v>1834</v>
      </c>
      <c r="AE300" t="s">
        <v>4</v>
      </c>
      <c r="AF300" t="s">
        <v>1</v>
      </c>
      <c r="AG300" t="s">
        <v>1</v>
      </c>
      <c r="AH300" t="s">
        <v>2687</v>
      </c>
      <c r="AI300" t="s">
        <v>3109</v>
      </c>
      <c r="AJ300" t="s">
        <v>1</v>
      </c>
      <c r="AK300">
        <v>9371400520</v>
      </c>
      <c r="AL300" t="s">
        <v>1</v>
      </c>
      <c r="AM300" t="s">
        <v>1</v>
      </c>
      <c r="AN300" t="s">
        <v>1</v>
      </c>
      <c r="AO300" t="s">
        <v>2687</v>
      </c>
      <c r="AP300" t="s">
        <v>1</v>
      </c>
      <c r="AQ300" t="s">
        <v>2</v>
      </c>
      <c r="AR300" t="s">
        <v>3</v>
      </c>
      <c r="AS300" t="s">
        <v>3</v>
      </c>
      <c r="AT300" t="s">
        <v>3</v>
      </c>
      <c r="AU300" t="s">
        <v>3</v>
      </c>
      <c r="AV300" t="s">
        <v>3</v>
      </c>
      <c r="AW300" t="s">
        <v>11</v>
      </c>
      <c r="AX300">
        <f>Tabla1[[#This Row],[precio del paquete]]-Tabla1[[#This Row],[Saldo_Deudor]]</f>
        <v>400</v>
      </c>
      <c r="AY300">
        <v>14400</v>
      </c>
      <c r="AZ300" t="s">
        <v>1</v>
      </c>
      <c r="BA300" t="s">
        <v>1</v>
      </c>
      <c r="BB300" t="s">
        <v>1</v>
      </c>
      <c r="BC300" t="s">
        <v>1406</v>
      </c>
      <c r="BD300" t="s">
        <v>3308</v>
      </c>
      <c r="BE300" t="s">
        <v>3</v>
      </c>
      <c r="BF300" t="s">
        <v>3</v>
      </c>
      <c r="BG300" t="s">
        <v>3</v>
      </c>
      <c r="BH300" t="s">
        <v>3</v>
      </c>
      <c r="BI300" t="s">
        <v>3</v>
      </c>
      <c r="BJ300" t="s">
        <v>3355</v>
      </c>
      <c r="BK300" t="s">
        <v>3</v>
      </c>
      <c r="BL300" t="s">
        <v>132</v>
      </c>
      <c r="BM300" t="s">
        <v>1</v>
      </c>
      <c r="BN300">
        <f>Tabla1[[#This Row],[precio del paquete]]</f>
        <v>14800</v>
      </c>
      <c r="BO300" t="s">
        <v>1</v>
      </c>
      <c r="BP300" t="s">
        <v>1</v>
      </c>
      <c r="BQ300" t="s">
        <v>1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0</v>
      </c>
      <c r="BX300" t="s">
        <v>1</v>
      </c>
      <c r="BY300" t="s">
        <v>1</v>
      </c>
      <c r="BZ300" t="s">
        <v>1</v>
      </c>
      <c r="CA300" t="s">
        <v>1</v>
      </c>
      <c r="CB300" t="s">
        <v>3382</v>
      </c>
      <c r="CD300" t="str" cm="1">
        <f t="array" aca="1" ref="CD300" ca="1">eConcatenar(A300:CB300,"|")</f>
        <v>MEdmdxDmyaErOmgO|CAR2022-0623|3|MEMORIAL|TABASCO |CARDENAS|CARDENAS|2022-02-01|14800|0|100|50|1|0|0|0|0|0|0|0|0|0|0||0|0|0|MONTEJO|DIAZ|MARTHA ELENA|SOLTERO|X|X|CALLE NUMERO SEIS |RANCHERIA HABANERO PRIMERA SECCION (VENUSTIANO)|X|9371400520|X|X|X|CALLE NUMERO SEIS |X|LUNES|x|x|x|x|x|DOMICILIO |400|14400|X|X|X|2022-02-16|2022-02-23|x|x|x|x|x|OQGRX80BMUHQJ2X|x|HOMBRE|X|14800|X|X|X|X|X|X|X|X|CARDENAS|X|X|X|X|FINAL</v>
      </c>
    </row>
    <row r="301" spans="1:82" x14ac:dyDescent="0.25">
      <c r="A301" t="s">
        <v>715</v>
      </c>
      <c r="B301" t="s">
        <v>289</v>
      </c>
      <c r="C301">
        <v>3</v>
      </c>
      <c r="D301" t="s">
        <v>1369</v>
      </c>
      <c r="E301" t="s">
        <v>12</v>
      </c>
      <c r="F301" t="s">
        <v>0</v>
      </c>
      <c r="G301" t="s">
        <v>0</v>
      </c>
      <c r="H301" t="s">
        <v>1390</v>
      </c>
      <c r="I301">
        <v>14800</v>
      </c>
      <c r="J301">
        <v>0</v>
      </c>
      <c r="K301">
        <v>500</v>
      </c>
      <c r="L301">
        <v>50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Y301">
        <v>0</v>
      </c>
      <c r="Z301">
        <v>0</v>
      </c>
      <c r="AA301">
        <v>0</v>
      </c>
      <c r="AB301" t="s">
        <v>2104</v>
      </c>
      <c r="AC301" t="s">
        <v>1708</v>
      </c>
      <c r="AD301" t="s">
        <v>2105</v>
      </c>
      <c r="AE301" t="s">
        <v>4</v>
      </c>
      <c r="AF301" t="s">
        <v>1</v>
      </c>
      <c r="AG301" t="s">
        <v>1</v>
      </c>
      <c r="AH301" t="s">
        <v>2688</v>
      </c>
      <c r="AI301" t="s">
        <v>3109</v>
      </c>
      <c r="AJ301" t="s">
        <v>1</v>
      </c>
      <c r="AK301">
        <v>9371108240</v>
      </c>
      <c r="AL301" t="s">
        <v>1</v>
      </c>
      <c r="AM301" t="s">
        <v>1</v>
      </c>
      <c r="AN301" t="s">
        <v>1</v>
      </c>
      <c r="AO301" t="s">
        <v>2688</v>
      </c>
      <c r="AP301" t="s">
        <v>1</v>
      </c>
      <c r="AQ301" t="s">
        <v>2</v>
      </c>
      <c r="AR301" t="s">
        <v>3</v>
      </c>
      <c r="AS301" t="s">
        <v>3</v>
      </c>
      <c r="AT301" t="s">
        <v>3</v>
      </c>
      <c r="AU301" t="s">
        <v>3</v>
      </c>
      <c r="AV301" t="s">
        <v>3</v>
      </c>
      <c r="AW301" t="s">
        <v>11</v>
      </c>
      <c r="AX301">
        <f>Tabla1[[#This Row],[precio del paquete]]-Tabla1[[#This Row],[Saldo_Deudor]]</f>
        <v>1700</v>
      </c>
      <c r="AY301">
        <v>13100</v>
      </c>
      <c r="AZ301" t="s">
        <v>1</v>
      </c>
      <c r="BA301" t="s">
        <v>1</v>
      </c>
      <c r="BB301" t="s">
        <v>1</v>
      </c>
      <c r="BC301" t="s">
        <v>1406</v>
      </c>
      <c r="BD301" t="s">
        <v>3308</v>
      </c>
      <c r="BE301" t="s">
        <v>3</v>
      </c>
      <c r="BF301" t="s">
        <v>3</v>
      </c>
      <c r="BG301" t="s">
        <v>3</v>
      </c>
      <c r="BH301" t="s">
        <v>3</v>
      </c>
      <c r="BI301" t="s">
        <v>3</v>
      </c>
      <c r="BJ301" t="s">
        <v>3355</v>
      </c>
      <c r="BK301" t="s">
        <v>3</v>
      </c>
      <c r="BL301" t="s">
        <v>132</v>
      </c>
      <c r="BM301" t="s">
        <v>1</v>
      </c>
      <c r="BN301">
        <f>Tabla1[[#This Row],[precio del paquete]]</f>
        <v>14800</v>
      </c>
      <c r="BO301" t="s">
        <v>1</v>
      </c>
      <c r="BP301" t="s">
        <v>1</v>
      </c>
      <c r="BQ301" t="s">
        <v>1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0</v>
      </c>
      <c r="BX301" t="s">
        <v>1</v>
      </c>
      <c r="BY301" t="s">
        <v>1</v>
      </c>
      <c r="BZ301" t="s">
        <v>1</v>
      </c>
      <c r="CA301" t="s">
        <v>1</v>
      </c>
      <c r="CB301" t="s">
        <v>3382</v>
      </c>
      <c r="CD301" t="str" cm="1">
        <f t="array" aca="1" ref="CD301" ca="1">eConcatenar(A301:CB301,"|")</f>
        <v>2QUtpSnLKWvqqpF0|CAR2022-0641|3|MEMORIAL|TABASCO |CARDENAS|CARDENAS|2022-02-02|14800|0|500|50|1|0|0|0|0|0|0|0|0|0|0||0|0|0|DE LOS SANTO||DOMINGO SANTO|SOLTERO|X|X|CALLE NUMERO SIETE |RANCHERIA HABANERO PRIMERA SECCION (VENUSTIANO)|X|9371108240|X|X|X|CALLE NUMERO SIETE |X|LUNES|x|x|x|x|x|DOMICILIO |1700|13100|X|X|X|2022-02-16|2022-02-23|x|x|x|x|x|OQGRX80BMUHQJ2X|x|HOMBRE|X|14800|X|X|X|X|X|X|X|X|CARDENAS|X|X|X|X|FINAL</v>
      </c>
    </row>
    <row r="302" spans="1:82" x14ac:dyDescent="0.25">
      <c r="A302" t="s">
        <v>716</v>
      </c>
      <c r="B302" t="s">
        <v>717</v>
      </c>
      <c r="C302">
        <v>3</v>
      </c>
      <c r="D302" t="s">
        <v>1369</v>
      </c>
      <c r="E302" t="s">
        <v>12</v>
      </c>
      <c r="F302" t="s">
        <v>0</v>
      </c>
      <c r="G302" t="s">
        <v>0</v>
      </c>
      <c r="H302" t="s">
        <v>1495</v>
      </c>
      <c r="I302">
        <v>14800</v>
      </c>
      <c r="J302">
        <v>0</v>
      </c>
      <c r="K302">
        <v>500</v>
      </c>
      <c r="L302">
        <v>50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Y302">
        <v>0</v>
      </c>
      <c r="Z302">
        <v>0</v>
      </c>
      <c r="AA302">
        <v>0</v>
      </c>
      <c r="AB302" t="s">
        <v>2011</v>
      </c>
      <c r="AC302" t="s">
        <v>1708</v>
      </c>
      <c r="AD302" t="s">
        <v>2106</v>
      </c>
      <c r="AE302" t="s">
        <v>4</v>
      </c>
      <c r="AF302" t="s">
        <v>1</v>
      </c>
      <c r="AG302" t="s">
        <v>1</v>
      </c>
      <c r="AH302" t="s">
        <v>2689</v>
      </c>
      <c r="AI302" t="s">
        <v>3109</v>
      </c>
      <c r="AJ302" t="s">
        <v>1</v>
      </c>
      <c r="AK302">
        <v>9372039463</v>
      </c>
      <c r="AL302" t="s">
        <v>1</v>
      </c>
      <c r="AM302" t="s">
        <v>1</v>
      </c>
      <c r="AN302" t="s">
        <v>1</v>
      </c>
      <c r="AO302" t="s">
        <v>2689</v>
      </c>
      <c r="AP302" t="s">
        <v>1</v>
      </c>
      <c r="AQ302" t="s">
        <v>2</v>
      </c>
      <c r="AR302" t="s">
        <v>3</v>
      </c>
      <c r="AS302" t="s">
        <v>3</v>
      </c>
      <c r="AT302" t="s">
        <v>3</v>
      </c>
      <c r="AU302" t="s">
        <v>3</v>
      </c>
      <c r="AV302" t="s">
        <v>3</v>
      </c>
      <c r="AW302" t="s">
        <v>11</v>
      </c>
      <c r="AX302">
        <f>Tabla1[[#This Row],[precio del paquete]]-Tabla1[[#This Row],[Saldo_Deudor]]</f>
        <v>1500</v>
      </c>
      <c r="AY302">
        <v>13300</v>
      </c>
      <c r="AZ302" t="s">
        <v>1</v>
      </c>
      <c r="BA302" t="s">
        <v>1</v>
      </c>
      <c r="BB302" t="s">
        <v>1</v>
      </c>
      <c r="BC302" t="s">
        <v>1406</v>
      </c>
      <c r="BD302" t="s">
        <v>3308</v>
      </c>
      <c r="BE302" t="s">
        <v>3</v>
      </c>
      <c r="BF302" t="s">
        <v>3</v>
      </c>
      <c r="BG302" t="s">
        <v>3</v>
      </c>
      <c r="BH302" t="s">
        <v>3</v>
      </c>
      <c r="BI302" t="s">
        <v>3</v>
      </c>
      <c r="BJ302" t="s">
        <v>3355</v>
      </c>
      <c r="BK302" t="s">
        <v>3</v>
      </c>
      <c r="BL302" t="s">
        <v>132</v>
      </c>
      <c r="BM302" t="s">
        <v>1</v>
      </c>
      <c r="BN302">
        <f>Tabla1[[#This Row],[precio del paquete]]</f>
        <v>14800</v>
      </c>
      <c r="BO302" t="s">
        <v>1</v>
      </c>
      <c r="BP302" t="s">
        <v>1</v>
      </c>
      <c r="BQ302" t="s">
        <v>1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0</v>
      </c>
      <c r="BX302" t="s">
        <v>1</v>
      </c>
      <c r="BY302" t="s">
        <v>1</v>
      </c>
      <c r="BZ302" t="s">
        <v>1</v>
      </c>
      <c r="CA302" t="s">
        <v>1</v>
      </c>
      <c r="CB302" t="s">
        <v>3382</v>
      </c>
      <c r="CD302" t="str" cm="1">
        <f t="array" aca="1" ref="CD302" ca="1">eConcatenar(A302:CB302,"|")</f>
        <v>S5WcMImGhBWJxbLy|CAR2021-7499|3|MEMORIAL|TABASCO |CARDENAS|CARDENAS|2021-12-08|14800|0|500|50|1|0|0|0|0|0|0|0|0|0|0||0|0|0|ALEJANDRO||GUADALUPE PINEDA|SOLTERO|X|X|CALLEJON LAS CAROLINAS |RANCHERIA HABANERO PRIMERA SECCION (VENUSTIANO)|X|9372039463|X|X|X|CALLEJON LAS CAROLINAS |X|LUNES|x|x|x|x|x|DOMICILIO |1500|13300|X|X|X|2022-02-16|2022-02-23|x|x|x|x|x|OQGRX80BMUHQJ2X|x|HOMBRE|X|14800|X|X|X|X|X|X|X|X|CARDENAS|X|X|X|X|FINAL</v>
      </c>
    </row>
    <row r="303" spans="1:82" x14ac:dyDescent="0.25">
      <c r="A303" t="s">
        <v>718</v>
      </c>
      <c r="B303" t="s">
        <v>719</v>
      </c>
      <c r="C303">
        <v>3</v>
      </c>
      <c r="D303" t="s">
        <v>14</v>
      </c>
      <c r="E303" t="s">
        <v>12</v>
      </c>
      <c r="F303" t="s">
        <v>0</v>
      </c>
      <c r="G303" t="s">
        <v>0</v>
      </c>
      <c r="H303" t="s">
        <v>1496</v>
      </c>
      <c r="I303">
        <v>12900</v>
      </c>
      <c r="J303">
        <v>0</v>
      </c>
      <c r="K303">
        <v>0</v>
      </c>
      <c r="L303">
        <v>50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Y303">
        <v>0</v>
      </c>
      <c r="Z303">
        <v>0</v>
      </c>
      <c r="AA303">
        <v>0</v>
      </c>
      <c r="AB303" t="s">
        <v>1731</v>
      </c>
      <c r="AC303" t="s">
        <v>1711</v>
      </c>
      <c r="AD303" t="s">
        <v>2021</v>
      </c>
      <c r="AE303" t="s">
        <v>4</v>
      </c>
      <c r="AF303" t="s">
        <v>1</v>
      </c>
      <c r="AG303" t="s">
        <v>1</v>
      </c>
      <c r="AH303" t="s">
        <v>2690</v>
      </c>
      <c r="AI303" t="s">
        <v>3052</v>
      </c>
      <c r="AJ303" t="s">
        <v>1</v>
      </c>
      <c r="AK303">
        <v>9371271368</v>
      </c>
      <c r="AL303" t="s">
        <v>1</v>
      </c>
      <c r="AM303" t="s">
        <v>1</v>
      </c>
      <c r="AN303" t="s">
        <v>1</v>
      </c>
      <c r="AO303" t="s">
        <v>2690</v>
      </c>
      <c r="AP303" t="s">
        <v>1</v>
      </c>
      <c r="AQ303" t="s">
        <v>2</v>
      </c>
      <c r="AR303" t="s">
        <v>3</v>
      </c>
      <c r="AS303" t="s">
        <v>3</v>
      </c>
      <c r="AT303" t="s">
        <v>3</v>
      </c>
      <c r="AU303" t="s">
        <v>3</v>
      </c>
      <c r="AV303" t="s">
        <v>3</v>
      </c>
      <c r="AW303" t="s">
        <v>11</v>
      </c>
      <c r="AX303">
        <f>Tabla1[[#This Row],[precio del paquete]]-Tabla1[[#This Row],[Saldo_Deudor]]</f>
        <v>12900</v>
      </c>
      <c r="AY303">
        <v>0</v>
      </c>
      <c r="AZ303" t="s">
        <v>1</v>
      </c>
      <c r="BA303" t="s">
        <v>1</v>
      </c>
      <c r="BB303" t="s">
        <v>1</v>
      </c>
      <c r="BC303" t="s">
        <v>1406</v>
      </c>
      <c r="BD303" t="s">
        <v>3308</v>
      </c>
      <c r="BE303" t="s">
        <v>3</v>
      </c>
      <c r="BF303" t="s">
        <v>3</v>
      </c>
      <c r="BG303" t="s">
        <v>3</v>
      </c>
      <c r="BH303" t="s">
        <v>3</v>
      </c>
      <c r="BI303" t="s">
        <v>3</v>
      </c>
      <c r="BJ303" t="s">
        <v>3355</v>
      </c>
      <c r="BK303" t="s">
        <v>3</v>
      </c>
      <c r="BL303" t="s">
        <v>132</v>
      </c>
      <c r="BM303" t="s">
        <v>1</v>
      </c>
      <c r="BN303">
        <f>Tabla1[[#This Row],[precio del paquete]]</f>
        <v>12900</v>
      </c>
      <c r="BO303" t="s">
        <v>1</v>
      </c>
      <c r="BP303" t="s">
        <v>1</v>
      </c>
      <c r="BQ303" t="s">
        <v>1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0</v>
      </c>
      <c r="BX303" t="s">
        <v>1</v>
      </c>
      <c r="BY303" t="s">
        <v>1</v>
      </c>
      <c r="BZ303" t="s">
        <v>1</v>
      </c>
      <c r="CA303" t="s">
        <v>1</v>
      </c>
      <c r="CB303" t="s">
        <v>3382</v>
      </c>
      <c r="CD303" t="str" cm="1">
        <f t="array" aca="1" ref="CD303" ca="1">eConcatenar(A303:CB303,"|")</f>
        <v>IAw26FvE9M1yd4AH|CAR2018-2084|3|ECONOLINE |TABASCO |CARDENAS|CARDENAS|2018-10-09|12900|0|0|50|1|0|0|0|0|0|0|0|0|0|0||0|0|0|GARCIA|HERNANDEZ|JORGE LUIS|SOLTERO|X|X|CALLE AQUILES SERDAN |COLONIA OBRERA|X|9371271368|X|X|X|CALLE AQUILES SERDAN |X|LUNES|x|x|x|x|x|DOMICILIO |12900|0|X|X|X|2022-02-16|2022-02-23|x|x|x|x|x|OQGRX80BMUHQJ2X|x|HOMBRE|X|12900|X|X|X|X|X|X|X|X|CARDENAS|X|X|X|X|FINAL</v>
      </c>
    </row>
    <row r="304" spans="1:82" x14ac:dyDescent="0.25">
      <c r="A304" t="s">
        <v>720</v>
      </c>
      <c r="B304" t="s">
        <v>721</v>
      </c>
      <c r="C304">
        <v>3</v>
      </c>
      <c r="D304" t="s">
        <v>14</v>
      </c>
      <c r="E304" t="s">
        <v>12</v>
      </c>
      <c r="F304" t="s">
        <v>0</v>
      </c>
      <c r="G304" t="s">
        <v>0</v>
      </c>
      <c r="H304" t="s">
        <v>1497</v>
      </c>
      <c r="I304">
        <v>12900</v>
      </c>
      <c r="J304">
        <v>0</v>
      </c>
      <c r="K304">
        <v>0</v>
      </c>
      <c r="L304">
        <v>50</v>
      </c>
      <c r="M304">
        <v>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Y304">
        <v>0</v>
      </c>
      <c r="Z304">
        <v>0</v>
      </c>
      <c r="AA304">
        <v>0</v>
      </c>
      <c r="AB304" t="s">
        <v>1731</v>
      </c>
      <c r="AC304" t="s">
        <v>1708</v>
      </c>
      <c r="AD304" t="s">
        <v>2107</v>
      </c>
      <c r="AE304" t="s">
        <v>4</v>
      </c>
      <c r="AF304" t="s">
        <v>1</v>
      </c>
      <c r="AG304" t="s">
        <v>1</v>
      </c>
      <c r="AH304" t="s">
        <v>2691</v>
      </c>
      <c r="AI304" t="s">
        <v>3110</v>
      </c>
      <c r="AJ304" t="s">
        <v>1</v>
      </c>
      <c r="AK304">
        <v>9372708505</v>
      </c>
      <c r="AL304" t="s">
        <v>1</v>
      </c>
      <c r="AM304" t="s">
        <v>1</v>
      </c>
      <c r="AN304" t="s">
        <v>1</v>
      </c>
      <c r="AO304" t="s">
        <v>2691</v>
      </c>
      <c r="AP304" t="s">
        <v>1</v>
      </c>
      <c r="AQ304" t="s">
        <v>2</v>
      </c>
      <c r="AR304" t="s">
        <v>3</v>
      </c>
      <c r="AS304" t="s">
        <v>3</v>
      </c>
      <c r="AT304" t="s">
        <v>3</v>
      </c>
      <c r="AU304" t="s">
        <v>3</v>
      </c>
      <c r="AV304" t="s">
        <v>3</v>
      </c>
      <c r="AW304" t="s">
        <v>11</v>
      </c>
      <c r="AX304">
        <f>Tabla1[[#This Row],[precio del paquete]]-Tabla1[[#This Row],[Saldo_Deudor]]</f>
        <v>8600</v>
      </c>
      <c r="AY304">
        <v>4300</v>
      </c>
      <c r="AZ304" t="s">
        <v>1</v>
      </c>
      <c r="BA304" t="s">
        <v>1</v>
      </c>
      <c r="BB304" t="s">
        <v>1</v>
      </c>
      <c r="BC304" t="s">
        <v>1406</v>
      </c>
      <c r="BD304" t="s">
        <v>3308</v>
      </c>
      <c r="BE304" t="s">
        <v>3</v>
      </c>
      <c r="BF304" t="s">
        <v>3</v>
      </c>
      <c r="BG304" t="s">
        <v>3</v>
      </c>
      <c r="BH304" t="s">
        <v>3</v>
      </c>
      <c r="BI304" t="s">
        <v>3</v>
      </c>
      <c r="BJ304" t="s">
        <v>3355</v>
      </c>
      <c r="BK304" t="s">
        <v>3</v>
      </c>
      <c r="BL304" t="s">
        <v>132</v>
      </c>
      <c r="BM304" t="s">
        <v>1</v>
      </c>
      <c r="BN304">
        <f>Tabla1[[#This Row],[precio del paquete]]</f>
        <v>12900</v>
      </c>
      <c r="BO304" t="s">
        <v>1</v>
      </c>
      <c r="BP304" t="s">
        <v>1</v>
      </c>
      <c r="BQ304" t="s">
        <v>1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0</v>
      </c>
      <c r="BX304" t="s">
        <v>1</v>
      </c>
      <c r="BY304" t="s">
        <v>1</v>
      </c>
      <c r="BZ304" t="s">
        <v>1</v>
      </c>
      <c r="CA304" t="s">
        <v>1</v>
      </c>
      <c r="CB304" t="s">
        <v>3382</v>
      </c>
      <c r="CD304" t="str" cm="1">
        <f t="array" aca="1" ref="CD304" ca="1">eConcatenar(A304:CB304,"|")</f>
        <v>1BsT179tZ2Jnt944|CAR2018-2519|3|ECONOLINE |TABASCO |CARDENAS|CARDENAS|2018-01-08|12900|0|0|50|1|0|0|0|0|0|0|0|0|0|0||0|0|0|GARCIA||CAROLINA HERNANDEZ|SOLTERO|X|X|ENTRADA POR LA CARNICERIA |COLONIA SECCION 10|X|9372708505|X|X|X|ENTRADA POR LA CARNICERIA |X|LUNES|x|x|x|x|x|DOMICILIO |8600|4300|X|X|X|2022-02-16|2022-02-23|x|x|x|x|x|OQGRX80BMUHQJ2X|x|HOMBRE|X|12900|X|X|X|X|X|X|X|X|CARDENAS|X|X|X|X|FINAL</v>
      </c>
    </row>
    <row r="305" spans="1:82" x14ac:dyDescent="0.25">
      <c r="A305" t="s">
        <v>722</v>
      </c>
      <c r="B305" t="s">
        <v>723</v>
      </c>
      <c r="C305">
        <v>3</v>
      </c>
      <c r="D305" t="s">
        <v>1369</v>
      </c>
      <c r="E305" t="s">
        <v>12</v>
      </c>
      <c r="F305" t="s">
        <v>0</v>
      </c>
      <c r="G305" t="s">
        <v>0</v>
      </c>
      <c r="H305" t="s">
        <v>1456</v>
      </c>
      <c r="I305">
        <v>14800</v>
      </c>
      <c r="J305">
        <v>0</v>
      </c>
      <c r="K305">
        <v>500</v>
      </c>
      <c r="L305">
        <v>50</v>
      </c>
      <c r="M305">
        <v>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Y305">
        <v>0</v>
      </c>
      <c r="Z305">
        <v>0</v>
      </c>
      <c r="AA305">
        <v>0</v>
      </c>
      <c r="AB305" t="s">
        <v>1739</v>
      </c>
      <c r="AC305" t="s">
        <v>1812</v>
      </c>
      <c r="AD305" t="s">
        <v>2108</v>
      </c>
      <c r="AE305" t="s">
        <v>4</v>
      </c>
      <c r="AF305" t="s">
        <v>1</v>
      </c>
      <c r="AG305" t="s">
        <v>1</v>
      </c>
      <c r="AH305" t="s">
        <v>2692</v>
      </c>
      <c r="AI305" t="s">
        <v>2705</v>
      </c>
      <c r="AJ305" t="s">
        <v>1</v>
      </c>
      <c r="AK305">
        <v>9371003954</v>
      </c>
      <c r="AL305" t="s">
        <v>1</v>
      </c>
      <c r="AM305" t="s">
        <v>1</v>
      </c>
      <c r="AN305" t="s">
        <v>1</v>
      </c>
      <c r="AO305" t="s">
        <v>2692</v>
      </c>
      <c r="AP305" t="s">
        <v>1</v>
      </c>
      <c r="AQ305" t="s">
        <v>2</v>
      </c>
      <c r="AR305" t="s">
        <v>3</v>
      </c>
      <c r="AS305" t="s">
        <v>3</v>
      </c>
      <c r="AT305" t="s">
        <v>3</v>
      </c>
      <c r="AU305" t="s">
        <v>3</v>
      </c>
      <c r="AV305" t="s">
        <v>3</v>
      </c>
      <c r="AW305" t="s">
        <v>11</v>
      </c>
      <c r="AX305">
        <f>Tabla1[[#This Row],[precio del paquete]]-Tabla1[[#This Row],[Saldo_Deudor]]</f>
        <v>2800</v>
      </c>
      <c r="AY305">
        <v>12000</v>
      </c>
      <c r="AZ305" t="s">
        <v>1</v>
      </c>
      <c r="BA305" t="s">
        <v>1</v>
      </c>
      <c r="BB305" t="s">
        <v>1</v>
      </c>
      <c r="BC305" t="s">
        <v>1406</v>
      </c>
      <c r="BD305" t="s">
        <v>3308</v>
      </c>
      <c r="BE305" t="s">
        <v>3</v>
      </c>
      <c r="BF305" t="s">
        <v>3</v>
      </c>
      <c r="BG305" t="s">
        <v>3</v>
      </c>
      <c r="BH305" t="s">
        <v>3</v>
      </c>
      <c r="BI305" t="s">
        <v>3</v>
      </c>
      <c r="BJ305" t="s">
        <v>3355</v>
      </c>
      <c r="BK305" t="s">
        <v>3</v>
      </c>
      <c r="BL305" t="s">
        <v>132</v>
      </c>
      <c r="BM305" t="s">
        <v>1</v>
      </c>
      <c r="BN305">
        <f>Tabla1[[#This Row],[precio del paquete]]</f>
        <v>14800</v>
      </c>
      <c r="BO305" t="s">
        <v>1</v>
      </c>
      <c r="BP305" t="s">
        <v>1</v>
      </c>
      <c r="BQ305" t="s">
        <v>1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0</v>
      </c>
      <c r="BX305" t="s">
        <v>1</v>
      </c>
      <c r="BY305" t="s">
        <v>1</v>
      </c>
      <c r="BZ305" t="s">
        <v>1</v>
      </c>
      <c r="CA305" t="s">
        <v>1</v>
      </c>
      <c r="CB305" t="s">
        <v>3382</v>
      </c>
      <c r="CD305" t="str" cm="1">
        <f t="array" aca="1" ref="CD305" ca="1">eConcatenar(A305:CB305,"|")</f>
        <v>mk0634UksLdQX95U|CAR2021-6025|3|MEMORIAL|TABASCO |CARDENAS|CARDENAS|2021-10-09|14800|0|500|50|1|0|0|0|0|0|0|0|0|0|0||0|0|0|DE LOS SANTOS|SANCHEZ|ANA CORA|SOLTERO|X|X|CARRETERA DE LA TERRACERIA |RANCHERIA PASO Y PLAYA|X|9371003954|X|X|X|CARRETERA DE LA TERRACERIA |X|LUNES|x|x|x|x|x|DOMICILIO |2800|12000|X|X|X|2022-02-16|2022-02-23|x|x|x|x|x|OQGRX80BMUHQJ2X|x|HOMBRE|X|14800|X|X|X|X|X|X|X|X|CARDENAS|X|X|X|X|FINAL</v>
      </c>
    </row>
    <row r="306" spans="1:82" x14ac:dyDescent="0.25">
      <c r="A306" t="s">
        <v>724</v>
      </c>
      <c r="B306" t="s">
        <v>725</v>
      </c>
      <c r="C306">
        <v>3</v>
      </c>
      <c r="D306" t="s">
        <v>1368</v>
      </c>
      <c r="E306" t="s">
        <v>12</v>
      </c>
      <c r="F306" t="s">
        <v>0</v>
      </c>
      <c r="G306" t="s">
        <v>0</v>
      </c>
      <c r="H306" t="s">
        <v>1494</v>
      </c>
      <c r="I306">
        <v>24500</v>
      </c>
      <c r="J306">
        <v>0</v>
      </c>
      <c r="K306">
        <v>100</v>
      </c>
      <c r="L306">
        <v>50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Y306">
        <v>0</v>
      </c>
      <c r="Z306">
        <v>0</v>
      </c>
      <c r="AA306">
        <v>0</v>
      </c>
      <c r="AB306" t="s">
        <v>1711</v>
      </c>
      <c r="AC306" t="s">
        <v>1708</v>
      </c>
      <c r="AD306" t="s">
        <v>2109</v>
      </c>
      <c r="AE306" t="s">
        <v>4</v>
      </c>
      <c r="AF306" t="s">
        <v>1</v>
      </c>
      <c r="AG306" t="s">
        <v>1</v>
      </c>
      <c r="AH306" t="s">
        <v>2693</v>
      </c>
      <c r="AI306" t="s">
        <v>3108</v>
      </c>
      <c r="AJ306" t="s">
        <v>1</v>
      </c>
      <c r="AK306">
        <v>9843024637</v>
      </c>
      <c r="AL306" t="s">
        <v>1</v>
      </c>
      <c r="AM306" t="s">
        <v>1</v>
      </c>
      <c r="AN306" t="s">
        <v>1</v>
      </c>
      <c r="AO306" t="s">
        <v>2693</v>
      </c>
      <c r="AP306" t="s">
        <v>1</v>
      </c>
      <c r="AQ306" t="s">
        <v>2</v>
      </c>
      <c r="AR306" t="s">
        <v>3</v>
      </c>
      <c r="AS306" t="s">
        <v>3</v>
      </c>
      <c r="AT306" t="s">
        <v>3</v>
      </c>
      <c r="AU306" t="s">
        <v>3</v>
      </c>
      <c r="AV306" t="s">
        <v>3</v>
      </c>
      <c r="AW306" t="s">
        <v>11</v>
      </c>
      <c r="AX306">
        <f>Tabla1[[#This Row],[precio del paquete]]-Tabla1[[#This Row],[Saldo_Deudor]]</f>
        <v>1400</v>
      </c>
      <c r="AY306">
        <v>23100</v>
      </c>
      <c r="AZ306" t="s">
        <v>1</v>
      </c>
      <c r="BA306" t="s">
        <v>1</v>
      </c>
      <c r="BB306" t="s">
        <v>1</v>
      </c>
      <c r="BC306" t="s">
        <v>1406</v>
      </c>
      <c r="BD306" t="s">
        <v>3308</v>
      </c>
      <c r="BE306" t="s">
        <v>3</v>
      </c>
      <c r="BF306" t="s">
        <v>3</v>
      </c>
      <c r="BG306" t="s">
        <v>3</v>
      </c>
      <c r="BH306" t="s">
        <v>3</v>
      </c>
      <c r="BI306" t="s">
        <v>3</v>
      </c>
      <c r="BJ306" t="s">
        <v>3355</v>
      </c>
      <c r="BK306" t="s">
        <v>3</v>
      </c>
      <c r="BL306" t="s">
        <v>132</v>
      </c>
      <c r="BM306" t="s">
        <v>1</v>
      </c>
      <c r="BN306">
        <f>Tabla1[[#This Row],[precio del paquete]]</f>
        <v>24500</v>
      </c>
      <c r="BO306" t="s">
        <v>1</v>
      </c>
      <c r="BP306" t="s">
        <v>1</v>
      </c>
      <c r="BQ306" t="s">
        <v>1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0</v>
      </c>
      <c r="BX306" t="s">
        <v>1</v>
      </c>
      <c r="BY306" t="s">
        <v>1</v>
      </c>
      <c r="BZ306" t="s">
        <v>1</v>
      </c>
      <c r="CA306" t="s">
        <v>1</v>
      </c>
      <c r="CB306" t="s">
        <v>3382</v>
      </c>
      <c r="CD306" t="str" cm="1">
        <f t="array" aca="1" ref="CD306" ca="1">eConcatenar(A306:CB306,"|")</f>
        <v>TImHOLSzQnDIMRLY|CAR20201-6493|3|DIGNITY|TABASCO |CARDENAS|CARDENAS|2021-10-29|24500|0|100|50|1|0|0|0|0|0|0|0|0|0|0||0|0|0|HERNANDEZ||JANET HIDALGO|SOLTERO|X|X|CALLE ABRAHAM BANDALA |COLONIA CARDENAS CENTRO |X|9843024637|X|X|X|CALLE ABRAHAM BANDALA |X|LUNES|x|x|x|x|x|DOMICILIO |1400|23100|X|X|X|2022-02-16|2022-02-23|x|x|x|x|x|OQGRX80BMUHQJ2X|x|HOMBRE|X|24500|X|X|X|X|X|X|X|X|CARDENAS|X|X|X|X|FINAL</v>
      </c>
    </row>
    <row r="307" spans="1:82" x14ac:dyDescent="0.25">
      <c r="A307" t="s">
        <v>726</v>
      </c>
      <c r="B307" t="s">
        <v>727</v>
      </c>
      <c r="C307">
        <v>3</v>
      </c>
      <c r="D307" t="s">
        <v>1373</v>
      </c>
      <c r="E307" t="s">
        <v>12</v>
      </c>
      <c r="F307" t="s">
        <v>0</v>
      </c>
      <c r="G307" t="s">
        <v>0</v>
      </c>
      <c r="H307" t="s">
        <v>1498</v>
      </c>
      <c r="I307">
        <v>19800</v>
      </c>
      <c r="J307">
        <v>0</v>
      </c>
      <c r="K307">
        <v>200</v>
      </c>
      <c r="L307">
        <v>50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Y307">
        <v>0</v>
      </c>
      <c r="Z307">
        <v>0</v>
      </c>
      <c r="AA307">
        <v>0</v>
      </c>
      <c r="AB307" t="s">
        <v>1699</v>
      </c>
      <c r="AC307" t="s">
        <v>2110</v>
      </c>
      <c r="AD307" t="s">
        <v>2111</v>
      </c>
      <c r="AE307" t="s">
        <v>4</v>
      </c>
      <c r="AF307" t="s">
        <v>1</v>
      </c>
      <c r="AG307" t="s">
        <v>1</v>
      </c>
      <c r="AH307" t="s">
        <v>2694</v>
      </c>
      <c r="AI307" t="s">
        <v>3111</v>
      </c>
      <c r="AJ307" t="s">
        <v>1</v>
      </c>
      <c r="AK307">
        <v>9371271626</v>
      </c>
      <c r="AL307" t="s">
        <v>1</v>
      </c>
      <c r="AM307" t="s">
        <v>1</v>
      </c>
      <c r="AN307" t="s">
        <v>1</v>
      </c>
      <c r="AO307" t="s">
        <v>2694</v>
      </c>
      <c r="AP307" t="s">
        <v>1</v>
      </c>
      <c r="AQ307" t="s">
        <v>2</v>
      </c>
      <c r="AR307" t="s">
        <v>3</v>
      </c>
      <c r="AS307" t="s">
        <v>3</v>
      </c>
      <c r="AT307" t="s">
        <v>3</v>
      </c>
      <c r="AU307" t="s">
        <v>3</v>
      </c>
      <c r="AV307" t="s">
        <v>3</v>
      </c>
      <c r="AW307" t="s">
        <v>11</v>
      </c>
      <c r="AX307">
        <f>Tabla1[[#This Row],[precio del paquete]]-Tabla1[[#This Row],[Saldo_Deudor]]</f>
        <v>6800</v>
      </c>
      <c r="AY307">
        <v>13000</v>
      </c>
      <c r="AZ307" t="s">
        <v>1</v>
      </c>
      <c r="BA307" t="s">
        <v>1</v>
      </c>
      <c r="BB307" t="s">
        <v>1</v>
      </c>
      <c r="BC307" t="s">
        <v>1406</v>
      </c>
      <c r="BD307" t="s">
        <v>3308</v>
      </c>
      <c r="BE307" t="s">
        <v>3</v>
      </c>
      <c r="BF307" t="s">
        <v>3</v>
      </c>
      <c r="BG307" t="s">
        <v>3</v>
      </c>
      <c r="BH307" t="s">
        <v>3</v>
      </c>
      <c r="BI307" t="s">
        <v>3</v>
      </c>
      <c r="BJ307" t="s">
        <v>3355</v>
      </c>
      <c r="BK307" t="s">
        <v>3</v>
      </c>
      <c r="BL307" t="s">
        <v>132</v>
      </c>
      <c r="BM307" t="s">
        <v>1</v>
      </c>
      <c r="BN307">
        <f>Tabla1[[#This Row],[precio del paquete]]</f>
        <v>19800</v>
      </c>
      <c r="BO307" t="s">
        <v>1</v>
      </c>
      <c r="BP307" t="s">
        <v>1</v>
      </c>
      <c r="BQ307" t="s">
        <v>1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0</v>
      </c>
      <c r="BX307" t="s">
        <v>1</v>
      </c>
      <c r="BY307" t="s">
        <v>1</v>
      </c>
      <c r="BZ307" t="s">
        <v>1</v>
      </c>
      <c r="CA307" t="s">
        <v>1</v>
      </c>
      <c r="CB307" t="s">
        <v>3382</v>
      </c>
      <c r="CD307" t="str" cm="1">
        <f t="array" aca="1" ref="CD307" ca="1">eConcatenar(A307:CB307,"|")</f>
        <v>3134kMlHlJsw5f6p|CAR2021-0265|3|ZAFIRO|TABASCO |CARDENAS|CARDENAS|2021-01-28|19800|0|200|50|1|0|0|0|0|0|0|0|0|0|0||0|0|0|CORDOVA|ULIN|PATRICIA DEL CARMEN|SOLTERO|X|X|CALLE TULIPANES |COLONIA EL BAJIO PRIMERA SECCION|X|9371271626|X|X|X|CALLE TULIPANES |X|LUNES|x|x|x|x|x|DOMICILIO |6800|13000|X|X|X|2022-02-16|2022-02-23|x|x|x|x|x|OQGRX80BMUHQJ2X|x|HOMBRE|X|19800|X|X|X|X|X|X|X|X|CARDENAS|X|X|X|X|FINAL</v>
      </c>
    </row>
    <row r="308" spans="1:82" x14ac:dyDescent="0.25">
      <c r="A308" t="s">
        <v>728</v>
      </c>
      <c r="B308" t="s">
        <v>729</v>
      </c>
      <c r="C308">
        <v>3</v>
      </c>
      <c r="D308" t="s">
        <v>1368</v>
      </c>
      <c r="E308" t="s">
        <v>12</v>
      </c>
      <c r="F308" t="s">
        <v>0</v>
      </c>
      <c r="G308" t="s">
        <v>0</v>
      </c>
      <c r="H308" t="s">
        <v>1420</v>
      </c>
      <c r="I308">
        <v>24500</v>
      </c>
      <c r="J308">
        <v>0</v>
      </c>
      <c r="K308">
        <v>500</v>
      </c>
      <c r="L308">
        <v>50</v>
      </c>
      <c r="M308">
        <v>1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Y308">
        <v>0</v>
      </c>
      <c r="Z308">
        <v>0</v>
      </c>
      <c r="AA308">
        <v>0</v>
      </c>
      <c r="AB308" t="s">
        <v>2112</v>
      </c>
      <c r="AC308" t="s">
        <v>1708</v>
      </c>
      <c r="AD308" t="s">
        <v>2113</v>
      </c>
      <c r="AE308" t="s">
        <v>4</v>
      </c>
      <c r="AF308" t="s">
        <v>1</v>
      </c>
      <c r="AG308" t="s">
        <v>1</v>
      </c>
      <c r="AH308" t="s">
        <v>2695</v>
      </c>
      <c r="AI308" t="s">
        <v>3112</v>
      </c>
      <c r="AJ308" t="s">
        <v>1</v>
      </c>
      <c r="AK308">
        <v>9371908429</v>
      </c>
      <c r="AL308" t="s">
        <v>1</v>
      </c>
      <c r="AM308" t="s">
        <v>1</v>
      </c>
      <c r="AN308" t="s">
        <v>1</v>
      </c>
      <c r="AO308" t="s">
        <v>2695</v>
      </c>
      <c r="AP308" t="s">
        <v>1</v>
      </c>
      <c r="AQ308" t="s">
        <v>2</v>
      </c>
      <c r="AR308" t="s">
        <v>3</v>
      </c>
      <c r="AS308" t="s">
        <v>3</v>
      </c>
      <c r="AT308" t="s">
        <v>3</v>
      </c>
      <c r="AU308" t="s">
        <v>3</v>
      </c>
      <c r="AV308" t="s">
        <v>3</v>
      </c>
      <c r="AW308" t="s">
        <v>11</v>
      </c>
      <c r="AX308">
        <f>Tabla1[[#This Row],[precio del paquete]]-Tabla1[[#This Row],[Saldo_Deudor]]</f>
        <v>1300</v>
      </c>
      <c r="AY308">
        <v>23200</v>
      </c>
      <c r="AZ308" t="s">
        <v>1</v>
      </c>
      <c r="BA308" t="s">
        <v>1</v>
      </c>
      <c r="BB308" t="s">
        <v>1</v>
      </c>
      <c r="BC308" t="s">
        <v>3277</v>
      </c>
      <c r="BD308" t="s">
        <v>3327</v>
      </c>
      <c r="BE308" t="s">
        <v>3</v>
      </c>
      <c r="BF308" t="s">
        <v>3</v>
      </c>
      <c r="BG308" t="s">
        <v>3</v>
      </c>
      <c r="BH308" t="s">
        <v>3</v>
      </c>
      <c r="BI308" t="s">
        <v>3</v>
      </c>
      <c r="BJ308" t="s">
        <v>3355</v>
      </c>
      <c r="BK308" t="s">
        <v>3</v>
      </c>
      <c r="BL308" t="s">
        <v>132</v>
      </c>
      <c r="BM308" t="s">
        <v>1</v>
      </c>
      <c r="BN308">
        <f>Tabla1[[#This Row],[precio del paquete]]</f>
        <v>24500</v>
      </c>
      <c r="BO308" t="s">
        <v>1</v>
      </c>
      <c r="BP308" t="s">
        <v>1</v>
      </c>
      <c r="BQ308" t="s">
        <v>1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0</v>
      </c>
      <c r="BX308" t="s">
        <v>1</v>
      </c>
      <c r="BY308" t="s">
        <v>1</v>
      </c>
      <c r="BZ308" t="s">
        <v>1</v>
      </c>
      <c r="CA308" t="s">
        <v>1</v>
      </c>
      <c r="CB308" t="s">
        <v>3382</v>
      </c>
      <c r="CD308" t="str" cm="1">
        <f t="array" aca="1" ref="CD308" ca="1">eConcatenar(A308:CB308,"|")</f>
        <v>WLHYEZH3ZcFmRWl8|CAR2021-7533|3|DIGNITY|TABASCO |CARDENAS|CARDENAS|2021-12-11|24500|0|500|50|1|0|0|0|0|0|0|0|0|0|0||0|0|0|ESPINOSA||EPIFONIA ESCOBAR|SOLTERO|X|X|ENFRENTE DE AGUA CRISTAL |COLONIA PETROLERA|X|9371908429|X|X|X|ENFRENTE DE AGUA CRISTAL |X|LUNES|x|x|x|x|x|DOMICILIO |1300|23200|X|X|X|2022-02-17|2022-02-24|x|x|x|x|x|OQGRX80BMUHQJ2X|x|HOMBRE|X|24500|X|X|X|X|X|X|X|X|CARDENAS|X|X|X|X|FINAL</v>
      </c>
    </row>
    <row r="309" spans="1:82" s="5" customFormat="1" x14ac:dyDescent="0.25">
      <c r="A309" t="s">
        <v>730</v>
      </c>
      <c r="B309" t="s">
        <v>731</v>
      </c>
      <c r="C309">
        <v>3</v>
      </c>
      <c r="D309" t="s">
        <v>1369</v>
      </c>
      <c r="E309" t="s">
        <v>12</v>
      </c>
      <c r="F309" t="s">
        <v>0</v>
      </c>
      <c r="G309" t="s">
        <v>0</v>
      </c>
      <c r="H309" t="s">
        <v>1499</v>
      </c>
      <c r="I309">
        <v>14800</v>
      </c>
      <c r="J309">
        <v>0</v>
      </c>
      <c r="K309">
        <v>50</v>
      </c>
      <c r="L309">
        <v>50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/>
      <c r="Y309">
        <v>0</v>
      </c>
      <c r="Z309">
        <v>0</v>
      </c>
      <c r="AA309">
        <v>0</v>
      </c>
      <c r="AB309" t="s">
        <v>2114</v>
      </c>
      <c r="AC309" t="s">
        <v>1708</v>
      </c>
      <c r="AD309" t="s">
        <v>2115</v>
      </c>
      <c r="AE309" t="s">
        <v>4</v>
      </c>
      <c r="AF309" t="s">
        <v>1</v>
      </c>
      <c r="AG309" t="s">
        <v>1</v>
      </c>
      <c r="AH309" t="s">
        <v>2696</v>
      </c>
      <c r="AI309" t="s">
        <v>3113</v>
      </c>
      <c r="AJ309" t="s">
        <v>1</v>
      </c>
      <c r="AK309">
        <v>9934421171</v>
      </c>
      <c r="AL309" t="s">
        <v>1</v>
      </c>
      <c r="AM309" t="s">
        <v>1</v>
      </c>
      <c r="AN309" t="s">
        <v>1</v>
      </c>
      <c r="AO309" t="s">
        <v>2696</v>
      </c>
      <c r="AP309" t="s">
        <v>1</v>
      </c>
      <c r="AQ309" t="s">
        <v>2</v>
      </c>
      <c r="AR309" t="s">
        <v>3</v>
      </c>
      <c r="AS309" t="s">
        <v>3</v>
      </c>
      <c r="AT309" t="s">
        <v>3</v>
      </c>
      <c r="AU309" t="s">
        <v>3</v>
      </c>
      <c r="AV309" t="s">
        <v>3</v>
      </c>
      <c r="AW309" t="s">
        <v>11</v>
      </c>
      <c r="AX309">
        <f>Tabla1[[#This Row],[precio del paquete]]-Tabla1[[#This Row],[Saldo_Deudor]]</f>
        <v>350</v>
      </c>
      <c r="AY309">
        <v>14450</v>
      </c>
      <c r="AZ309" t="s">
        <v>1</v>
      </c>
      <c r="BA309" t="s">
        <v>1</v>
      </c>
      <c r="BB309" t="s">
        <v>1</v>
      </c>
      <c r="BC309" t="s">
        <v>3277</v>
      </c>
      <c r="BD309" t="s">
        <v>3327</v>
      </c>
      <c r="BE309" t="s">
        <v>3</v>
      </c>
      <c r="BF309" t="s">
        <v>3</v>
      </c>
      <c r="BG309" t="s">
        <v>3</v>
      </c>
      <c r="BH309" t="s">
        <v>3</v>
      </c>
      <c r="BI309" t="s">
        <v>3</v>
      </c>
      <c r="BJ309" t="s">
        <v>3355</v>
      </c>
      <c r="BK309" t="s">
        <v>3</v>
      </c>
      <c r="BL309" t="s">
        <v>132</v>
      </c>
      <c r="BM309" t="s">
        <v>1</v>
      </c>
      <c r="BN309">
        <f>Tabla1[[#This Row],[precio del paquete]]</f>
        <v>14800</v>
      </c>
      <c r="BO309" t="s">
        <v>1</v>
      </c>
      <c r="BP309" t="s">
        <v>1</v>
      </c>
      <c r="BQ309" t="s">
        <v>1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0</v>
      </c>
      <c r="BX309" t="s">
        <v>1</v>
      </c>
      <c r="BY309" t="s">
        <v>1</v>
      </c>
      <c r="BZ309" t="s">
        <v>1</v>
      </c>
      <c r="CA309" t="s">
        <v>1</v>
      </c>
      <c r="CB309" t="s">
        <v>3382</v>
      </c>
      <c r="CD309" s="5" t="str" cm="1">
        <f t="array" aca="1" ref="CD309" ca="1">eConcatenar(A309:CB309,"|")</f>
        <v>CDjmyXyonImiq6E5|CAR2021-7637|3|MEMORIAL|TABASCO |CARDENAS|CARDENAS|2021-12-22|14800|0|50|50|1|0|0|0|0|0|0|0|0|0|0||0|0|0|FRIAS||JAVIER CERINO|SOLTERO|X|X|CALLE ESCUELA DE MEDICINA |FEACCIONAMIENTO VISTA ALEGRE |X|9934421171|X|X|X|CALLE ESCUELA DE MEDICINA |X|LUNES|x|x|x|x|x|DOMICILIO |350|14450|X|X|X|2022-02-17|2022-02-24|x|x|x|x|x|OQGRX80BMUHQJ2X|x|HOMBRE|X|14800|X|X|X|X|X|X|X|X|CARDENAS|X|X|X|X|FINAL</v>
      </c>
    </row>
    <row r="310" spans="1:82" x14ac:dyDescent="0.25">
      <c r="A310" t="s">
        <v>732</v>
      </c>
      <c r="B310" t="s">
        <v>203</v>
      </c>
      <c r="C310">
        <v>3</v>
      </c>
      <c r="D310" t="s">
        <v>1370</v>
      </c>
      <c r="E310" t="s">
        <v>12</v>
      </c>
      <c r="F310" t="s">
        <v>1382</v>
      </c>
      <c r="G310" t="s">
        <v>1382</v>
      </c>
      <c r="H310" t="s">
        <v>1386</v>
      </c>
      <c r="I310">
        <v>35000</v>
      </c>
      <c r="J310">
        <v>0</v>
      </c>
      <c r="K310">
        <v>200</v>
      </c>
      <c r="L310">
        <v>50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Y310">
        <v>0</v>
      </c>
      <c r="Z310">
        <v>0</v>
      </c>
      <c r="AA310">
        <v>0</v>
      </c>
      <c r="AB310" t="s">
        <v>1703</v>
      </c>
      <c r="AC310" t="s">
        <v>1708</v>
      </c>
      <c r="AD310" t="s">
        <v>2116</v>
      </c>
      <c r="AE310" t="s">
        <v>4</v>
      </c>
      <c r="AF310" t="s">
        <v>1</v>
      </c>
      <c r="AG310" t="s">
        <v>1</v>
      </c>
      <c r="AH310" t="s">
        <v>2697</v>
      </c>
      <c r="AI310" t="s">
        <v>3114</v>
      </c>
      <c r="AJ310" t="s">
        <v>1</v>
      </c>
      <c r="AK310">
        <v>9379993223</v>
      </c>
      <c r="AL310" t="s">
        <v>1</v>
      </c>
      <c r="AM310" t="s">
        <v>1</v>
      </c>
      <c r="AN310" t="s">
        <v>1</v>
      </c>
      <c r="AO310" t="s">
        <v>2697</v>
      </c>
      <c r="AP310" t="s">
        <v>1</v>
      </c>
      <c r="AQ310" t="s">
        <v>2</v>
      </c>
      <c r="AR310" t="s">
        <v>3</v>
      </c>
      <c r="AS310" t="s">
        <v>3</v>
      </c>
      <c r="AT310" t="s">
        <v>3</v>
      </c>
      <c r="AU310" t="s">
        <v>3</v>
      </c>
      <c r="AV310" t="s">
        <v>3</v>
      </c>
      <c r="AW310" t="s">
        <v>11</v>
      </c>
      <c r="AX310">
        <f>Tabla1[[#This Row],[precio del paquete]]-Tabla1[[#This Row],[Saldo_Deudor]]</f>
        <v>600</v>
      </c>
      <c r="AY310">
        <v>34400</v>
      </c>
      <c r="AZ310" t="s">
        <v>1</v>
      </c>
      <c r="BA310" t="s">
        <v>1</v>
      </c>
      <c r="BB310" t="s">
        <v>1</v>
      </c>
      <c r="BC310" t="s">
        <v>3277</v>
      </c>
      <c r="BD310" t="s">
        <v>3327</v>
      </c>
      <c r="BE310" t="s">
        <v>3</v>
      </c>
      <c r="BF310" t="s">
        <v>3</v>
      </c>
      <c r="BG310" t="s">
        <v>3</v>
      </c>
      <c r="BH310" t="s">
        <v>3</v>
      </c>
      <c r="BI310" t="s">
        <v>3</v>
      </c>
      <c r="BJ310" t="s">
        <v>3355</v>
      </c>
      <c r="BK310" t="s">
        <v>3</v>
      </c>
      <c r="BL310" t="s">
        <v>132</v>
      </c>
      <c r="BM310" t="s">
        <v>1</v>
      </c>
      <c r="BN310">
        <f>Tabla1[[#This Row],[precio del paquete]]</f>
        <v>35000</v>
      </c>
      <c r="BO310" t="s">
        <v>1</v>
      </c>
      <c r="BP310" t="s">
        <v>1</v>
      </c>
      <c r="BQ310" t="s">
        <v>1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0</v>
      </c>
      <c r="BX310" t="s">
        <v>1</v>
      </c>
      <c r="BY310" t="s">
        <v>1</v>
      </c>
      <c r="BZ310" t="s">
        <v>1</v>
      </c>
      <c r="CA310" t="s">
        <v>1</v>
      </c>
      <c r="CB310" t="s">
        <v>3382</v>
      </c>
      <c r="CD310" t="str" cm="1">
        <f t="array" aca="1" ref="CD310" ca="1">eConcatenar(A310:CB310,"|")</f>
        <v>eIDxd5libJoptSNf|CAR2022-0491|3|DELUX|TABASCO |HUIMANGUILLO|HUIMANGUILLO|2022-01-29|35000|0|200|50|1|0|0|0|0|0|0|0|0|0|0||0|0|0|RAMOS||FRANCISCA ARIAS|SOLTERO|X|X|CALLE SIN NOMBRE |COLONIA ALFA Y OMEGA |X|9379993223|X|X|X|CALLE SIN NOMBRE |X|LUNES|x|x|x|x|x|DOMICILIO |600|34400|X|X|X|2022-02-17|2022-02-24|x|x|x|x|x|OQGRX80BMUHQJ2X|x|HOMBRE|X|35000|X|X|X|X|X|X|X|X|CARDENAS|X|X|X|X|FINAL</v>
      </c>
    </row>
    <row r="311" spans="1:82" x14ac:dyDescent="0.25">
      <c r="A311" t="s">
        <v>733</v>
      </c>
      <c r="B311" t="s">
        <v>734</v>
      </c>
      <c r="C311">
        <v>3</v>
      </c>
      <c r="D311" t="s">
        <v>1369</v>
      </c>
      <c r="E311" t="s">
        <v>12</v>
      </c>
      <c r="F311" t="s">
        <v>0</v>
      </c>
      <c r="G311" t="s">
        <v>0</v>
      </c>
      <c r="H311" t="s">
        <v>1494</v>
      </c>
      <c r="I311">
        <v>14800</v>
      </c>
      <c r="J311">
        <v>0</v>
      </c>
      <c r="K311">
        <v>100</v>
      </c>
      <c r="L311">
        <v>50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Y311">
        <v>0</v>
      </c>
      <c r="Z311">
        <v>0</v>
      </c>
      <c r="AA311">
        <v>0</v>
      </c>
      <c r="AB311" t="s">
        <v>1716</v>
      </c>
      <c r="AC311" t="s">
        <v>1711</v>
      </c>
      <c r="AD311" t="s">
        <v>2117</v>
      </c>
      <c r="AE311" t="s">
        <v>4</v>
      </c>
      <c r="AF311" t="s">
        <v>1</v>
      </c>
      <c r="AG311" t="s">
        <v>1</v>
      </c>
      <c r="AH311" t="s">
        <v>2698</v>
      </c>
      <c r="AI311" t="s">
        <v>3115</v>
      </c>
      <c r="AJ311" t="s">
        <v>1</v>
      </c>
      <c r="AK311">
        <v>9373746663</v>
      </c>
      <c r="AL311" t="s">
        <v>1</v>
      </c>
      <c r="AM311" t="s">
        <v>1</v>
      </c>
      <c r="AN311" t="s">
        <v>1</v>
      </c>
      <c r="AO311" t="s">
        <v>2698</v>
      </c>
      <c r="AP311" t="s">
        <v>1</v>
      </c>
      <c r="AQ311" t="s">
        <v>2</v>
      </c>
      <c r="AR311" t="s">
        <v>3</v>
      </c>
      <c r="AS311" t="s">
        <v>3</v>
      </c>
      <c r="AT311" t="s">
        <v>3</v>
      </c>
      <c r="AU311" t="s">
        <v>3</v>
      </c>
      <c r="AV311" t="s">
        <v>3</v>
      </c>
      <c r="AW311" t="s">
        <v>11</v>
      </c>
      <c r="AX311">
        <f>Tabla1[[#This Row],[precio del paquete]]-Tabla1[[#This Row],[Saldo_Deudor]]</f>
        <v>1500</v>
      </c>
      <c r="AY311">
        <v>13300</v>
      </c>
      <c r="AZ311" t="s">
        <v>1</v>
      </c>
      <c r="BA311" t="s">
        <v>1</v>
      </c>
      <c r="BB311" t="s">
        <v>1</v>
      </c>
      <c r="BC311" t="s">
        <v>3277</v>
      </c>
      <c r="BD311" t="s">
        <v>3327</v>
      </c>
      <c r="BE311" t="s">
        <v>3</v>
      </c>
      <c r="BF311" t="s">
        <v>3</v>
      </c>
      <c r="BG311" t="s">
        <v>3</v>
      </c>
      <c r="BH311" t="s">
        <v>3</v>
      </c>
      <c r="BI311" t="s">
        <v>3</v>
      </c>
      <c r="BJ311" t="s">
        <v>3355</v>
      </c>
      <c r="BK311" t="s">
        <v>3</v>
      </c>
      <c r="BL311" t="s">
        <v>132</v>
      </c>
      <c r="BM311" t="s">
        <v>1</v>
      </c>
      <c r="BN311">
        <f>Tabla1[[#This Row],[precio del paquete]]</f>
        <v>14800</v>
      </c>
      <c r="BO311" t="s">
        <v>1</v>
      </c>
      <c r="BP311" t="s">
        <v>1</v>
      </c>
      <c r="BQ311" t="s">
        <v>1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0</v>
      </c>
      <c r="BX311" t="s">
        <v>1</v>
      </c>
      <c r="BY311" t="s">
        <v>1</v>
      </c>
      <c r="BZ311" t="s">
        <v>1</v>
      </c>
      <c r="CA311" t="s">
        <v>1</v>
      </c>
      <c r="CB311" t="s">
        <v>3382</v>
      </c>
      <c r="CD311" t="str" cm="1">
        <f t="array" aca="1" ref="CD311" ca="1">eConcatenar(A311:CB311,"|")</f>
        <v>IbW0JNKE4YlXLrYs|CAR2021-6496|3|MEMORIAL|TABASCO |CARDENAS|CARDENAS|2021-10-29|14800|0|100|50|1|0|0|0|0|0|0|0|0|0|0||0|0|0|JUAREZ|HERNANDEZ|LAURA LETICIA|SOLTERO|X|X|CALLE SANTO DEGOLLADO |COLONIA EL TOLOQUE |X|9373746663|X|X|X|CALLE SANTO DEGOLLADO |X|LUNES|x|x|x|x|x|DOMICILIO |1500|13300|X|X|X|2022-02-17|2022-02-24|x|x|x|x|x|OQGRX80BMUHQJ2X|x|HOMBRE|X|14800|X|X|X|X|X|X|X|X|CARDENAS|X|X|X|X|FINAL</v>
      </c>
    </row>
    <row r="312" spans="1:82" x14ac:dyDescent="0.25">
      <c r="A312" t="s">
        <v>735</v>
      </c>
      <c r="B312" t="s">
        <v>159</v>
      </c>
      <c r="C312">
        <v>3</v>
      </c>
      <c r="D312" t="s">
        <v>1369</v>
      </c>
      <c r="E312" t="s">
        <v>12</v>
      </c>
      <c r="F312" t="s">
        <v>1382</v>
      </c>
      <c r="G312" t="s">
        <v>1382</v>
      </c>
      <c r="H312" t="s">
        <v>1386</v>
      </c>
      <c r="I312">
        <v>14800</v>
      </c>
      <c r="J312">
        <v>0</v>
      </c>
      <c r="K312">
        <v>100</v>
      </c>
      <c r="L312">
        <v>50</v>
      </c>
      <c r="M312">
        <v>1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Y312">
        <v>0</v>
      </c>
      <c r="Z312">
        <v>0</v>
      </c>
      <c r="AA312">
        <v>0</v>
      </c>
      <c r="AB312" t="s">
        <v>1711</v>
      </c>
      <c r="AC312" t="s">
        <v>1812</v>
      </c>
      <c r="AD312" t="s">
        <v>2118</v>
      </c>
      <c r="AE312" t="s">
        <v>4</v>
      </c>
      <c r="AF312" t="s">
        <v>1</v>
      </c>
      <c r="AG312" t="s">
        <v>1</v>
      </c>
      <c r="AH312" t="s">
        <v>2699</v>
      </c>
      <c r="AI312" t="s">
        <v>3116</v>
      </c>
      <c r="AJ312" t="s">
        <v>1</v>
      </c>
      <c r="AK312">
        <v>9171236256</v>
      </c>
      <c r="AL312" t="s">
        <v>1</v>
      </c>
      <c r="AM312" t="s">
        <v>1</v>
      </c>
      <c r="AN312" t="s">
        <v>1</v>
      </c>
      <c r="AO312" t="s">
        <v>2699</v>
      </c>
      <c r="AP312" t="s">
        <v>1</v>
      </c>
      <c r="AQ312" t="s">
        <v>2</v>
      </c>
      <c r="AR312" t="s">
        <v>3</v>
      </c>
      <c r="AS312" t="s">
        <v>3</v>
      </c>
      <c r="AT312" t="s">
        <v>3</v>
      </c>
      <c r="AU312" t="s">
        <v>3</v>
      </c>
      <c r="AV312" t="s">
        <v>3</v>
      </c>
      <c r="AW312" t="s">
        <v>11</v>
      </c>
      <c r="AX312">
        <f>Tabla1[[#This Row],[precio del paquete]]-Tabla1[[#This Row],[Saldo_Deudor]]</f>
        <v>400</v>
      </c>
      <c r="AY312">
        <v>14400</v>
      </c>
      <c r="AZ312" t="s">
        <v>1</v>
      </c>
      <c r="BA312" t="s">
        <v>1</v>
      </c>
      <c r="BB312" t="s">
        <v>1</v>
      </c>
      <c r="BC312" t="s">
        <v>3277</v>
      </c>
      <c r="BD312" t="s">
        <v>3327</v>
      </c>
      <c r="BE312" t="s">
        <v>3</v>
      </c>
      <c r="BF312" t="s">
        <v>3</v>
      </c>
      <c r="BG312" t="s">
        <v>3</v>
      </c>
      <c r="BH312" t="s">
        <v>3</v>
      </c>
      <c r="BI312" t="s">
        <v>3</v>
      </c>
      <c r="BJ312" t="s">
        <v>3355</v>
      </c>
      <c r="BK312" t="s">
        <v>3</v>
      </c>
      <c r="BL312" t="s">
        <v>132</v>
      </c>
      <c r="BM312" t="s">
        <v>1</v>
      </c>
      <c r="BN312">
        <f>Tabla1[[#This Row],[precio del paquete]]</f>
        <v>14800</v>
      </c>
      <c r="BO312" t="s">
        <v>1</v>
      </c>
      <c r="BP312" t="s">
        <v>1</v>
      </c>
      <c r="BQ312" t="s">
        <v>1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0</v>
      </c>
      <c r="BX312" t="s">
        <v>1</v>
      </c>
      <c r="BY312" t="s">
        <v>1</v>
      </c>
      <c r="BZ312" t="s">
        <v>1</v>
      </c>
      <c r="CA312" t="s">
        <v>1</v>
      </c>
      <c r="CB312" t="s">
        <v>3382</v>
      </c>
      <c r="CD312" t="str" cm="1">
        <f t="array" aca="1" ref="CD312" ca="1">eConcatenar(A312:CB312,"|")</f>
        <v>HL7SrUcVhKUqZFbl|CAR2022-0498|3|MEMORIAL|TABASCO |HUIMANGUILLO|HUIMANGUILLO|2022-01-29|14800|0|100|50|1|0|0|0|0|0|0|0|0|0|0||0|0|0|HERNANDEZ|SANCHEZ|MICHEL DEL CARMEN|SOLTERO|X|X|CALLE DE LA ESCUELA |RANCHERIA EL DESECHO |X|9171236256|X|X|X|CALLE DE LA ESCUELA |X|LUNES|x|x|x|x|x|DOMICILIO |400|14400|X|X|X|2022-02-17|2022-02-24|x|x|x|x|x|OQGRX80BMUHQJ2X|x|HOMBRE|X|14800|X|X|X|X|X|X|X|X|CARDENAS|X|X|X|X|FINAL</v>
      </c>
    </row>
    <row r="313" spans="1:82" x14ac:dyDescent="0.25">
      <c r="A313" t="s">
        <v>736</v>
      </c>
      <c r="B313" t="s">
        <v>737</v>
      </c>
      <c r="C313">
        <v>3</v>
      </c>
      <c r="D313" t="s">
        <v>14</v>
      </c>
      <c r="E313" t="s">
        <v>12</v>
      </c>
      <c r="F313" t="s">
        <v>0</v>
      </c>
      <c r="G313" t="s">
        <v>0</v>
      </c>
      <c r="H313" t="s">
        <v>1500</v>
      </c>
      <c r="I313">
        <v>12900</v>
      </c>
      <c r="J313">
        <v>0</v>
      </c>
      <c r="K313">
        <v>0</v>
      </c>
      <c r="L313">
        <v>50</v>
      </c>
      <c r="M313">
        <v>1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Y313">
        <v>0</v>
      </c>
      <c r="Z313">
        <v>0</v>
      </c>
      <c r="AA313">
        <v>0</v>
      </c>
      <c r="AB313" t="s">
        <v>2119</v>
      </c>
      <c r="AC313" t="s">
        <v>1816</v>
      </c>
      <c r="AD313" t="s">
        <v>1822</v>
      </c>
      <c r="AE313" t="s">
        <v>4</v>
      </c>
      <c r="AF313" t="s">
        <v>1</v>
      </c>
      <c r="AG313" t="s">
        <v>1</v>
      </c>
      <c r="AH313" t="s">
        <v>2700</v>
      </c>
      <c r="AI313" t="s">
        <v>3117</v>
      </c>
      <c r="AJ313" t="s">
        <v>1</v>
      </c>
      <c r="AK313">
        <v>9371294395</v>
      </c>
      <c r="AL313" t="s">
        <v>1</v>
      </c>
      <c r="AM313" t="s">
        <v>1</v>
      </c>
      <c r="AN313" t="s">
        <v>1</v>
      </c>
      <c r="AO313" t="s">
        <v>2700</v>
      </c>
      <c r="AP313" t="s">
        <v>1</v>
      </c>
      <c r="AQ313" t="s">
        <v>2</v>
      </c>
      <c r="AR313" t="s">
        <v>3</v>
      </c>
      <c r="AS313" t="s">
        <v>3</v>
      </c>
      <c r="AT313" t="s">
        <v>3</v>
      </c>
      <c r="AU313" t="s">
        <v>3</v>
      </c>
      <c r="AV313" t="s">
        <v>3</v>
      </c>
      <c r="AW313" t="s">
        <v>11</v>
      </c>
      <c r="AX313">
        <f>Tabla1[[#This Row],[precio del paquete]]-Tabla1[[#This Row],[Saldo_Deudor]]</f>
        <v>12800</v>
      </c>
      <c r="AY313">
        <v>100</v>
      </c>
      <c r="AZ313" t="s">
        <v>1</v>
      </c>
      <c r="BA313" t="s">
        <v>1</v>
      </c>
      <c r="BB313" t="s">
        <v>1</v>
      </c>
      <c r="BC313" t="s">
        <v>3277</v>
      </c>
      <c r="BD313" t="s">
        <v>3327</v>
      </c>
      <c r="BE313" t="s">
        <v>3</v>
      </c>
      <c r="BF313" t="s">
        <v>3</v>
      </c>
      <c r="BG313" t="s">
        <v>3</v>
      </c>
      <c r="BH313" t="s">
        <v>3</v>
      </c>
      <c r="BI313" t="s">
        <v>3</v>
      </c>
      <c r="BJ313" t="s">
        <v>3355</v>
      </c>
      <c r="BK313" t="s">
        <v>3</v>
      </c>
      <c r="BL313" t="s">
        <v>132</v>
      </c>
      <c r="BM313" t="s">
        <v>1</v>
      </c>
      <c r="BN313">
        <f>Tabla1[[#This Row],[precio del paquete]]</f>
        <v>12900</v>
      </c>
      <c r="BO313" t="s">
        <v>1</v>
      </c>
      <c r="BP313" t="s">
        <v>1</v>
      </c>
      <c r="BQ313" t="s">
        <v>1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0</v>
      </c>
      <c r="BX313" t="s">
        <v>1</v>
      </c>
      <c r="BY313" t="s">
        <v>1</v>
      </c>
      <c r="BZ313" t="s">
        <v>1</v>
      </c>
      <c r="CA313" t="s">
        <v>1</v>
      </c>
      <c r="CB313" t="s">
        <v>3382</v>
      </c>
      <c r="CD313" t="str" cm="1">
        <f t="array" aca="1" ref="CD313" ca="1">eConcatenar(A313:CB313,"|")</f>
        <v>4rqu7hoZTXKOKuYw|CAR2018-1887|3|ECONOLINE |TABASCO |CARDENAS|CARDENAS|2018-09-29|12900|0|0|50|1|0|0|0|0|0|0|0|0|0|0||0|0|0|PAQUISTAN|DE DIOS|JOSE DEL CARMEN|SOLTERO|X|X|CALLE ARABIA |COLONIA JACINTO LOPEZ |X|9371294395|X|X|X|CALLE ARABIA |X|LUNES|x|x|x|x|x|DOMICILIO |12800|100|X|X|X|2022-02-17|2022-02-24|x|x|x|x|x|OQGRX80BMUHQJ2X|x|HOMBRE|X|12900|X|X|X|X|X|X|X|X|CARDENAS|X|X|X|X|FINAL</v>
      </c>
    </row>
    <row r="314" spans="1:82" x14ac:dyDescent="0.25">
      <c r="A314" t="s">
        <v>738</v>
      </c>
      <c r="B314" t="s">
        <v>739</v>
      </c>
      <c r="C314">
        <v>3</v>
      </c>
      <c r="D314" t="s">
        <v>1369</v>
      </c>
      <c r="E314" t="s">
        <v>12</v>
      </c>
      <c r="F314" t="s">
        <v>0</v>
      </c>
      <c r="G314" t="s">
        <v>0</v>
      </c>
      <c r="H314" t="s">
        <v>1501</v>
      </c>
      <c r="I314">
        <v>14800</v>
      </c>
      <c r="J314">
        <v>0</v>
      </c>
      <c r="K314">
        <v>200</v>
      </c>
      <c r="L314">
        <v>50</v>
      </c>
      <c r="M314">
        <v>1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Y314">
        <v>0</v>
      </c>
      <c r="Z314">
        <v>0</v>
      </c>
      <c r="AA314">
        <v>0</v>
      </c>
      <c r="AB314" t="s">
        <v>1708</v>
      </c>
      <c r="AC314" t="s">
        <v>1708</v>
      </c>
      <c r="AD314" t="s">
        <v>1992</v>
      </c>
      <c r="AE314" t="s">
        <v>4</v>
      </c>
      <c r="AF314" t="s">
        <v>1</v>
      </c>
      <c r="AG314" t="s">
        <v>1</v>
      </c>
      <c r="AH314" t="s">
        <v>2701</v>
      </c>
      <c r="AI314" t="s">
        <v>3118</v>
      </c>
      <c r="AJ314" t="s">
        <v>1</v>
      </c>
      <c r="AK314">
        <v>9371105284</v>
      </c>
      <c r="AL314" t="s">
        <v>1</v>
      </c>
      <c r="AM314" t="s">
        <v>1</v>
      </c>
      <c r="AN314" t="s">
        <v>1</v>
      </c>
      <c r="AO314" t="s">
        <v>2701</v>
      </c>
      <c r="AP314" t="s">
        <v>1</v>
      </c>
      <c r="AQ314" t="s">
        <v>2</v>
      </c>
      <c r="AR314" t="s">
        <v>3</v>
      </c>
      <c r="AS314" t="s">
        <v>3</v>
      </c>
      <c r="AT314" t="s">
        <v>3</v>
      </c>
      <c r="AU314" t="s">
        <v>3</v>
      </c>
      <c r="AV314" t="s">
        <v>3</v>
      </c>
      <c r="AW314" t="s">
        <v>11</v>
      </c>
      <c r="AX314">
        <f>Tabla1[[#This Row],[precio del paquete]]-Tabla1[[#This Row],[Saldo_Deudor]]</f>
        <v>2000</v>
      </c>
      <c r="AY314">
        <v>12800</v>
      </c>
      <c r="AZ314" t="s">
        <v>1</v>
      </c>
      <c r="BA314" t="s">
        <v>1</v>
      </c>
      <c r="BB314" t="s">
        <v>1</v>
      </c>
      <c r="BC314" t="s">
        <v>3277</v>
      </c>
      <c r="BD314" t="s">
        <v>3327</v>
      </c>
      <c r="BE314" t="s">
        <v>3</v>
      </c>
      <c r="BF314" t="s">
        <v>3</v>
      </c>
      <c r="BG314" t="s">
        <v>3</v>
      </c>
      <c r="BH314" t="s">
        <v>3</v>
      </c>
      <c r="BI314" t="s">
        <v>3</v>
      </c>
      <c r="BJ314" t="s">
        <v>3355</v>
      </c>
      <c r="BK314" t="s">
        <v>3</v>
      </c>
      <c r="BL314" t="s">
        <v>132</v>
      </c>
      <c r="BM314" t="s">
        <v>1</v>
      </c>
      <c r="BN314">
        <f>Tabla1[[#This Row],[precio del paquete]]</f>
        <v>14800</v>
      </c>
      <c r="BO314" t="s">
        <v>1</v>
      </c>
      <c r="BP314" t="s">
        <v>1</v>
      </c>
      <c r="BQ314" t="s">
        <v>1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0</v>
      </c>
      <c r="BX314" t="s">
        <v>1</v>
      </c>
      <c r="BY314" t="s">
        <v>1</v>
      </c>
      <c r="BZ314" t="s">
        <v>1</v>
      </c>
      <c r="CA314" t="s">
        <v>1</v>
      </c>
      <c r="CB314" t="s">
        <v>3382</v>
      </c>
      <c r="CD314" t="str" cm="1">
        <f t="array" aca="1" ref="CD314" ca="1">eConcatenar(A314:CB314,"|")</f>
        <v>oxlcVdq6lAuP6urX|CAR2021-5889|3|MEMORIAL|TABASCO |CARDENAS|CARDENAS|2021-10-07|14800|0|200|50|1|0|0|0|0|0|0|0|0|0|0||0|0|0|||ESPERANZA|SOLTERO|X|X|CAMINO A RIO SECO Y MONTAÑA|COLONIA SANTA MARIA PERIFERICO |X|9371105284|X|X|X|CAMINO A RIO SECO Y MONTAÑA|X|LUNES|x|x|x|x|x|DOMICILIO |2000|12800|X|X|X|2022-02-17|2022-02-24|x|x|x|x|x|OQGRX80BMUHQJ2X|x|HOMBRE|X|14800|X|X|X|X|X|X|X|X|CARDENAS|X|X|X|X|FINAL</v>
      </c>
    </row>
    <row r="315" spans="1:82" x14ac:dyDescent="0.25">
      <c r="A315" t="s">
        <v>740</v>
      </c>
      <c r="B315" t="s">
        <v>741</v>
      </c>
      <c r="C315">
        <v>3</v>
      </c>
      <c r="D315" t="s">
        <v>1369</v>
      </c>
      <c r="E315" t="s">
        <v>12</v>
      </c>
      <c r="F315" t="s">
        <v>0</v>
      </c>
      <c r="G315" t="s">
        <v>0</v>
      </c>
      <c r="H315" t="s">
        <v>1502</v>
      </c>
      <c r="I315">
        <v>14800</v>
      </c>
      <c r="J315">
        <v>0</v>
      </c>
      <c r="K315">
        <v>50</v>
      </c>
      <c r="L315">
        <v>50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Y315">
        <v>0</v>
      </c>
      <c r="Z315">
        <v>0</v>
      </c>
      <c r="AA315">
        <v>0</v>
      </c>
      <c r="AB315" t="s">
        <v>1816</v>
      </c>
      <c r="AC315" t="s">
        <v>1708</v>
      </c>
      <c r="AD315" t="s">
        <v>2120</v>
      </c>
      <c r="AE315" t="s">
        <v>4</v>
      </c>
      <c r="AF315" t="s">
        <v>1</v>
      </c>
      <c r="AG315" t="s">
        <v>1</v>
      </c>
      <c r="AH315" t="s">
        <v>2702</v>
      </c>
      <c r="AI315" t="s">
        <v>3119</v>
      </c>
      <c r="AJ315" t="s">
        <v>1</v>
      </c>
      <c r="AK315">
        <v>9371401800</v>
      </c>
      <c r="AL315" t="s">
        <v>1</v>
      </c>
      <c r="AM315" t="s">
        <v>1</v>
      </c>
      <c r="AN315" t="s">
        <v>1</v>
      </c>
      <c r="AO315" t="s">
        <v>2702</v>
      </c>
      <c r="AP315" t="s">
        <v>1</v>
      </c>
      <c r="AQ315" t="s">
        <v>2</v>
      </c>
      <c r="AR315" t="s">
        <v>3</v>
      </c>
      <c r="AS315" t="s">
        <v>3</v>
      </c>
      <c r="AT315" t="s">
        <v>3</v>
      </c>
      <c r="AU315" t="s">
        <v>3</v>
      </c>
      <c r="AV315" t="s">
        <v>3</v>
      </c>
      <c r="AW315" t="s">
        <v>11</v>
      </c>
      <c r="AX315">
        <f>Tabla1[[#This Row],[precio del paquete]]-Tabla1[[#This Row],[Saldo_Deudor]]</f>
        <v>250</v>
      </c>
      <c r="AY315">
        <v>14550</v>
      </c>
      <c r="AZ315" t="s">
        <v>1</v>
      </c>
      <c r="BA315" t="s">
        <v>1</v>
      </c>
      <c r="BB315" t="s">
        <v>1</v>
      </c>
      <c r="BC315" t="s">
        <v>3277</v>
      </c>
      <c r="BD315" t="s">
        <v>3327</v>
      </c>
      <c r="BE315" t="s">
        <v>3</v>
      </c>
      <c r="BF315" t="s">
        <v>3</v>
      </c>
      <c r="BG315" t="s">
        <v>3</v>
      </c>
      <c r="BH315" t="s">
        <v>3</v>
      </c>
      <c r="BI315" t="s">
        <v>3</v>
      </c>
      <c r="BJ315" t="s">
        <v>3355</v>
      </c>
      <c r="BK315" t="s">
        <v>3</v>
      </c>
      <c r="BL315" t="s">
        <v>132</v>
      </c>
      <c r="BM315" t="s">
        <v>1</v>
      </c>
      <c r="BN315">
        <f>Tabla1[[#This Row],[precio del paquete]]</f>
        <v>14800</v>
      </c>
      <c r="BO315" t="s">
        <v>1</v>
      </c>
      <c r="BP315" t="s">
        <v>1</v>
      </c>
      <c r="BQ315" t="s">
        <v>1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0</v>
      </c>
      <c r="BX315" t="s">
        <v>1</v>
      </c>
      <c r="BY315" t="s">
        <v>1</v>
      </c>
      <c r="BZ315" t="s">
        <v>1</v>
      </c>
      <c r="CA315" t="s">
        <v>1</v>
      </c>
      <c r="CB315" t="s">
        <v>3382</v>
      </c>
      <c r="CD315" t="str" cm="1">
        <f t="array" aca="1" ref="CD315" ca="1">eConcatenar(A315:CB315,"|")</f>
        <v>Rdh8lo2bPg9qfG7z|CAR2022-0485|3|MEMORIAL|TABASCO |CARDENAS|CARDENAS|2022-09-29|14800|0|50|50|1|0|0|0|0|0|0|0|0|0|0||0|0|0|DE DIOS||JAIME PAQUISTAN|SOLTERO|X|X|CALLE SACUA |COLONIA LA CEIBA |X|9371401800|X|X|X|CALLE SACUA |X|LUNES|x|x|x|x|x|DOMICILIO |250|14550|X|X|X|2022-02-17|2022-02-24|x|x|x|x|x|OQGRX80BMUHQJ2X|x|HOMBRE|X|14800|X|X|X|X|X|X|X|X|CARDENAS|X|X|X|X|FINAL</v>
      </c>
    </row>
    <row r="316" spans="1:82" x14ac:dyDescent="0.25">
      <c r="A316" t="s">
        <v>742</v>
      </c>
      <c r="B316" t="s">
        <v>743</v>
      </c>
      <c r="C316">
        <v>3</v>
      </c>
      <c r="D316" t="s">
        <v>1369</v>
      </c>
      <c r="E316" t="s">
        <v>12</v>
      </c>
      <c r="F316" t="s">
        <v>1382</v>
      </c>
      <c r="G316" t="s">
        <v>1382</v>
      </c>
      <c r="H316" t="s">
        <v>1503</v>
      </c>
      <c r="I316">
        <v>14800</v>
      </c>
      <c r="J316">
        <v>0</v>
      </c>
      <c r="K316">
        <v>100</v>
      </c>
      <c r="L316">
        <v>50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Y316">
        <v>0</v>
      </c>
      <c r="Z316">
        <v>0</v>
      </c>
      <c r="AA316">
        <v>0</v>
      </c>
      <c r="AB316" t="s">
        <v>2024</v>
      </c>
      <c r="AC316" t="s">
        <v>1708</v>
      </c>
      <c r="AD316" t="s">
        <v>2121</v>
      </c>
      <c r="AE316" t="s">
        <v>4</v>
      </c>
      <c r="AF316" t="s">
        <v>1</v>
      </c>
      <c r="AG316" t="s">
        <v>1</v>
      </c>
      <c r="AH316" t="s">
        <v>2703</v>
      </c>
      <c r="AI316" t="s">
        <v>3120</v>
      </c>
      <c r="AJ316" t="s">
        <v>1</v>
      </c>
      <c r="AK316">
        <v>9371752892</v>
      </c>
      <c r="AL316" t="s">
        <v>1</v>
      </c>
      <c r="AM316" t="s">
        <v>1</v>
      </c>
      <c r="AN316" t="s">
        <v>1</v>
      </c>
      <c r="AO316" t="s">
        <v>2703</v>
      </c>
      <c r="AP316" t="s">
        <v>1</v>
      </c>
      <c r="AQ316" t="s">
        <v>2</v>
      </c>
      <c r="AR316" t="s">
        <v>3</v>
      </c>
      <c r="AS316" t="s">
        <v>3</v>
      </c>
      <c r="AT316" t="s">
        <v>3</v>
      </c>
      <c r="AU316" t="s">
        <v>3</v>
      </c>
      <c r="AV316" t="s">
        <v>3</v>
      </c>
      <c r="AW316" t="s">
        <v>11</v>
      </c>
      <c r="AX316">
        <f>Tabla1[[#This Row],[precio del paquete]]-Tabla1[[#This Row],[Saldo_Deudor]]</f>
        <v>1600</v>
      </c>
      <c r="AY316">
        <v>13200</v>
      </c>
      <c r="AZ316" t="s">
        <v>1</v>
      </c>
      <c r="BA316" t="s">
        <v>1</v>
      </c>
      <c r="BB316" t="s">
        <v>1</v>
      </c>
      <c r="BC316" t="s">
        <v>3277</v>
      </c>
      <c r="BD316" t="s">
        <v>3327</v>
      </c>
      <c r="BE316" t="s">
        <v>3</v>
      </c>
      <c r="BF316" t="s">
        <v>3</v>
      </c>
      <c r="BG316" t="s">
        <v>3</v>
      </c>
      <c r="BH316" t="s">
        <v>3</v>
      </c>
      <c r="BI316" t="s">
        <v>3</v>
      </c>
      <c r="BJ316" t="s">
        <v>3355</v>
      </c>
      <c r="BK316" t="s">
        <v>3</v>
      </c>
      <c r="BL316" t="s">
        <v>132</v>
      </c>
      <c r="BM316" t="s">
        <v>1</v>
      </c>
      <c r="BN316">
        <f>Tabla1[[#This Row],[precio del paquete]]</f>
        <v>14800</v>
      </c>
      <c r="BO316" t="s">
        <v>1</v>
      </c>
      <c r="BP316" t="s">
        <v>1</v>
      </c>
      <c r="BQ316" t="s">
        <v>1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0</v>
      </c>
      <c r="BX316" t="s">
        <v>1</v>
      </c>
      <c r="BY316" t="s">
        <v>1</v>
      </c>
      <c r="BZ316" t="s">
        <v>1</v>
      </c>
      <c r="CA316" t="s">
        <v>1</v>
      </c>
      <c r="CB316" t="s">
        <v>3382</v>
      </c>
      <c r="CD316" t="str" cm="1">
        <f t="array" aca="1" ref="CD316" ca="1">eConcatenar(A316:CB316,"|")</f>
        <v>8GlbjKY8DpdlvOfU|CAR2021-7625|3|MEMORIAL|TABASCO |HUIMANGUILLO|HUIMANGUILLO|2021-12-18|14800|0|100|50|1|0|0|0|0|0|0|0|0|0|0||0|0|0|ZAPATA||DAVID HERNANDEZ|SOLTERO|X|X|CALLE EL MANGO |COLONIA ARBOLEDA |X|9371752892|X|X|X|CALLE EL MANGO |X|LUNES|x|x|x|x|x|DOMICILIO |1600|13200|X|X|X|2022-02-17|2022-02-24|x|x|x|x|x|OQGRX80BMUHQJ2X|x|HOMBRE|X|14800|X|X|X|X|X|X|X|X|CARDENAS|X|X|X|X|FINAL</v>
      </c>
    </row>
    <row r="317" spans="1:82" x14ac:dyDescent="0.25">
      <c r="A317" t="s">
        <v>744</v>
      </c>
      <c r="B317" t="s">
        <v>745</v>
      </c>
      <c r="C317">
        <v>3</v>
      </c>
      <c r="D317" t="s">
        <v>1369</v>
      </c>
      <c r="E317" t="s">
        <v>12</v>
      </c>
      <c r="F317" t="s">
        <v>1382</v>
      </c>
      <c r="G317" t="s">
        <v>1382</v>
      </c>
      <c r="H317" t="s">
        <v>1504</v>
      </c>
      <c r="I317">
        <v>14800</v>
      </c>
      <c r="J317">
        <v>0</v>
      </c>
      <c r="K317">
        <v>200</v>
      </c>
      <c r="L317">
        <v>50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Y317">
        <v>0</v>
      </c>
      <c r="Z317">
        <v>0</v>
      </c>
      <c r="AA317">
        <v>0</v>
      </c>
      <c r="AB317" t="s">
        <v>2122</v>
      </c>
      <c r="AC317" t="s">
        <v>1708</v>
      </c>
      <c r="AD317" t="s">
        <v>2123</v>
      </c>
      <c r="AE317" t="s">
        <v>4</v>
      </c>
      <c r="AF317" t="s">
        <v>1</v>
      </c>
      <c r="AG317" t="s">
        <v>1</v>
      </c>
      <c r="AH317" t="s">
        <v>2703</v>
      </c>
      <c r="AI317" t="s">
        <v>3120</v>
      </c>
      <c r="AJ317" t="s">
        <v>1</v>
      </c>
      <c r="AK317">
        <v>9371274374</v>
      </c>
      <c r="AL317" t="s">
        <v>1</v>
      </c>
      <c r="AM317" t="s">
        <v>1</v>
      </c>
      <c r="AN317" t="s">
        <v>1</v>
      </c>
      <c r="AO317" t="s">
        <v>2703</v>
      </c>
      <c r="AP317" t="s">
        <v>1</v>
      </c>
      <c r="AQ317" t="s">
        <v>2</v>
      </c>
      <c r="AR317" t="s">
        <v>3</v>
      </c>
      <c r="AS317" t="s">
        <v>3</v>
      </c>
      <c r="AT317" t="s">
        <v>3</v>
      </c>
      <c r="AU317" t="s">
        <v>3</v>
      </c>
      <c r="AV317" t="s">
        <v>3</v>
      </c>
      <c r="AW317" t="s">
        <v>11</v>
      </c>
      <c r="AX317">
        <f>Tabla1[[#This Row],[precio del paquete]]-Tabla1[[#This Row],[Saldo_Deudor]]</f>
        <v>1200</v>
      </c>
      <c r="AY317">
        <v>13600</v>
      </c>
      <c r="AZ317" t="s">
        <v>1</v>
      </c>
      <c r="BA317" t="s">
        <v>1</v>
      </c>
      <c r="BB317" t="s">
        <v>1</v>
      </c>
      <c r="BC317" t="s">
        <v>3277</v>
      </c>
      <c r="BD317" t="s">
        <v>3327</v>
      </c>
      <c r="BE317" t="s">
        <v>3</v>
      </c>
      <c r="BF317" t="s">
        <v>3</v>
      </c>
      <c r="BG317" t="s">
        <v>3</v>
      </c>
      <c r="BH317" t="s">
        <v>3</v>
      </c>
      <c r="BI317" t="s">
        <v>3</v>
      </c>
      <c r="BJ317" t="s">
        <v>3355</v>
      </c>
      <c r="BK317" t="s">
        <v>3</v>
      </c>
      <c r="BL317" t="s">
        <v>132</v>
      </c>
      <c r="BM317" t="s">
        <v>1</v>
      </c>
      <c r="BN317">
        <f>Tabla1[[#This Row],[precio del paquete]]</f>
        <v>14800</v>
      </c>
      <c r="BO317" t="s">
        <v>1</v>
      </c>
      <c r="BP317" t="s">
        <v>1</v>
      </c>
      <c r="BQ317" t="s">
        <v>1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0</v>
      </c>
      <c r="BX317" t="s">
        <v>1</v>
      </c>
      <c r="BY317" t="s">
        <v>1</v>
      </c>
      <c r="BZ317" t="s">
        <v>1</v>
      </c>
      <c r="CA317" t="s">
        <v>1</v>
      </c>
      <c r="CB317" t="s">
        <v>3382</v>
      </c>
      <c r="CD317" t="str" cm="1">
        <f t="array" aca="1" ref="CD317" ca="1">eConcatenar(A317:CB317,"|")</f>
        <v>Jla4NQZTJVYg7opJ|CAR2021-7599|3|MEMORIAL|TABASCO |HUIMANGUILLO|HUIMANGUILLO|2021-12-17|14800|0|200|50|1|0|0|0|0|0|0|0|0|0|0||0|0|0|MELENDEZ||ROSIBEL ANDRADE|SOLTERO|X|X|CALLE EL MANGO |COLONIA ARBOLEDA |X|9371274374|X|X|X|CALLE EL MANGO |X|LUNES|x|x|x|x|x|DOMICILIO |1200|13600|X|X|X|2022-02-17|2022-02-24|x|x|x|x|x|OQGRX80BMUHQJ2X|x|HOMBRE|X|14800|X|X|X|X|X|X|X|X|CARDENAS|X|X|X|X|FINAL</v>
      </c>
    </row>
    <row r="318" spans="1:82" x14ac:dyDescent="0.25">
      <c r="A318" t="s">
        <v>746</v>
      </c>
      <c r="B318" t="s">
        <v>747</v>
      </c>
      <c r="C318">
        <v>3</v>
      </c>
      <c r="D318" t="s">
        <v>121</v>
      </c>
      <c r="E318" t="s">
        <v>12</v>
      </c>
      <c r="F318" t="s">
        <v>0</v>
      </c>
      <c r="G318" t="s">
        <v>0</v>
      </c>
      <c r="H318" t="s">
        <v>1505</v>
      </c>
      <c r="I318">
        <v>12900</v>
      </c>
      <c r="J318">
        <v>0</v>
      </c>
      <c r="K318">
        <v>0</v>
      </c>
      <c r="L318">
        <v>50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Y318">
        <v>0</v>
      </c>
      <c r="Z318">
        <v>0</v>
      </c>
      <c r="AA318">
        <v>0</v>
      </c>
      <c r="AB318" t="s">
        <v>1936</v>
      </c>
      <c r="AC318" t="s">
        <v>1708</v>
      </c>
      <c r="AD318" t="s">
        <v>2124</v>
      </c>
      <c r="AE318" t="s">
        <v>4</v>
      </c>
      <c r="AF318" t="s">
        <v>1</v>
      </c>
      <c r="AG318" t="s">
        <v>1</v>
      </c>
      <c r="AH318" t="s">
        <v>2704</v>
      </c>
      <c r="AI318" t="s">
        <v>3121</v>
      </c>
      <c r="AJ318" t="s">
        <v>1</v>
      </c>
      <c r="AK318">
        <v>9371557055</v>
      </c>
      <c r="AL318" t="s">
        <v>1</v>
      </c>
      <c r="AM318" t="s">
        <v>1</v>
      </c>
      <c r="AN318" t="s">
        <v>1</v>
      </c>
      <c r="AO318" t="s">
        <v>2704</v>
      </c>
      <c r="AP318" t="s">
        <v>1</v>
      </c>
      <c r="AQ318" t="s">
        <v>2</v>
      </c>
      <c r="AR318" t="s">
        <v>3</v>
      </c>
      <c r="AS318" t="s">
        <v>3</v>
      </c>
      <c r="AT318" t="s">
        <v>3</v>
      </c>
      <c r="AU318" t="s">
        <v>3</v>
      </c>
      <c r="AV318" t="s">
        <v>3</v>
      </c>
      <c r="AW318" t="s">
        <v>11</v>
      </c>
      <c r="AX318">
        <f>Tabla1[[#This Row],[precio del paquete]]-Tabla1[[#This Row],[Saldo_Deudor]]</f>
        <v>8350</v>
      </c>
      <c r="AY318">
        <v>4550</v>
      </c>
      <c r="AZ318" t="s">
        <v>1</v>
      </c>
      <c r="BA318" t="s">
        <v>1</v>
      </c>
      <c r="BB318" t="s">
        <v>1</v>
      </c>
      <c r="BC318" t="s">
        <v>3277</v>
      </c>
      <c r="BD318" t="s">
        <v>3327</v>
      </c>
      <c r="BE318" t="s">
        <v>3</v>
      </c>
      <c r="BF318" t="s">
        <v>3</v>
      </c>
      <c r="BG318" t="s">
        <v>3</v>
      </c>
      <c r="BH318" t="s">
        <v>3</v>
      </c>
      <c r="BI318" t="s">
        <v>3</v>
      </c>
      <c r="BJ318" t="s">
        <v>3355</v>
      </c>
      <c r="BK318" t="s">
        <v>3</v>
      </c>
      <c r="BL318" t="s">
        <v>132</v>
      </c>
      <c r="BM318" t="s">
        <v>1</v>
      </c>
      <c r="BN318">
        <f>Tabla1[[#This Row],[precio del paquete]]</f>
        <v>12900</v>
      </c>
      <c r="BO318" t="s">
        <v>1</v>
      </c>
      <c r="BP318" t="s">
        <v>1</v>
      </c>
      <c r="BQ318" t="s">
        <v>1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0</v>
      </c>
      <c r="BX318" t="s">
        <v>1</v>
      </c>
      <c r="BY318" t="s">
        <v>1</v>
      </c>
      <c r="BZ318" t="s">
        <v>1</v>
      </c>
      <c r="CA318" t="s">
        <v>1</v>
      </c>
      <c r="CB318" t="s">
        <v>3382</v>
      </c>
      <c r="CD318" t="str" cm="1">
        <f t="array" aca="1" ref="CD318" ca="1">eConcatenar(A318:CB318,"|")</f>
        <v>mlJTUkEo46ZStpNI|CAR2020-1006|3|IMPERIAL DE LUJO |TABASCO |CARDENAS|CARDENAS|2020-03-20|12900|0|0|50|1|0|0|0|0|0|0|0|0|0|0||0|0|0|LEYVA||ABELEYDA ARABELO|SOLTERO|X|X|EL ENCANTO |FRACCIONAMIENTO EL ENCANTO |X|9371557055|X|X|X|EL ENCANTO |X|LUNES|x|x|x|x|x|DOMICILIO |8350|4550|X|X|X|2022-02-17|2022-02-24|x|x|x|x|x|OQGRX80BMUHQJ2X|x|HOMBRE|X|12900|X|X|X|X|X|X|X|X|CARDENAS|X|X|X|X|FINAL</v>
      </c>
    </row>
    <row r="319" spans="1:82" x14ac:dyDescent="0.25">
      <c r="A319" t="s">
        <v>748</v>
      </c>
      <c r="B319" t="s">
        <v>749</v>
      </c>
      <c r="C319">
        <v>3</v>
      </c>
      <c r="D319" t="s">
        <v>121</v>
      </c>
      <c r="E319" t="s">
        <v>12</v>
      </c>
      <c r="F319" t="s">
        <v>0</v>
      </c>
      <c r="G319" t="s">
        <v>0</v>
      </c>
      <c r="H319" t="s">
        <v>1506</v>
      </c>
      <c r="I319">
        <v>12900</v>
      </c>
      <c r="J319">
        <v>0</v>
      </c>
      <c r="K319">
        <v>0</v>
      </c>
      <c r="L319">
        <v>50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Y319">
        <v>0</v>
      </c>
      <c r="Z319">
        <v>0</v>
      </c>
      <c r="AA319">
        <v>0</v>
      </c>
      <c r="AB319" t="s">
        <v>1744</v>
      </c>
      <c r="AC319" t="s">
        <v>1708</v>
      </c>
      <c r="AD319" t="s">
        <v>2125</v>
      </c>
      <c r="AE319" t="s">
        <v>4</v>
      </c>
      <c r="AF319" t="s">
        <v>1</v>
      </c>
      <c r="AG319" t="s">
        <v>1</v>
      </c>
      <c r="AH319" t="s">
        <v>2705</v>
      </c>
      <c r="AI319" t="s">
        <v>3122</v>
      </c>
      <c r="AJ319" t="s">
        <v>1</v>
      </c>
      <c r="AK319">
        <v>9141026313</v>
      </c>
      <c r="AL319" t="s">
        <v>1</v>
      </c>
      <c r="AM319" t="s">
        <v>1</v>
      </c>
      <c r="AN319" t="s">
        <v>1</v>
      </c>
      <c r="AO319" t="s">
        <v>2705</v>
      </c>
      <c r="AP319" t="s">
        <v>1</v>
      </c>
      <c r="AQ319" t="s">
        <v>2</v>
      </c>
      <c r="AR319" t="s">
        <v>3</v>
      </c>
      <c r="AS319" t="s">
        <v>3</v>
      </c>
      <c r="AT319" t="s">
        <v>3</v>
      </c>
      <c r="AU319" t="s">
        <v>3</v>
      </c>
      <c r="AV319" t="s">
        <v>3</v>
      </c>
      <c r="AW319" t="s">
        <v>11</v>
      </c>
      <c r="AX319">
        <f>Tabla1[[#This Row],[precio del paquete]]-Tabla1[[#This Row],[Saldo_Deudor]]</f>
        <v>5250</v>
      </c>
      <c r="AY319">
        <v>7650</v>
      </c>
      <c r="AZ319" t="s">
        <v>1</v>
      </c>
      <c r="BA319" t="s">
        <v>1</v>
      </c>
      <c r="BB319" t="s">
        <v>1</v>
      </c>
      <c r="BC319" t="s">
        <v>3277</v>
      </c>
      <c r="BD319" t="s">
        <v>3327</v>
      </c>
      <c r="BE319" t="s">
        <v>3</v>
      </c>
      <c r="BF319" t="s">
        <v>3</v>
      </c>
      <c r="BG319" t="s">
        <v>3</v>
      </c>
      <c r="BH319" t="s">
        <v>3</v>
      </c>
      <c r="BI319" t="s">
        <v>3</v>
      </c>
      <c r="BJ319" t="s">
        <v>3355</v>
      </c>
      <c r="BK319" t="s">
        <v>3</v>
      </c>
      <c r="BL319" t="s">
        <v>132</v>
      </c>
      <c r="BM319" t="s">
        <v>1</v>
      </c>
      <c r="BN319">
        <f>Tabla1[[#This Row],[precio del paquete]]</f>
        <v>12900</v>
      </c>
      <c r="BO319" t="s">
        <v>1</v>
      </c>
      <c r="BP319" t="s">
        <v>1</v>
      </c>
      <c r="BQ319" t="s">
        <v>1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0</v>
      </c>
      <c r="BX319" t="s">
        <v>1</v>
      </c>
      <c r="BY319" t="s">
        <v>1</v>
      </c>
      <c r="BZ319" t="s">
        <v>1</v>
      </c>
      <c r="CA319" t="s">
        <v>1</v>
      </c>
      <c r="CB319" t="s">
        <v>3382</v>
      </c>
      <c r="CD319" t="str" cm="1">
        <f t="array" aca="1" ref="CD319" ca="1">eConcatenar(A319:CB319,"|")</f>
        <v>izhR6aPPkeJpXTwF|CAR2020-0453|3|IMPERIAL DE LUJO |TABASCO |CARDENAS|CARDENAS|2020-02-12|12900|0|0|50|1|0|0|0|0|0|0|0|0|0|0||0|0|0|PEREZ||IRENE LOPEZ|SOLTERO|X|X|RANCHERIA PASO Y PLAYA|RANCHERIA PASO Y PLAYA |X|9141026313|X|X|X|RANCHERIA PASO Y PLAYA|X|LUNES|x|x|x|x|x|DOMICILIO |5250|7650|X|X|X|2022-02-17|2022-02-24|x|x|x|x|x|OQGRX80BMUHQJ2X|x|HOMBRE|X|12900|X|X|X|X|X|X|X|X|CARDENAS|X|X|X|X|FINAL</v>
      </c>
    </row>
    <row r="320" spans="1:82" x14ac:dyDescent="0.25">
      <c r="A320" t="s">
        <v>750</v>
      </c>
      <c r="B320" t="s">
        <v>751</v>
      </c>
      <c r="C320">
        <v>3</v>
      </c>
      <c r="D320" t="s">
        <v>1369</v>
      </c>
      <c r="E320" t="s">
        <v>12</v>
      </c>
      <c r="F320" t="s">
        <v>0</v>
      </c>
      <c r="G320" t="s">
        <v>0</v>
      </c>
      <c r="H320" t="s">
        <v>1507</v>
      </c>
      <c r="I320">
        <v>14800</v>
      </c>
      <c r="J320">
        <v>0</v>
      </c>
      <c r="K320">
        <v>50</v>
      </c>
      <c r="L320">
        <v>50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Y320">
        <v>0</v>
      </c>
      <c r="Z320">
        <v>0</v>
      </c>
      <c r="AA320">
        <v>0</v>
      </c>
      <c r="AB320" t="s">
        <v>1784</v>
      </c>
      <c r="AC320" t="s">
        <v>1731</v>
      </c>
      <c r="AD320" t="s">
        <v>2126</v>
      </c>
      <c r="AE320" t="s">
        <v>4</v>
      </c>
      <c r="AF320" t="s">
        <v>1</v>
      </c>
      <c r="AG320" t="s">
        <v>1</v>
      </c>
      <c r="AH320" t="s">
        <v>2706</v>
      </c>
      <c r="AI320" t="s">
        <v>3108</v>
      </c>
      <c r="AJ320" t="s">
        <v>1</v>
      </c>
      <c r="AK320">
        <v>9373783706</v>
      </c>
      <c r="AL320" t="s">
        <v>1</v>
      </c>
      <c r="AM320" t="s">
        <v>1</v>
      </c>
      <c r="AN320" t="s">
        <v>1</v>
      </c>
      <c r="AO320" t="s">
        <v>2706</v>
      </c>
      <c r="AP320" t="s">
        <v>1</v>
      </c>
      <c r="AQ320" t="s">
        <v>2</v>
      </c>
      <c r="AR320" t="s">
        <v>3</v>
      </c>
      <c r="AS320" t="s">
        <v>3</v>
      </c>
      <c r="AT320" t="s">
        <v>3</v>
      </c>
      <c r="AU320" t="s">
        <v>3</v>
      </c>
      <c r="AV320" t="s">
        <v>3</v>
      </c>
      <c r="AW320" t="s">
        <v>11</v>
      </c>
      <c r="AX320">
        <f>Tabla1[[#This Row],[precio del paquete]]-Tabla1[[#This Row],[Saldo_Deudor]]</f>
        <v>8000</v>
      </c>
      <c r="AY320">
        <v>6800</v>
      </c>
      <c r="AZ320" t="s">
        <v>1</v>
      </c>
      <c r="BA320" t="s">
        <v>1</v>
      </c>
      <c r="BB320" t="s">
        <v>1</v>
      </c>
      <c r="BC320" t="s">
        <v>3277</v>
      </c>
      <c r="BD320" t="s">
        <v>3327</v>
      </c>
      <c r="BE320" t="s">
        <v>3</v>
      </c>
      <c r="BF320" t="s">
        <v>3</v>
      </c>
      <c r="BG320" t="s">
        <v>3</v>
      </c>
      <c r="BH320" t="s">
        <v>3</v>
      </c>
      <c r="BI320" t="s">
        <v>3</v>
      </c>
      <c r="BJ320" t="s">
        <v>3355</v>
      </c>
      <c r="BK320" t="s">
        <v>3</v>
      </c>
      <c r="BL320" t="s">
        <v>132</v>
      </c>
      <c r="BM320" t="s">
        <v>1</v>
      </c>
      <c r="BN320">
        <f>Tabla1[[#This Row],[precio del paquete]]</f>
        <v>14800</v>
      </c>
      <c r="BO320" t="s">
        <v>1</v>
      </c>
      <c r="BP320" t="s">
        <v>1</v>
      </c>
      <c r="BQ320" t="s">
        <v>1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0</v>
      </c>
      <c r="BX320" t="s">
        <v>1</v>
      </c>
      <c r="BY320" t="s">
        <v>1</v>
      </c>
      <c r="BZ320" t="s">
        <v>1</v>
      </c>
      <c r="CA320" t="s">
        <v>1</v>
      </c>
      <c r="CB320" t="s">
        <v>3382</v>
      </c>
      <c r="CD320" t="str" cm="1">
        <f t="array" aca="1" ref="CD320" ca="1">eConcatenar(A320:CB320,"|")</f>
        <v>4yHiBTZewFELj3U1|CAR2021-6476|3|MEMORIAL|TABASCO |CARDENAS|CARDENAS|2021-10-28|14800|0|50|50|1|0|0|0|0|0|0|0|0|0|0||0|0|0|GAMAS|GARCIA|DORA MARIA|SOLTERO|X|X|CALLE GUADALUPE VICTORIA |COLONIA CARDENAS CENTRO |X|9373783706|X|X|X|CALLE GUADALUPE VICTORIA |X|LUNES|x|x|x|x|x|DOMICILIO |8000|6800|X|X|X|2022-02-17|2022-02-24|x|x|x|x|x|OQGRX80BMUHQJ2X|x|HOMBRE|X|14800|X|X|X|X|X|X|X|X|CARDENAS|X|X|X|X|FINAL</v>
      </c>
    </row>
    <row r="321" spans="1:82" x14ac:dyDescent="0.25">
      <c r="A321" t="s">
        <v>752</v>
      </c>
      <c r="B321" t="s">
        <v>753</v>
      </c>
      <c r="C321">
        <v>3</v>
      </c>
      <c r="D321" t="s">
        <v>14</v>
      </c>
      <c r="E321" t="s">
        <v>12</v>
      </c>
      <c r="F321" t="s">
        <v>0</v>
      </c>
      <c r="G321" t="s">
        <v>0</v>
      </c>
      <c r="H321" t="s">
        <v>1508</v>
      </c>
      <c r="I321">
        <v>12900</v>
      </c>
      <c r="J321">
        <v>0</v>
      </c>
      <c r="K321">
        <v>0</v>
      </c>
      <c r="L321">
        <v>50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Y321">
        <v>0</v>
      </c>
      <c r="Z321">
        <v>0</v>
      </c>
      <c r="AA321">
        <v>0</v>
      </c>
      <c r="AB321" t="s">
        <v>1744</v>
      </c>
      <c r="AC321" t="s">
        <v>1708</v>
      </c>
      <c r="AD321" t="s">
        <v>2127</v>
      </c>
      <c r="AE321" t="s">
        <v>4</v>
      </c>
      <c r="AF321" t="s">
        <v>1</v>
      </c>
      <c r="AG321" t="s">
        <v>1</v>
      </c>
      <c r="AH321" t="s">
        <v>2707</v>
      </c>
      <c r="AI321" t="s">
        <v>2707</v>
      </c>
      <c r="AJ321" t="s">
        <v>1</v>
      </c>
      <c r="AK321">
        <v>9371408754</v>
      </c>
      <c r="AL321" t="s">
        <v>1</v>
      </c>
      <c r="AM321" t="s">
        <v>1</v>
      </c>
      <c r="AN321" t="s">
        <v>1</v>
      </c>
      <c r="AO321" t="s">
        <v>2707</v>
      </c>
      <c r="AP321" t="s">
        <v>1</v>
      </c>
      <c r="AQ321" t="s">
        <v>2</v>
      </c>
      <c r="AR321" t="s">
        <v>3</v>
      </c>
      <c r="AS321" t="s">
        <v>3</v>
      </c>
      <c r="AT321" t="s">
        <v>3</v>
      </c>
      <c r="AU321" t="s">
        <v>3</v>
      </c>
      <c r="AV321" t="s">
        <v>3</v>
      </c>
      <c r="AW321" t="s">
        <v>11</v>
      </c>
      <c r="AX321">
        <f>Tabla1[[#This Row],[precio del paquete]]-Tabla1[[#This Row],[Saldo_Deudor]]</f>
        <v>12600</v>
      </c>
      <c r="AY321">
        <v>300</v>
      </c>
      <c r="AZ321" t="s">
        <v>1</v>
      </c>
      <c r="BA321" t="s">
        <v>1</v>
      </c>
      <c r="BB321" t="s">
        <v>1</v>
      </c>
      <c r="BC321" t="s">
        <v>3277</v>
      </c>
      <c r="BD321" t="s">
        <v>3327</v>
      </c>
      <c r="BE321" t="s">
        <v>3</v>
      </c>
      <c r="BF321" t="s">
        <v>3</v>
      </c>
      <c r="BG321" t="s">
        <v>3</v>
      </c>
      <c r="BH321" t="s">
        <v>3</v>
      </c>
      <c r="BI321" t="s">
        <v>3</v>
      </c>
      <c r="BJ321" t="s">
        <v>3355</v>
      </c>
      <c r="BK321" t="s">
        <v>3</v>
      </c>
      <c r="BL321" t="s">
        <v>132</v>
      </c>
      <c r="BM321" t="s">
        <v>1</v>
      </c>
      <c r="BN321">
        <f>Tabla1[[#This Row],[precio del paquete]]</f>
        <v>12900</v>
      </c>
      <c r="BO321" t="s">
        <v>1</v>
      </c>
      <c r="BP321" t="s">
        <v>1</v>
      </c>
      <c r="BQ321" t="s">
        <v>1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0</v>
      </c>
      <c r="BX321" t="s">
        <v>1</v>
      </c>
      <c r="BY321" t="s">
        <v>1</v>
      </c>
      <c r="BZ321" t="s">
        <v>1</v>
      </c>
      <c r="CA321" t="s">
        <v>1</v>
      </c>
      <c r="CB321" t="s">
        <v>3382</v>
      </c>
      <c r="CD321" t="str" cm="1">
        <f t="array" aca="1" ref="CD321" ca="1">eConcatenar(A321:CB321,"|")</f>
        <v>pDLFlXZwCl4d2AcM|CAR2019-0093|3|ECONOLINE |TABASCO |CARDENAS|CARDENAS|2019-01-23|12900|0|0|50|1|0|0|0|0|0|0|0|0|0|0||0|0|0|PEREZ||EDITH HERNANDEZ|SOLTERO|X|X|EJIDO MIAHUATLAN SAN ANTONIO|EJIDO MIAHUATLAN SAN ANTONIO|X|9371408754|X|X|X|EJIDO MIAHUATLAN SAN ANTONIO|X|LUNES|x|x|x|x|x|DOMICILIO |12600|300|X|X|X|2022-02-17|2022-02-24|x|x|x|x|x|OQGRX80BMUHQJ2X|x|HOMBRE|X|12900|X|X|X|X|X|X|X|X|CARDENAS|X|X|X|X|FINAL</v>
      </c>
    </row>
    <row r="322" spans="1:82" x14ac:dyDescent="0.25">
      <c r="A322" t="s">
        <v>754</v>
      </c>
      <c r="B322" t="s">
        <v>755</v>
      </c>
      <c r="C322">
        <v>3</v>
      </c>
      <c r="D322" t="s">
        <v>121</v>
      </c>
      <c r="E322" t="s">
        <v>12</v>
      </c>
      <c r="F322" t="s">
        <v>0</v>
      </c>
      <c r="G322" t="s">
        <v>0</v>
      </c>
      <c r="H322" t="s">
        <v>1509</v>
      </c>
      <c r="I322">
        <v>12900</v>
      </c>
      <c r="J322">
        <v>0</v>
      </c>
      <c r="K322">
        <v>200</v>
      </c>
      <c r="L322">
        <v>50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Y322">
        <v>0</v>
      </c>
      <c r="Z322">
        <v>0</v>
      </c>
      <c r="AA322">
        <v>0</v>
      </c>
      <c r="AB322" t="s">
        <v>2128</v>
      </c>
      <c r="AC322" t="s">
        <v>1731</v>
      </c>
      <c r="AD322" t="s">
        <v>2129</v>
      </c>
      <c r="AE322" t="s">
        <v>4</v>
      </c>
      <c r="AF322" t="s">
        <v>1</v>
      </c>
      <c r="AG322" t="s">
        <v>1</v>
      </c>
      <c r="AH322" t="s">
        <v>2708</v>
      </c>
      <c r="AI322" t="s">
        <v>3123</v>
      </c>
      <c r="AJ322" t="s">
        <v>1</v>
      </c>
      <c r="AK322">
        <v>9371390938</v>
      </c>
      <c r="AL322" t="s">
        <v>1</v>
      </c>
      <c r="AM322" t="s">
        <v>1</v>
      </c>
      <c r="AN322" t="s">
        <v>1</v>
      </c>
      <c r="AO322" t="s">
        <v>2708</v>
      </c>
      <c r="AP322" t="s">
        <v>1</v>
      </c>
      <c r="AQ322" t="s">
        <v>2</v>
      </c>
      <c r="AR322" t="s">
        <v>3</v>
      </c>
      <c r="AS322" t="s">
        <v>3</v>
      </c>
      <c r="AT322" t="s">
        <v>3</v>
      </c>
      <c r="AU322" t="s">
        <v>3</v>
      </c>
      <c r="AV322" t="s">
        <v>3</v>
      </c>
      <c r="AW322" t="s">
        <v>11</v>
      </c>
      <c r="AX322">
        <f>Tabla1[[#This Row],[precio del paquete]]-Tabla1[[#This Row],[Saldo_Deudor]]</f>
        <v>5600</v>
      </c>
      <c r="AY322">
        <v>7300</v>
      </c>
      <c r="AZ322" t="s">
        <v>1</v>
      </c>
      <c r="BA322" t="s">
        <v>1</v>
      </c>
      <c r="BB322" t="s">
        <v>1</v>
      </c>
      <c r="BC322" t="s">
        <v>1406</v>
      </c>
      <c r="BD322" t="s">
        <v>3308</v>
      </c>
      <c r="BE322" t="s">
        <v>3</v>
      </c>
      <c r="BF322" t="s">
        <v>3</v>
      </c>
      <c r="BG322" t="s">
        <v>3</v>
      </c>
      <c r="BH322" t="s">
        <v>3</v>
      </c>
      <c r="BI322" t="s">
        <v>3</v>
      </c>
      <c r="BJ322" t="s">
        <v>3355</v>
      </c>
      <c r="BK322" t="s">
        <v>3</v>
      </c>
      <c r="BL322" t="s">
        <v>132</v>
      </c>
      <c r="BM322" t="s">
        <v>1</v>
      </c>
      <c r="BN322">
        <f>Tabla1[[#This Row],[precio del paquete]]</f>
        <v>12900</v>
      </c>
      <c r="BO322" t="s">
        <v>1</v>
      </c>
      <c r="BP322" t="s">
        <v>1</v>
      </c>
      <c r="BQ322" t="s">
        <v>1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0</v>
      </c>
      <c r="BX322" t="s">
        <v>1</v>
      </c>
      <c r="BY322" t="s">
        <v>1</v>
      </c>
      <c r="BZ322" t="s">
        <v>1</v>
      </c>
      <c r="CA322" t="s">
        <v>1</v>
      </c>
      <c r="CB322" t="s">
        <v>3382</v>
      </c>
      <c r="CD322" t="str" cm="1">
        <f t="array" aca="1" ref="CD322" ca="1">eConcatenar(A322:CB322,"|")</f>
        <v>wlDV0sChWunGSw7Z|CAR2021-0201|3|IMPERIAL DE LUJO |TABASCO |CARDENAS|CARDENAS|2021-01-21|12900|0|200|50|1|0|0|0|0|0|0|0|0|0|0||0|0|0|MARCHENA|GARCIA|SILVIA CRISTAL|SOLTERO|X|X|COLONIA BAJIO|COLONIA EL BAJIO PRIMERA SECCION |X|9371390938|X|X|X|COLONIA BAJIO|X|LUNES|x|x|x|x|x|DOMICILIO |5600|7300|X|X|X|2022-02-16|2022-02-23|x|x|x|x|x|OQGRX80BMUHQJ2X|x|HOMBRE|X|12900|X|X|X|X|X|X|X|X|CARDENAS|X|X|X|X|FINAL</v>
      </c>
    </row>
    <row r="323" spans="1:82" x14ac:dyDescent="0.25">
      <c r="A323" t="s">
        <v>756</v>
      </c>
      <c r="B323" t="s">
        <v>757</v>
      </c>
      <c r="C323">
        <v>3</v>
      </c>
      <c r="D323" t="s">
        <v>121</v>
      </c>
      <c r="E323" t="s">
        <v>12</v>
      </c>
      <c r="F323" t="s">
        <v>0</v>
      </c>
      <c r="G323" t="s">
        <v>0</v>
      </c>
      <c r="H323" t="s">
        <v>1510</v>
      </c>
      <c r="I323">
        <v>12900</v>
      </c>
      <c r="J323">
        <v>0</v>
      </c>
      <c r="K323">
        <v>0</v>
      </c>
      <c r="L323">
        <v>50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Y323">
        <v>0</v>
      </c>
      <c r="Z323">
        <v>0</v>
      </c>
      <c r="AA323">
        <v>0</v>
      </c>
      <c r="AB323" t="s">
        <v>2130</v>
      </c>
      <c r="AC323" t="s">
        <v>1783</v>
      </c>
      <c r="AD323" t="s">
        <v>1946</v>
      </c>
      <c r="AE323" t="s">
        <v>4</v>
      </c>
      <c r="AF323" t="s">
        <v>1</v>
      </c>
      <c r="AG323" t="s">
        <v>1</v>
      </c>
      <c r="AH323" t="s">
        <v>2709</v>
      </c>
      <c r="AI323" t="s">
        <v>3124</v>
      </c>
      <c r="AJ323" t="s">
        <v>1</v>
      </c>
      <c r="AK323">
        <v>9371620975</v>
      </c>
      <c r="AL323" t="s">
        <v>1</v>
      </c>
      <c r="AM323" t="s">
        <v>1</v>
      </c>
      <c r="AN323" t="s">
        <v>1</v>
      </c>
      <c r="AO323" t="s">
        <v>2709</v>
      </c>
      <c r="AP323" t="s">
        <v>1</v>
      </c>
      <c r="AQ323" t="s">
        <v>2</v>
      </c>
      <c r="AR323" t="s">
        <v>3</v>
      </c>
      <c r="AS323" t="s">
        <v>3</v>
      </c>
      <c r="AT323" t="s">
        <v>3</v>
      </c>
      <c r="AU323" t="s">
        <v>3</v>
      </c>
      <c r="AV323" t="s">
        <v>3</v>
      </c>
      <c r="AW323" t="s">
        <v>11</v>
      </c>
      <c r="AX323">
        <f>Tabla1[[#This Row],[precio del paquete]]-Tabla1[[#This Row],[Saldo_Deudor]]</f>
        <v>6800</v>
      </c>
      <c r="AY323">
        <v>6100</v>
      </c>
      <c r="AZ323" t="s">
        <v>1</v>
      </c>
      <c r="BA323" t="s">
        <v>1</v>
      </c>
      <c r="BB323" t="s">
        <v>1</v>
      </c>
      <c r="BC323" t="s">
        <v>1401</v>
      </c>
      <c r="BD323" t="s">
        <v>1406</v>
      </c>
      <c r="BE323" t="s">
        <v>3</v>
      </c>
      <c r="BF323" t="s">
        <v>3</v>
      </c>
      <c r="BG323" t="s">
        <v>3</v>
      </c>
      <c r="BH323" t="s">
        <v>3</v>
      </c>
      <c r="BI323" t="s">
        <v>3</v>
      </c>
      <c r="BJ323" t="s">
        <v>3362</v>
      </c>
      <c r="BK323" t="s">
        <v>3</v>
      </c>
      <c r="BL323" t="s">
        <v>132</v>
      </c>
      <c r="BM323" t="s">
        <v>1</v>
      </c>
      <c r="BN323">
        <f>Tabla1[[#This Row],[precio del paquete]]</f>
        <v>12900</v>
      </c>
      <c r="BO323" t="s">
        <v>1</v>
      </c>
      <c r="BP323" t="s">
        <v>1</v>
      </c>
      <c r="BQ323" t="s">
        <v>1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0</v>
      </c>
      <c r="BX323" t="s">
        <v>1</v>
      </c>
      <c r="BY323" t="s">
        <v>1</v>
      </c>
      <c r="BZ323" t="s">
        <v>1</v>
      </c>
      <c r="CA323" t="s">
        <v>1</v>
      </c>
      <c r="CB323" t="s">
        <v>3382</v>
      </c>
      <c r="CD323" t="str" cm="1">
        <f t="array" aca="1" ref="CD323" ca="1">eConcatenar(A323:CB323,"|")</f>
        <v>ipKmTEM6G1RyFAe2|CAR2019-3561|3|IMPERIAL DE LUJO |TABASCO |CARDENAS|CARDENAS|2019-11-27|12900|0|0|50|1|0|0|0|0|0|0|0|0|0|0||0|0|0|MACHIN|MENDEZ|ANA LAURA|SOLTERO|X|X|CARDENA SEGUNDA SECCION |EJIDO CARDENAS SEGUNDA SECCION |X|9371620975|X|X|X|CARDENA SEGUNDA SECCION |X|LUNES|x|x|x|x|x|DOMICILIO |6800|6100|X|X|X|2022-02-09|2022-02-16|x|x|x|x|x|QX002LYO9KVTQO|x|HOMBRE|X|12900|X|X|X|X|X|X|X|X|CARDENAS|X|X|X|X|FINAL</v>
      </c>
    </row>
    <row r="324" spans="1:82" x14ac:dyDescent="0.25">
      <c r="A324" t="s">
        <v>758</v>
      </c>
      <c r="B324" t="s">
        <v>759</v>
      </c>
      <c r="C324">
        <v>3</v>
      </c>
      <c r="D324" t="s">
        <v>1369</v>
      </c>
      <c r="E324" t="s">
        <v>12</v>
      </c>
      <c r="F324" t="s">
        <v>0</v>
      </c>
      <c r="G324" t="s">
        <v>0</v>
      </c>
      <c r="H324" t="s">
        <v>1511</v>
      </c>
      <c r="I324">
        <v>14800</v>
      </c>
      <c r="J324">
        <v>0</v>
      </c>
      <c r="K324">
        <v>0</v>
      </c>
      <c r="L324">
        <v>50</v>
      </c>
      <c r="M324">
        <v>1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Y324">
        <v>0</v>
      </c>
      <c r="Z324">
        <v>0</v>
      </c>
      <c r="AA324">
        <v>0</v>
      </c>
      <c r="AB324" t="s">
        <v>1970</v>
      </c>
      <c r="AC324" t="s">
        <v>1708</v>
      </c>
      <c r="AD324" t="s">
        <v>2131</v>
      </c>
      <c r="AE324" t="s">
        <v>4</v>
      </c>
      <c r="AF324" t="s">
        <v>1</v>
      </c>
      <c r="AG324" t="s">
        <v>1</v>
      </c>
      <c r="AH324" t="s">
        <v>2710</v>
      </c>
      <c r="AI324" t="s">
        <v>3125</v>
      </c>
      <c r="AJ324" t="s">
        <v>1</v>
      </c>
      <c r="AK324">
        <v>9371547852</v>
      </c>
      <c r="AL324" t="s">
        <v>1</v>
      </c>
      <c r="AM324" t="s">
        <v>1</v>
      </c>
      <c r="AN324" t="s">
        <v>1</v>
      </c>
      <c r="AO324" t="s">
        <v>2710</v>
      </c>
      <c r="AP324" t="s">
        <v>1</v>
      </c>
      <c r="AQ324" t="s">
        <v>2</v>
      </c>
      <c r="AR324" t="s">
        <v>3</v>
      </c>
      <c r="AS324" t="s">
        <v>3</v>
      </c>
      <c r="AT324" t="s">
        <v>3</v>
      </c>
      <c r="AU324" t="s">
        <v>3</v>
      </c>
      <c r="AV324" t="s">
        <v>3</v>
      </c>
      <c r="AW324" t="s">
        <v>11</v>
      </c>
      <c r="AX324">
        <f>Tabla1[[#This Row],[precio del paquete]]-Tabla1[[#This Row],[Saldo_Deudor]]</f>
        <v>1600</v>
      </c>
      <c r="AY324">
        <v>13200</v>
      </c>
      <c r="AZ324" t="s">
        <v>1</v>
      </c>
      <c r="BA324" t="s">
        <v>1</v>
      </c>
      <c r="BB324" t="s">
        <v>1</v>
      </c>
      <c r="BC324" t="s">
        <v>1390</v>
      </c>
      <c r="BD324" t="s">
        <v>1401</v>
      </c>
      <c r="BE324" t="s">
        <v>3</v>
      </c>
      <c r="BF324" t="s">
        <v>3</v>
      </c>
      <c r="BG324" t="s">
        <v>3</v>
      </c>
      <c r="BH324" t="s">
        <v>3</v>
      </c>
      <c r="BI324" t="s">
        <v>3</v>
      </c>
      <c r="BJ324" t="s">
        <v>3362</v>
      </c>
      <c r="BK324" t="s">
        <v>3</v>
      </c>
      <c r="BL324" t="s">
        <v>132</v>
      </c>
      <c r="BM324" t="s">
        <v>1</v>
      </c>
      <c r="BN324">
        <f>Tabla1[[#This Row],[precio del paquete]]</f>
        <v>14800</v>
      </c>
      <c r="BO324" t="s">
        <v>1</v>
      </c>
      <c r="BP324" t="s">
        <v>1</v>
      </c>
      <c r="BQ324" t="s">
        <v>1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0</v>
      </c>
      <c r="BX324" t="s">
        <v>1</v>
      </c>
      <c r="BY324" t="s">
        <v>1</v>
      </c>
      <c r="BZ324" t="s">
        <v>1</v>
      </c>
      <c r="CA324" t="s">
        <v>1</v>
      </c>
      <c r="CB324" t="s">
        <v>3382</v>
      </c>
      <c r="CD324" t="str" cm="1">
        <f t="array" aca="1" ref="CD324" ca="1">eConcatenar(A324:CB324,"|")</f>
        <v>UE5W7lxSsVs2XQqD|CAR2021-5437|3|MEMORIAL|TABASCO |CARDENAS|CARDENAS|2021-09-18|14800|0|0|50|1|0|0|0|0|0|0|0|0|0|0||0|0|0|MORELOS||FRANCISCA ZAVALA|SOLTERO|X|X|CUCUYULAPA SEGUNDA SECCION (PUENTE SAMARIA)|RANCHERIA CUCUYULAPA SEGUNDA SECCION PUENTE SAMARIA|X|9371547852|X|X|X|CUCUYULAPA SEGUNDA SECCION (PUENTE SAMARIA)|X|LUNES|x|x|x|x|x|DOMICILIO |1600|13200|X|X|X|2022-02-02|2022-02-09|x|x|x|x|x|QX002LYO9KVTQO|x|HOMBRE|X|14800|X|X|X|X|X|X|X|X|CARDENAS|X|X|X|X|FINAL</v>
      </c>
    </row>
    <row r="325" spans="1:82" x14ac:dyDescent="0.25">
      <c r="A325" t="s">
        <v>760</v>
      </c>
      <c r="B325" t="s">
        <v>761</v>
      </c>
      <c r="C325">
        <v>3</v>
      </c>
      <c r="D325" t="s">
        <v>1369</v>
      </c>
      <c r="E325" t="s">
        <v>12</v>
      </c>
      <c r="F325" t="s">
        <v>0</v>
      </c>
      <c r="G325" t="s">
        <v>0</v>
      </c>
      <c r="H325" t="s">
        <v>1512</v>
      </c>
      <c r="I325">
        <v>14800</v>
      </c>
      <c r="J325">
        <v>0</v>
      </c>
      <c r="K325">
        <v>100</v>
      </c>
      <c r="L325">
        <v>50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Y325">
        <v>0</v>
      </c>
      <c r="Z325">
        <v>0</v>
      </c>
      <c r="AA325">
        <v>0</v>
      </c>
      <c r="AB325" t="s">
        <v>7</v>
      </c>
      <c r="AC325" t="s">
        <v>1708</v>
      </c>
      <c r="AD325" t="s">
        <v>2132</v>
      </c>
      <c r="AE325" t="s">
        <v>4</v>
      </c>
      <c r="AF325" t="s">
        <v>1</v>
      </c>
      <c r="AG325" t="s">
        <v>1</v>
      </c>
      <c r="AH325" t="s">
        <v>2711</v>
      </c>
      <c r="AI325" t="s">
        <v>3126</v>
      </c>
      <c r="AJ325" t="s">
        <v>1</v>
      </c>
      <c r="AK325">
        <v>9371093314</v>
      </c>
      <c r="AL325" t="s">
        <v>1</v>
      </c>
      <c r="AM325" t="s">
        <v>1</v>
      </c>
      <c r="AN325" t="s">
        <v>1</v>
      </c>
      <c r="AO325" t="s">
        <v>2711</v>
      </c>
      <c r="AP325" t="s">
        <v>1</v>
      </c>
      <c r="AQ325" t="s">
        <v>2</v>
      </c>
      <c r="AR325" t="s">
        <v>3</v>
      </c>
      <c r="AS325" t="s">
        <v>3</v>
      </c>
      <c r="AT325" t="s">
        <v>3</v>
      </c>
      <c r="AU325" t="s">
        <v>3</v>
      </c>
      <c r="AV325" t="s">
        <v>3</v>
      </c>
      <c r="AW325" t="s">
        <v>11</v>
      </c>
      <c r="AX325">
        <f>Tabla1[[#This Row],[precio del paquete]]-Tabla1[[#This Row],[Saldo_Deudor]]</f>
        <v>1500</v>
      </c>
      <c r="AY325">
        <v>13300</v>
      </c>
      <c r="AZ325" t="s">
        <v>1</v>
      </c>
      <c r="BA325" t="s">
        <v>1</v>
      </c>
      <c r="BB325" t="s">
        <v>1</v>
      </c>
      <c r="BC325" t="s">
        <v>1390</v>
      </c>
      <c r="BD325" t="s">
        <v>1401</v>
      </c>
      <c r="BE325" t="s">
        <v>3</v>
      </c>
      <c r="BF325" t="s">
        <v>3</v>
      </c>
      <c r="BG325" t="s">
        <v>3</v>
      </c>
      <c r="BH325" t="s">
        <v>3</v>
      </c>
      <c r="BI325" t="s">
        <v>3</v>
      </c>
      <c r="BJ325" t="s">
        <v>3362</v>
      </c>
      <c r="BK325" t="s">
        <v>3</v>
      </c>
      <c r="BL325" t="s">
        <v>132</v>
      </c>
      <c r="BM325" t="s">
        <v>1</v>
      </c>
      <c r="BN325">
        <f>Tabla1[[#This Row],[precio del paquete]]</f>
        <v>14800</v>
      </c>
      <c r="BO325" t="s">
        <v>1</v>
      </c>
      <c r="BP325" t="s">
        <v>1</v>
      </c>
      <c r="BQ325" t="s">
        <v>1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0</v>
      </c>
      <c r="BX325" t="s">
        <v>1</v>
      </c>
      <c r="BY325" t="s">
        <v>1</v>
      </c>
      <c r="BZ325" t="s">
        <v>1</v>
      </c>
      <c r="CA325" t="s">
        <v>1</v>
      </c>
      <c r="CB325" t="s">
        <v>3382</v>
      </c>
      <c r="CD325" t="str" cm="1">
        <f t="array" aca="1" ref="CD325" ca="1">eConcatenar(A325:CB325,"|")</f>
        <v>mDhkCSagA4EXClTh|CAR2021-5401|3|MEMORIAL|TABASCO |CARDENAS|CARDENAS|2021-09-14|14800|0|100|50|1|0|0|0|0|0|0|0|0|0|0||0|0|0|LOPEZ||SALATIEL ESCOBAR|SOLTERO|X|X|A 100 METRO DE LA IGLESIA CATOLICA |RANCHERIA MIAHUATLAN PRIMERA SECCION |X|9371093314|X|X|X|A 100 METRO DE LA IGLESIA CATOLICA |X|LUNES|x|x|x|x|x|DOMICILIO |1500|13300|X|X|X|2022-02-02|2022-02-09|x|x|x|x|x|QX002LYO9KVTQO|x|HOMBRE|X|14800|X|X|X|X|X|X|X|X|CARDENAS|X|X|X|X|FINAL</v>
      </c>
    </row>
    <row r="326" spans="1:82" x14ac:dyDescent="0.25">
      <c r="A326" t="s">
        <v>762</v>
      </c>
      <c r="B326" t="s">
        <v>763</v>
      </c>
      <c r="C326">
        <v>3</v>
      </c>
      <c r="D326" t="s">
        <v>14</v>
      </c>
      <c r="E326" t="s">
        <v>12</v>
      </c>
      <c r="F326" t="s">
        <v>0</v>
      </c>
      <c r="G326" t="s">
        <v>0</v>
      </c>
      <c r="H326" t="s">
        <v>1513</v>
      </c>
      <c r="I326">
        <v>11500</v>
      </c>
      <c r="J326">
        <v>0</v>
      </c>
      <c r="K326">
        <v>0</v>
      </c>
      <c r="L326">
        <v>50</v>
      </c>
      <c r="M326">
        <v>1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Y326">
        <v>0</v>
      </c>
      <c r="Z326">
        <v>0</v>
      </c>
      <c r="AA326">
        <v>0</v>
      </c>
      <c r="AB326" t="s">
        <v>1769</v>
      </c>
      <c r="AC326" t="s">
        <v>2022</v>
      </c>
      <c r="AD326" t="s">
        <v>2133</v>
      </c>
      <c r="AE326" t="s">
        <v>4</v>
      </c>
      <c r="AF326" t="s">
        <v>1</v>
      </c>
      <c r="AG326" t="s">
        <v>1</v>
      </c>
      <c r="AH326" t="s">
        <v>2712</v>
      </c>
      <c r="AI326" t="s">
        <v>3127</v>
      </c>
      <c r="AJ326" t="s">
        <v>1</v>
      </c>
      <c r="AK326" t="s">
        <v>1</v>
      </c>
      <c r="AL326" t="s">
        <v>1</v>
      </c>
      <c r="AM326" t="s">
        <v>1</v>
      </c>
      <c r="AN326" t="s">
        <v>1</v>
      </c>
      <c r="AO326" t="s">
        <v>2712</v>
      </c>
      <c r="AP326" t="s">
        <v>1</v>
      </c>
      <c r="AQ326" t="s">
        <v>2</v>
      </c>
      <c r="AR326" t="s">
        <v>3</v>
      </c>
      <c r="AS326" t="s">
        <v>3</v>
      </c>
      <c r="AT326" t="s">
        <v>3</v>
      </c>
      <c r="AU326" t="s">
        <v>3</v>
      </c>
      <c r="AV326" t="s">
        <v>3</v>
      </c>
      <c r="AW326" t="s">
        <v>11</v>
      </c>
      <c r="AX326">
        <f>Tabla1[[#This Row],[precio del paquete]]-Tabla1[[#This Row],[Saldo_Deudor]]</f>
        <v>11395</v>
      </c>
      <c r="AY326">
        <v>105</v>
      </c>
      <c r="AZ326" t="s">
        <v>1</v>
      </c>
      <c r="BA326" t="s">
        <v>1</v>
      </c>
      <c r="BB326" t="s">
        <v>1</v>
      </c>
      <c r="BC326" t="s">
        <v>1400</v>
      </c>
      <c r="BD326" t="s">
        <v>3277</v>
      </c>
      <c r="BE326" t="s">
        <v>3</v>
      </c>
      <c r="BF326" t="s">
        <v>3</v>
      </c>
      <c r="BG326" t="s">
        <v>3</v>
      </c>
      <c r="BH326" t="s">
        <v>3</v>
      </c>
      <c r="BI326" t="s">
        <v>3</v>
      </c>
      <c r="BJ326" t="s">
        <v>3362</v>
      </c>
      <c r="BK326" t="s">
        <v>3</v>
      </c>
      <c r="BL326" t="s">
        <v>132</v>
      </c>
      <c r="BM326" t="s">
        <v>1</v>
      </c>
      <c r="BN326">
        <f>Tabla1[[#This Row],[precio del paquete]]</f>
        <v>11500</v>
      </c>
      <c r="BO326" t="s">
        <v>1</v>
      </c>
      <c r="BP326" t="s">
        <v>1</v>
      </c>
      <c r="BQ326" t="s">
        <v>1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0</v>
      </c>
      <c r="BX326" t="s">
        <v>1</v>
      </c>
      <c r="BY326" t="s">
        <v>1</v>
      </c>
      <c r="BZ326" t="s">
        <v>1</v>
      </c>
      <c r="CA326" t="s">
        <v>1</v>
      </c>
      <c r="CB326" t="s">
        <v>3382</v>
      </c>
      <c r="CD326" t="str" cm="1">
        <f t="array" aca="1" ref="CD326" ca="1">eConcatenar(A326:CB326,"|")</f>
        <v>5OQ81FeqR6CmOKpE|CAR2017-4116|3|ECONOLINE |TABASCO |CARDENAS|CARDENAS|2017-08-10|11500|0|0|50|1|0|0|0|0|0|0|0|0|0|0||0|0|0|TORRES|ISIDRO|FRANCISCO|SOLTERO|X|X|A 50 METROS DE LA ENTRADA DEL YERSI|RANCHERIA RIO SECO PRIMERA SECCION |X|X|X|X|X|A 50 METROS DE LA ENTRADA DEL YERSI|X|LUNES|x|x|x|x|x|DOMICILIO |11395|105|X|X|X|2022-02-10|2022-02-17|x|x|x|x|x|QX002LYO9KVTQO|x|HOMBRE|X|11500|X|X|X|X|X|X|X|X|CARDENAS|X|X|X|X|FINAL</v>
      </c>
    </row>
    <row r="327" spans="1:82" x14ac:dyDescent="0.25">
      <c r="A327" t="s">
        <v>764</v>
      </c>
      <c r="B327" t="s">
        <v>765</v>
      </c>
      <c r="C327">
        <v>3</v>
      </c>
      <c r="D327" t="s">
        <v>1375</v>
      </c>
      <c r="E327" t="s">
        <v>12</v>
      </c>
      <c r="F327" t="s">
        <v>0</v>
      </c>
      <c r="G327" t="s">
        <v>0</v>
      </c>
      <c r="H327" t="s">
        <v>1514</v>
      </c>
      <c r="I327">
        <v>19800</v>
      </c>
      <c r="J327">
        <v>0</v>
      </c>
      <c r="K327">
        <v>0</v>
      </c>
      <c r="L327">
        <v>50</v>
      </c>
      <c r="M327">
        <v>1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Y327">
        <v>0</v>
      </c>
      <c r="Z327">
        <v>0</v>
      </c>
      <c r="AA327">
        <v>0</v>
      </c>
      <c r="AB327" t="s">
        <v>1708</v>
      </c>
      <c r="AC327" t="s">
        <v>2011</v>
      </c>
      <c r="AD327" t="s">
        <v>2134</v>
      </c>
      <c r="AE327" t="s">
        <v>4</v>
      </c>
      <c r="AF327" t="s">
        <v>1</v>
      </c>
      <c r="AG327" t="s">
        <v>1</v>
      </c>
      <c r="AH327" t="s">
        <v>2713</v>
      </c>
      <c r="AI327" t="s">
        <v>3128</v>
      </c>
      <c r="AJ327" t="s">
        <v>1</v>
      </c>
      <c r="AK327">
        <v>9371556332</v>
      </c>
      <c r="AL327" t="s">
        <v>1</v>
      </c>
      <c r="AM327" t="s">
        <v>1</v>
      </c>
      <c r="AN327" t="s">
        <v>1</v>
      </c>
      <c r="AO327" t="s">
        <v>2713</v>
      </c>
      <c r="AP327" t="s">
        <v>1</v>
      </c>
      <c r="AQ327" t="s">
        <v>2</v>
      </c>
      <c r="AR327" t="s">
        <v>3</v>
      </c>
      <c r="AS327" t="s">
        <v>3</v>
      </c>
      <c r="AT327" t="s">
        <v>3</v>
      </c>
      <c r="AU327" t="s">
        <v>3</v>
      </c>
      <c r="AV327" t="s">
        <v>3</v>
      </c>
      <c r="AW327" t="s">
        <v>11</v>
      </c>
      <c r="AX327">
        <f>Tabla1[[#This Row],[precio del paquete]]-Tabla1[[#This Row],[Saldo_Deudor]]</f>
        <v>13250</v>
      </c>
      <c r="AY327">
        <v>6550</v>
      </c>
      <c r="AZ327" t="s">
        <v>1</v>
      </c>
      <c r="BA327" t="s">
        <v>1</v>
      </c>
      <c r="BB327" t="s">
        <v>1</v>
      </c>
      <c r="BC327" t="s">
        <v>1390</v>
      </c>
      <c r="BD327" t="s">
        <v>1401</v>
      </c>
      <c r="BE327" t="s">
        <v>3</v>
      </c>
      <c r="BF327" t="s">
        <v>3</v>
      </c>
      <c r="BG327" t="s">
        <v>3</v>
      </c>
      <c r="BH327" t="s">
        <v>3</v>
      </c>
      <c r="BI327" t="s">
        <v>3</v>
      </c>
      <c r="BJ327" t="s">
        <v>3362</v>
      </c>
      <c r="BK327" t="s">
        <v>3</v>
      </c>
      <c r="BL327" t="s">
        <v>132</v>
      </c>
      <c r="BM327" t="s">
        <v>1</v>
      </c>
      <c r="BN327">
        <f>Tabla1[[#This Row],[precio del paquete]]</f>
        <v>19800</v>
      </c>
      <c r="BO327" t="s">
        <v>1</v>
      </c>
      <c r="BP327" t="s">
        <v>1</v>
      </c>
      <c r="BQ327" t="s">
        <v>1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0</v>
      </c>
      <c r="BX327" t="s">
        <v>1</v>
      </c>
      <c r="BY327" t="s">
        <v>1</v>
      </c>
      <c r="BZ327" t="s">
        <v>1</v>
      </c>
      <c r="CA327" t="s">
        <v>1</v>
      </c>
      <c r="CB327" t="s">
        <v>3382</v>
      </c>
      <c r="CD327" t="str" cm="1">
        <f t="array" aca="1" ref="CD327" ca="1">eConcatenar(A327:CB327,"|")</f>
        <v>OMklJwOyJhAKyPXu|CAR2018-2674|3|ZAFIRO |TABASCO |CARDENAS|CARDENAS|2018-11-28|19800|0|0|50|1|0|0|0|0|0|0|0|0|0|0||0|0|0||ALEJANDRO|MARIA LOURDES|SOLTERO|X|X|ENFRENTE DE LA IGLESIA SANTA CECILIA |FRACCIONAMIENTO CAÃ‘ALES DOS|X|9371556332|X|X|X|ENFRENTE DE LA IGLESIA SANTA CECILIA |X|LUNES|x|x|x|x|x|DOMICILIO |13250|6550|X|X|X|2022-02-02|2022-02-09|x|x|x|x|x|QX002LYO9KVTQO|x|HOMBRE|X|19800|X|X|X|X|X|X|X|X|CARDENAS|X|X|X|X|FINAL</v>
      </c>
    </row>
    <row r="328" spans="1:82" x14ac:dyDescent="0.25">
      <c r="A328" t="s">
        <v>766</v>
      </c>
      <c r="B328" t="s">
        <v>767</v>
      </c>
      <c r="C328">
        <v>3</v>
      </c>
      <c r="D328" t="s">
        <v>1370</v>
      </c>
      <c r="E328" t="s">
        <v>12</v>
      </c>
      <c r="F328" t="s">
        <v>0</v>
      </c>
      <c r="G328" t="s">
        <v>0</v>
      </c>
      <c r="H328" t="s">
        <v>1515</v>
      </c>
      <c r="I328">
        <v>35000</v>
      </c>
      <c r="J328">
        <v>0</v>
      </c>
      <c r="K328">
        <v>100</v>
      </c>
      <c r="L328">
        <v>50</v>
      </c>
      <c r="M328">
        <v>1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Y328">
        <v>0</v>
      </c>
      <c r="Z328">
        <v>0</v>
      </c>
      <c r="AA328">
        <v>0</v>
      </c>
      <c r="AB328" t="s">
        <v>1699</v>
      </c>
      <c r="AC328" t="s">
        <v>1708</v>
      </c>
      <c r="AD328" t="s">
        <v>2135</v>
      </c>
      <c r="AE328" t="s">
        <v>4</v>
      </c>
      <c r="AF328" t="s">
        <v>1</v>
      </c>
      <c r="AG328" t="s">
        <v>1</v>
      </c>
      <c r="AH328" t="s">
        <v>2714</v>
      </c>
      <c r="AI328" t="s">
        <v>3129</v>
      </c>
      <c r="AJ328" t="s">
        <v>1</v>
      </c>
      <c r="AK328">
        <v>9371650995</v>
      </c>
      <c r="AL328" t="s">
        <v>1</v>
      </c>
      <c r="AM328" t="s">
        <v>1</v>
      </c>
      <c r="AN328" t="s">
        <v>1</v>
      </c>
      <c r="AO328" t="s">
        <v>2714</v>
      </c>
      <c r="AP328" t="s">
        <v>1</v>
      </c>
      <c r="AQ328" t="s">
        <v>2</v>
      </c>
      <c r="AR328" t="s">
        <v>3</v>
      </c>
      <c r="AS328" t="s">
        <v>3</v>
      </c>
      <c r="AT328" t="s">
        <v>3</v>
      </c>
      <c r="AU328" t="s">
        <v>3</v>
      </c>
      <c r="AV328" t="s">
        <v>3</v>
      </c>
      <c r="AW328" t="s">
        <v>11</v>
      </c>
      <c r="AX328">
        <f>Tabla1[[#This Row],[precio del paquete]]-Tabla1[[#This Row],[Saldo_Deudor]]</f>
        <v>1700</v>
      </c>
      <c r="AY328">
        <v>33300</v>
      </c>
      <c r="AZ328" t="s">
        <v>1</v>
      </c>
      <c r="BA328" t="s">
        <v>1</v>
      </c>
      <c r="BB328" t="s">
        <v>1</v>
      </c>
      <c r="BC328" t="s">
        <v>1406</v>
      </c>
      <c r="BD328" t="s">
        <v>3308</v>
      </c>
      <c r="BE328" t="s">
        <v>3</v>
      </c>
      <c r="BF328" t="s">
        <v>3</v>
      </c>
      <c r="BG328" t="s">
        <v>3</v>
      </c>
      <c r="BH328" t="s">
        <v>3</v>
      </c>
      <c r="BI328" t="s">
        <v>3</v>
      </c>
      <c r="BJ328" t="s">
        <v>3362</v>
      </c>
      <c r="BK328" t="s">
        <v>3</v>
      </c>
      <c r="BL328" t="s">
        <v>132</v>
      </c>
      <c r="BM328" t="s">
        <v>1</v>
      </c>
      <c r="BN328">
        <f>Tabla1[[#This Row],[precio del paquete]]</f>
        <v>35000</v>
      </c>
      <c r="BO328" t="s">
        <v>1</v>
      </c>
      <c r="BP328" t="s">
        <v>1</v>
      </c>
      <c r="BQ328" t="s">
        <v>1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0</v>
      </c>
      <c r="BX328" t="s">
        <v>1</v>
      </c>
      <c r="BY328" t="s">
        <v>1</v>
      </c>
      <c r="BZ328" t="s">
        <v>1</v>
      </c>
      <c r="CA328" t="s">
        <v>1</v>
      </c>
      <c r="CB328" t="s">
        <v>3382</v>
      </c>
      <c r="CD328" t="str" cm="1">
        <f t="array" aca="1" ref="CD328" ca="1">eConcatenar(A328:CB328,"|")</f>
        <v>uqYx2tuzT6PJd5AW|CAR2021-7570|3|DELUX|TABASCO |CARDENAS|CARDENAS|2021-12-15|35000|0|100|50|1|0|0|0|0|0|0|0|0|0|0||0|0|0|CORDOVA||MANUEL CORDOVA|SOLTERO|X|X|CALLE FRANCISCO GONZALES |COLONIA EMILIANO ZAPATA|X|9371650995|X|X|X|CALLE FRANCISCO GONZALES |X|LUNES|x|x|x|x|x|DOMICILIO |1700|33300|X|X|X|2022-02-16|2022-02-23|x|x|x|x|x|QX002LYO9KVTQO|x|HOMBRE|X|35000|X|X|X|X|X|X|X|X|CARDENAS|X|X|X|X|FINAL</v>
      </c>
    </row>
    <row r="329" spans="1:82" x14ac:dyDescent="0.25">
      <c r="A329" t="s">
        <v>768</v>
      </c>
      <c r="B329" t="s">
        <v>769</v>
      </c>
      <c r="C329">
        <v>3</v>
      </c>
      <c r="D329" t="s">
        <v>1369</v>
      </c>
      <c r="E329" t="s">
        <v>12</v>
      </c>
      <c r="F329" t="s">
        <v>0</v>
      </c>
      <c r="G329" t="s">
        <v>0</v>
      </c>
      <c r="H329" t="s">
        <v>1515</v>
      </c>
      <c r="I329">
        <v>14800</v>
      </c>
      <c r="J329">
        <v>0</v>
      </c>
      <c r="K329">
        <v>100</v>
      </c>
      <c r="L329">
        <v>50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Y329">
        <v>0</v>
      </c>
      <c r="Z329">
        <v>0</v>
      </c>
      <c r="AA329">
        <v>0</v>
      </c>
      <c r="AB329" t="s">
        <v>1783</v>
      </c>
      <c r="AC329" t="s">
        <v>2136</v>
      </c>
      <c r="AD329" t="s">
        <v>2137</v>
      </c>
      <c r="AE329" t="s">
        <v>4</v>
      </c>
      <c r="AF329" t="s">
        <v>1</v>
      </c>
      <c r="AG329" t="s">
        <v>1</v>
      </c>
      <c r="AH329" t="s">
        <v>2715</v>
      </c>
      <c r="AI329" t="s">
        <v>3129</v>
      </c>
      <c r="AJ329" t="s">
        <v>1</v>
      </c>
      <c r="AK329">
        <v>9371901988</v>
      </c>
      <c r="AL329" t="s">
        <v>1</v>
      </c>
      <c r="AM329" t="s">
        <v>1</v>
      </c>
      <c r="AN329" t="s">
        <v>1</v>
      </c>
      <c r="AO329" t="s">
        <v>2715</v>
      </c>
      <c r="AP329" t="s">
        <v>1</v>
      </c>
      <c r="AQ329" t="s">
        <v>2</v>
      </c>
      <c r="AR329" t="s">
        <v>3</v>
      </c>
      <c r="AS329" t="s">
        <v>3</v>
      </c>
      <c r="AT329" t="s">
        <v>3</v>
      </c>
      <c r="AU329" t="s">
        <v>3</v>
      </c>
      <c r="AV329" t="s">
        <v>3</v>
      </c>
      <c r="AW329" t="s">
        <v>11</v>
      </c>
      <c r="AX329">
        <f>Tabla1[[#This Row],[precio del paquete]]-Tabla1[[#This Row],[Saldo_Deudor]]</f>
        <v>800</v>
      </c>
      <c r="AY329">
        <v>14000</v>
      </c>
      <c r="AZ329" t="s">
        <v>1</v>
      </c>
      <c r="BA329" t="s">
        <v>1</v>
      </c>
      <c r="BB329" t="s">
        <v>1</v>
      </c>
      <c r="BC329" t="s">
        <v>1406</v>
      </c>
      <c r="BD329" t="s">
        <v>3308</v>
      </c>
      <c r="BE329" t="s">
        <v>3</v>
      </c>
      <c r="BF329" t="s">
        <v>3</v>
      </c>
      <c r="BG329" t="s">
        <v>3</v>
      </c>
      <c r="BH329" t="s">
        <v>3</v>
      </c>
      <c r="BI329" t="s">
        <v>3</v>
      </c>
      <c r="BJ329" t="s">
        <v>3362</v>
      </c>
      <c r="BK329" t="s">
        <v>3</v>
      </c>
      <c r="BL329" t="s">
        <v>132</v>
      </c>
      <c r="BM329" t="s">
        <v>1</v>
      </c>
      <c r="BN329">
        <f>Tabla1[[#This Row],[precio del paquete]]</f>
        <v>14800</v>
      </c>
      <c r="BO329" t="s">
        <v>1</v>
      </c>
      <c r="BP329" t="s">
        <v>1</v>
      </c>
      <c r="BQ329" t="s">
        <v>1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0</v>
      </c>
      <c r="BX329" t="s">
        <v>1</v>
      </c>
      <c r="BY329" t="s">
        <v>1</v>
      </c>
      <c r="BZ329" t="s">
        <v>1</v>
      </c>
      <c r="CA329" t="s">
        <v>1</v>
      </c>
      <c r="CB329" t="s">
        <v>3382</v>
      </c>
      <c r="CD329" t="str" cm="1">
        <f t="array" aca="1" ref="CD329" ca="1">eConcatenar(A329:CB329,"|")</f>
        <v>N8i4uwKLgSGtMNNL|CAR2021-7566|3|MEMORIAL|TABASCO |CARDENAS|CARDENAS|2021-12-15|14800|0|100|50|1|0|0|0|0|0|0|0|0|0|0||0|0|0|MENDEZ|CALIZ|JESSICA DEL CARMEN|SOLTERO|X|X|CALLE JOSEFA ORTIZ DE DOMINGUEZ |COLONIA EMILIANO ZAPATA|X|9371901988|X|X|X|CALLE JOSEFA ORTIZ DE DOMINGUEZ |X|LUNES|x|x|x|x|x|DOMICILIO |800|14000|X|X|X|2022-02-16|2022-02-23|x|x|x|x|x|QX002LYO9KVTQO|x|HOMBRE|X|14800|X|X|X|X|X|X|X|X|CARDENAS|X|X|X|X|FINAL</v>
      </c>
    </row>
    <row r="330" spans="1:82" x14ac:dyDescent="0.25">
      <c r="A330" t="s">
        <v>770</v>
      </c>
      <c r="B330" t="s">
        <v>771</v>
      </c>
      <c r="C330">
        <v>3</v>
      </c>
      <c r="D330" t="s">
        <v>121</v>
      </c>
      <c r="E330" t="s">
        <v>12</v>
      </c>
      <c r="F330" t="s">
        <v>0</v>
      </c>
      <c r="G330" t="s">
        <v>0</v>
      </c>
      <c r="H330" t="s">
        <v>1516</v>
      </c>
      <c r="I330">
        <v>12900</v>
      </c>
      <c r="J330">
        <v>0</v>
      </c>
      <c r="K330">
        <v>200</v>
      </c>
      <c r="L330">
        <v>50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Y330">
        <v>0</v>
      </c>
      <c r="Z330">
        <v>0</v>
      </c>
      <c r="AA330">
        <v>0</v>
      </c>
      <c r="AB330" t="s">
        <v>2138</v>
      </c>
      <c r="AC330" t="s">
        <v>1708</v>
      </c>
      <c r="AD330" t="s">
        <v>2139</v>
      </c>
      <c r="AE330" t="s">
        <v>4</v>
      </c>
      <c r="AF330" t="s">
        <v>1</v>
      </c>
      <c r="AG330" t="s">
        <v>1</v>
      </c>
      <c r="AH330" t="s">
        <v>2716</v>
      </c>
      <c r="AI330" t="s">
        <v>2705</v>
      </c>
      <c r="AJ330" t="s">
        <v>1</v>
      </c>
      <c r="AK330">
        <v>9373781609</v>
      </c>
      <c r="AL330" t="s">
        <v>1</v>
      </c>
      <c r="AM330" t="s">
        <v>1</v>
      </c>
      <c r="AN330" t="s">
        <v>1</v>
      </c>
      <c r="AO330" t="s">
        <v>2716</v>
      </c>
      <c r="AP330" t="s">
        <v>1</v>
      </c>
      <c r="AQ330" t="s">
        <v>2</v>
      </c>
      <c r="AR330" t="s">
        <v>3</v>
      </c>
      <c r="AS330" t="s">
        <v>3</v>
      </c>
      <c r="AT330" t="s">
        <v>3</v>
      </c>
      <c r="AU330" t="s">
        <v>3</v>
      </c>
      <c r="AV330" t="s">
        <v>3</v>
      </c>
      <c r="AW330" t="s">
        <v>11</v>
      </c>
      <c r="AX330">
        <f>Tabla1[[#This Row],[precio del paquete]]-Tabla1[[#This Row],[Saldo_Deudor]]</f>
        <v>5900</v>
      </c>
      <c r="AY330">
        <v>7000</v>
      </c>
      <c r="AZ330" t="s">
        <v>1</v>
      </c>
      <c r="BA330" t="s">
        <v>1</v>
      </c>
      <c r="BB330" t="s">
        <v>1</v>
      </c>
      <c r="BC330" t="s">
        <v>1406</v>
      </c>
      <c r="BD330" t="s">
        <v>3308</v>
      </c>
      <c r="BE330" t="s">
        <v>3</v>
      </c>
      <c r="BF330" t="s">
        <v>3</v>
      </c>
      <c r="BG330" t="s">
        <v>3</v>
      </c>
      <c r="BH330" t="s">
        <v>3</v>
      </c>
      <c r="BI330" t="s">
        <v>3</v>
      </c>
      <c r="BJ330" t="s">
        <v>3362</v>
      </c>
      <c r="BK330" t="s">
        <v>3</v>
      </c>
      <c r="BL330" t="s">
        <v>132</v>
      </c>
      <c r="BM330" t="s">
        <v>1</v>
      </c>
      <c r="BN330">
        <f>Tabla1[[#This Row],[precio del paquete]]</f>
        <v>12900</v>
      </c>
      <c r="BO330" t="s">
        <v>1</v>
      </c>
      <c r="BP330" t="s">
        <v>1</v>
      </c>
      <c r="BQ330" t="s">
        <v>1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0</v>
      </c>
      <c r="BX330" t="s">
        <v>1</v>
      </c>
      <c r="BY330" t="s">
        <v>1</v>
      </c>
      <c r="BZ330" t="s">
        <v>1</v>
      </c>
      <c r="CA330" t="s">
        <v>1</v>
      </c>
      <c r="CB330" t="s">
        <v>3382</v>
      </c>
      <c r="CD330" t="str" cm="1">
        <f t="array" aca="1" ref="CD330" ca="1">eConcatenar(A330:CB330,"|")</f>
        <v>D94qdypnji975LNr|CAR2020-5263|3|IMPERIAL DE LUJO |TABASCO |CARDENAS|CARDENAS|2020-12-11|12900|0|200|50|1|0|0|0|0|0|0|0|0|0|0||0|0|0|FAJARDO||ROSA ROMERO|SOLTERO|X|X|CALLE SANTA MARIA PERIFERICO|RANCHERIA PASO Y PLAYA|X|9373781609|X|X|X|CALLE SANTA MARIA PERIFERICO|X|LUNES|x|x|x|x|x|DOMICILIO |5900|7000|X|X|X|2022-02-16|2022-02-23|x|x|x|x|x|QX002LYO9KVTQO|x|HOMBRE|X|12900|X|X|X|X|X|X|X|X|CARDENAS|X|X|X|X|FINAL</v>
      </c>
    </row>
    <row r="331" spans="1:82" x14ac:dyDescent="0.25">
      <c r="A331" t="s">
        <v>772</v>
      </c>
      <c r="B331" t="s">
        <v>773</v>
      </c>
      <c r="C331">
        <v>3</v>
      </c>
      <c r="D331" t="s">
        <v>1369</v>
      </c>
      <c r="E331" t="s">
        <v>12</v>
      </c>
      <c r="F331" t="s">
        <v>0</v>
      </c>
      <c r="G331" t="s">
        <v>0</v>
      </c>
      <c r="H331" t="s">
        <v>1455</v>
      </c>
      <c r="I331">
        <v>14800</v>
      </c>
      <c r="J331">
        <v>0</v>
      </c>
      <c r="K331">
        <v>200</v>
      </c>
      <c r="L331">
        <v>50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Y331">
        <v>0</v>
      </c>
      <c r="Z331">
        <v>0</v>
      </c>
      <c r="AA331">
        <v>0</v>
      </c>
      <c r="AB331" t="s">
        <v>2140</v>
      </c>
      <c r="AC331" t="s">
        <v>1708</v>
      </c>
      <c r="AD331" t="s">
        <v>2141</v>
      </c>
      <c r="AE331" t="s">
        <v>4</v>
      </c>
      <c r="AF331" t="s">
        <v>1</v>
      </c>
      <c r="AG331" t="s">
        <v>1</v>
      </c>
      <c r="AH331" t="s">
        <v>2603</v>
      </c>
      <c r="AI331" t="s">
        <v>3068</v>
      </c>
      <c r="AJ331" t="s">
        <v>1</v>
      </c>
      <c r="AK331">
        <v>9371540517</v>
      </c>
      <c r="AL331" t="s">
        <v>1</v>
      </c>
      <c r="AM331" t="s">
        <v>1</v>
      </c>
      <c r="AN331" t="s">
        <v>1</v>
      </c>
      <c r="AO331" t="s">
        <v>2603</v>
      </c>
      <c r="AP331" t="s">
        <v>1</v>
      </c>
      <c r="AQ331" t="s">
        <v>2</v>
      </c>
      <c r="AR331" t="s">
        <v>3</v>
      </c>
      <c r="AS331" t="s">
        <v>3</v>
      </c>
      <c r="AT331" t="s">
        <v>3</v>
      </c>
      <c r="AU331" t="s">
        <v>3</v>
      </c>
      <c r="AV331" t="s">
        <v>3</v>
      </c>
      <c r="AW331" t="s">
        <v>11</v>
      </c>
      <c r="AX331">
        <f>Tabla1[[#This Row],[precio del paquete]]-Tabla1[[#This Row],[Saldo_Deudor]]</f>
        <v>1200</v>
      </c>
      <c r="AY331">
        <v>13600</v>
      </c>
      <c r="AZ331" t="s">
        <v>1</v>
      </c>
      <c r="BA331" t="s">
        <v>1</v>
      </c>
      <c r="BB331" t="s">
        <v>1</v>
      </c>
      <c r="BC331" t="s">
        <v>1406</v>
      </c>
      <c r="BD331" t="s">
        <v>3308</v>
      </c>
      <c r="BE331" t="s">
        <v>3</v>
      </c>
      <c r="BF331" t="s">
        <v>3</v>
      </c>
      <c r="BG331" t="s">
        <v>3</v>
      </c>
      <c r="BH331" t="s">
        <v>3</v>
      </c>
      <c r="BI331" t="s">
        <v>3</v>
      </c>
      <c r="BJ331" t="s">
        <v>3362</v>
      </c>
      <c r="BK331" t="s">
        <v>3</v>
      </c>
      <c r="BL331" t="s">
        <v>132</v>
      </c>
      <c r="BM331" t="s">
        <v>1</v>
      </c>
      <c r="BN331">
        <f>Tabla1[[#This Row],[precio del paquete]]</f>
        <v>14800</v>
      </c>
      <c r="BO331" t="s">
        <v>1</v>
      </c>
      <c r="BP331" t="s">
        <v>1</v>
      </c>
      <c r="BQ331" t="s">
        <v>1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0</v>
      </c>
      <c r="BX331" t="s">
        <v>1</v>
      </c>
      <c r="BY331" t="s">
        <v>1</v>
      </c>
      <c r="BZ331" t="s">
        <v>1</v>
      </c>
      <c r="CA331" t="s">
        <v>1</v>
      </c>
      <c r="CB331" t="s">
        <v>3382</v>
      </c>
      <c r="CD331" t="str" cm="1">
        <f t="array" aca="1" ref="CD331" ca="1">eConcatenar(A331:CB331,"|")</f>
        <v>HQFQcHaxVIuaKAKH|CAR2021-7506|3|MEMORIAL|TABASCO |CARDENAS|CARDENAS|2021-12-09|14800|0|200|50|1|0|0|0|0|0|0|0|0|0|0||0|0|0|RUEDA||RAMON QUIROGA|SOLTERO|X|X|CARRETERA PRINCIPAL |RANCHERIA ZAPOTAL PRIMERA SECCION |X|9371540517|X|X|X|CARRETERA PRINCIPAL |X|LUNES|x|x|x|x|x|DOMICILIO |1200|13600|X|X|X|2022-02-16|2022-02-23|x|x|x|x|x|QX002LYO9KVTQO|x|HOMBRE|X|14800|X|X|X|X|X|X|X|X|CARDENAS|X|X|X|X|FINAL</v>
      </c>
    </row>
    <row r="332" spans="1:82" x14ac:dyDescent="0.25">
      <c r="A332" t="s">
        <v>774</v>
      </c>
      <c r="B332" t="s">
        <v>775</v>
      </c>
      <c r="C332">
        <v>3</v>
      </c>
      <c r="D332" t="s">
        <v>121</v>
      </c>
      <c r="E332" t="s">
        <v>12</v>
      </c>
      <c r="F332" t="s">
        <v>0</v>
      </c>
      <c r="G332" t="s">
        <v>0</v>
      </c>
      <c r="H332" t="s">
        <v>1517</v>
      </c>
      <c r="I332">
        <v>12900</v>
      </c>
      <c r="J332">
        <v>0</v>
      </c>
      <c r="K332">
        <v>0</v>
      </c>
      <c r="L332">
        <v>50</v>
      </c>
      <c r="M332">
        <v>1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Y332">
        <v>0</v>
      </c>
      <c r="Z332">
        <v>0</v>
      </c>
      <c r="AA332">
        <v>0</v>
      </c>
      <c r="AB332" t="s">
        <v>1919</v>
      </c>
      <c r="AC332" t="s">
        <v>1708</v>
      </c>
      <c r="AD332" t="s">
        <v>2142</v>
      </c>
      <c r="AE332" t="s">
        <v>4</v>
      </c>
      <c r="AF332" t="s">
        <v>1</v>
      </c>
      <c r="AG332" t="s">
        <v>1</v>
      </c>
      <c r="AH332" t="s">
        <v>2717</v>
      </c>
      <c r="AI332" t="s">
        <v>3068</v>
      </c>
      <c r="AJ332" t="s">
        <v>1</v>
      </c>
      <c r="AK332">
        <v>9371717951</v>
      </c>
      <c r="AL332" t="s">
        <v>1</v>
      </c>
      <c r="AM332" t="s">
        <v>1</v>
      </c>
      <c r="AN332" t="s">
        <v>1</v>
      </c>
      <c r="AO332" t="s">
        <v>2717</v>
      </c>
      <c r="AP332" t="s">
        <v>1</v>
      </c>
      <c r="AQ332" t="s">
        <v>2</v>
      </c>
      <c r="AR332" t="s">
        <v>3</v>
      </c>
      <c r="AS332" t="s">
        <v>3</v>
      </c>
      <c r="AT332" t="s">
        <v>3</v>
      </c>
      <c r="AU332" t="s">
        <v>3</v>
      </c>
      <c r="AV332" t="s">
        <v>3</v>
      </c>
      <c r="AW332" t="s">
        <v>11</v>
      </c>
      <c r="AX332">
        <f>Tabla1[[#This Row],[precio del paquete]]-Tabla1[[#This Row],[Saldo_Deudor]]</f>
        <v>7400</v>
      </c>
      <c r="AY332">
        <v>5500</v>
      </c>
      <c r="AZ332" t="s">
        <v>1</v>
      </c>
      <c r="BA332" t="s">
        <v>1</v>
      </c>
      <c r="BB332" t="s">
        <v>1</v>
      </c>
      <c r="BC332" t="s">
        <v>1406</v>
      </c>
      <c r="BD332" t="s">
        <v>3308</v>
      </c>
      <c r="BE332" t="s">
        <v>3</v>
      </c>
      <c r="BF332" t="s">
        <v>3</v>
      </c>
      <c r="BG332" t="s">
        <v>3</v>
      </c>
      <c r="BH332" t="s">
        <v>3</v>
      </c>
      <c r="BI332" t="s">
        <v>3</v>
      </c>
      <c r="BJ332" t="s">
        <v>3362</v>
      </c>
      <c r="BK332" t="s">
        <v>3</v>
      </c>
      <c r="BL332" t="s">
        <v>132</v>
      </c>
      <c r="BM332" t="s">
        <v>1</v>
      </c>
      <c r="BN332">
        <f>Tabla1[[#This Row],[precio del paquete]]</f>
        <v>12900</v>
      </c>
      <c r="BO332" t="s">
        <v>1</v>
      </c>
      <c r="BP332" t="s">
        <v>1</v>
      </c>
      <c r="BQ332" t="s">
        <v>1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0</v>
      </c>
      <c r="BX332" t="s">
        <v>1</v>
      </c>
      <c r="BY332" t="s">
        <v>1</v>
      </c>
      <c r="BZ332" t="s">
        <v>1</v>
      </c>
      <c r="CA332" t="s">
        <v>1</v>
      </c>
      <c r="CB332" t="s">
        <v>3382</v>
      </c>
      <c r="CD332" t="str" cm="1">
        <f t="array" aca="1" ref="CD332" ca="1">eConcatenar(A332:CB332,"|")</f>
        <v>OH5eAQmQAGVXIRG4|CAR2020-3099|3|IMPERIAL DE LUJO |TABASCO |CARDENAS|CARDENAS|2020-09-16|12900|0|0|50|1|0|0|0|0|0|0|0|0|0|0||0|0|0|RAMIREZ||GRABIEL VAZQUEZ|SOLTERO|X|X|CAMINO VECINAL |RANCHERIA ZAPOTAL PRIMERA SECCION |X|9371717951|X|X|X|CAMINO VECINAL |X|LUNES|x|x|x|x|x|DOMICILIO |7400|5500|X|X|X|2022-02-16|2022-02-23|x|x|x|x|x|QX002LYO9KVTQO|x|HOMBRE|X|12900|X|X|X|X|X|X|X|X|CARDENAS|X|X|X|X|FINAL</v>
      </c>
    </row>
    <row r="333" spans="1:82" x14ac:dyDescent="0.25">
      <c r="A333" t="s">
        <v>776</v>
      </c>
      <c r="B333" t="s">
        <v>777</v>
      </c>
      <c r="C333">
        <v>3</v>
      </c>
      <c r="D333" t="s">
        <v>1369</v>
      </c>
      <c r="E333" t="s">
        <v>12</v>
      </c>
      <c r="F333" t="s">
        <v>0</v>
      </c>
      <c r="G333" t="s">
        <v>0</v>
      </c>
      <c r="H333" t="s">
        <v>1518</v>
      </c>
      <c r="I333">
        <v>14800</v>
      </c>
      <c r="J333">
        <v>0</v>
      </c>
      <c r="K333">
        <v>100</v>
      </c>
      <c r="L333">
        <v>50</v>
      </c>
      <c r="M333">
        <v>1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Y333">
        <v>0</v>
      </c>
      <c r="Z333">
        <v>0</v>
      </c>
      <c r="AA333">
        <v>0</v>
      </c>
      <c r="AB333" t="s">
        <v>1772</v>
      </c>
      <c r="AC333" t="s">
        <v>2143</v>
      </c>
      <c r="AD333" t="s">
        <v>2144</v>
      </c>
      <c r="AE333" t="s">
        <v>4</v>
      </c>
      <c r="AF333" t="s">
        <v>1</v>
      </c>
      <c r="AG333" t="s">
        <v>1</v>
      </c>
      <c r="AH333" t="s">
        <v>2718</v>
      </c>
      <c r="AI333" t="s">
        <v>3130</v>
      </c>
      <c r="AJ333" t="s">
        <v>1</v>
      </c>
      <c r="AK333">
        <v>9371539561</v>
      </c>
      <c r="AL333" t="s">
        <v>1</v>
      </c>
      <c r="AM333" t="s">
        <v>1</v>
      </c>
      <c r="AN333" t="s">
        <v>1</v>
      </c>
      <c r="AO333" t="s">
        <v>2718</v>
      </c>
      <c r="AP333" t="s">
        <v>1</v>
      </c>
      <c r="AQ333" t="s">
        <v>2</v>
      </c>
      <c r="AR333" t="s">
        <v>3</v>
      </c>
      <c r="AS333" t="s">
        <v>3</v>
      </c>
      <c r="AT333" t="s">
        <v>3</v>
      </c>
      <c r="AU333" t="s">
        <v>3</v>
      </c>
      <c r="AV333" t="s">
        <v>3</v>
      </c>
      <c r="AW333" t="s">
        <v>11</v>
      </c>
      <c r="AX333">
        <f>Tabla1[[#This Row],[precio del paquete]]-Tabla1[[#This Row],[Saldo_Deudor]]</f>
        <v>1300</v>
      </c>
      <c r="AY333">
        <v>13500</v>
      </c>
      <c r="AZ333" t="s">
        <v>1</v>
      </c>
      <c r="BA333" t="s">
        <v>1</v>
      </c>
      <c r="BB333" t="s">
        <v>1</v>
      </c>
      <c r="BC333" t="s">
        <v>1406</v>
      </c>
      <c r="BD333" t="s">
        <v>3308</v>
      </c>
      <c r="BE333" t="s">
        <v>3</v>
      </c>
      <c r="BF333" t="s">
        <v>3</v>
      </c>
      <c r="BG333" t="s">
        <v>3</v>
      </c>
      <c r="BH333" t="s">
        <v>3</v>
      </c>
      <c r="BI333" t="s">
        <v>3</v>
      </c>
      <c r="BJ333" t="s">
        <v>3362</v>
      </c>
      <c r="BK333" t="s">
        <v>3</v>
      </c>
      <c r="BL333" t="s">
        <v>132</v>
      </c>
      <c r="BM333" t="s">
        <v>1</v>
      </c>
      <c r="BN333">
        <f>Tabla1[[#This Row],[precio del paquete]]</f>
        <v>14800</v>
      </c>
      <c r="BO333" t="s">
        <v>1</v>
      </c>
      <c r="BP333" t="s">
        <v>1</v>
      </c>
      <c r="BQ333" t="s">
        <v>1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0</v>
      </c>
      <c r="BX333" t="s">
        <v>1</v>
      </c>
      <c r="BY333" t="s">
        <v>1</v>
      </c>
      <c r="BZ333" t="s">
        <v>1</v>
      </c>
      <c r="CA333" t="s">
        <v>1</v>
      </c>
      <c r="CB333" t="s">
        <v>3382</v>
      </c>
      <c r="CD333" t="str" cm="1">
        <f t="array" aca="1" ref="CD333" ca="1">eConcatenar(A333:CB333,"|")</f>
        <v>6gHJIq8tl7cwZVkl|CAR2021-7081|3|MEMORIAL|TABASCO |CARDENAS|CARDENAS|2021-11-20|14800|0|100|50|1|0|0|0|0|0|0|0|0|0|0||0|0|0|LANDERO|CHILON|JOSE MANUEL|SOLTERO|X|X|PASANDO EL YERSI |EJIDO RIO SECO SEGUNDA SECCION A|X|9371539561|X|X|X|PASANDO EL YERSI |X|LUNES|x|x|x|x|x|DOMICILIO |1300|13500|X|X|X|2022-02-16|2022-02-23|x|x|x|x|x|QX002LYO9KVTQO|x|HOMBRE|X|14800|X|X|X|X|X|X|X|X|CARDENAS|X|X|X|X|FINAL</v>
      </c>
    </row>
    <row r="334" spans="1:82" x14ac:dyDescent="0.25">
      <c r="A334" t="s">
        <v>778</v>
      </c>
      <c r="B334" t="s">
        <v>779</v>
      </c>
      <c r="C334">
        <v>3</v>
      </c>
      <c r="D334" t="s">
        <v>121</v>
      </c>
      <c r="E334" t="s">
        <v>12</v>
      </c>
      <c r="F334" t="s">
        <v>0</v>
      </c>
      <c r="G334" t="s">
        <v>0</v>
      </c>
      <c r="H334" t="s">
        <v>1475</v>
      </c>
      <c r="I334">
        <v>12900</v>
      </c>
      <c r="J334">
        <v>0</v>
      </c>
      <c r="K334">
        <v>200</v>
      </c>
      <c r="L334">
        <v>50</v>
      </c>
      <c r="M334">
        <v>1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Y334">
        <v>0</v>
      </c>
      <c r="Z334">
        <v>0</v>
      </c>
      <c r="AA334">
        <v>0</v>
      </c>
      <c r="AB334" t="s">
        <v>1713</v>
      </c>
      <c r="AC334" t="s">
        <v>1708</v>
      </c>
      <c r="AD334" t="s">
        <v>2145</v>
      </c>
      <c r="AE334" t="s">
        <v>4</v>
      </c>
      <c r="AF334" t="s">
        <v>1</v>
      </c>
      <c r="AG334" t="s">
        <v>1</v>
      </c>
      <c r="AH334" t="s">
        <v>2719</v>
      </c>
      <c r="AI334" t="s">
        <v>3131</v>
      </c>
      <c r="AJ334" t="s">
        <v>1</v>
      </c>
      <c r="AK334">
        <v>9371027134</v>
      </c>
      <c r="AL334" t="s">
        <v>1</v>
      </c>
      <c r="AM334" t="s">
        <v>1</v>
      </c>
      <c r="AN334" t="s">
        <v>1</v>
      </c>
      <c r="AO334" t="s">
        <v>2719</v>
      </c>
      <c r="AP334" t="s">
        <v>1</v>
      </c>
      <c r="AQ334" t="s">
        <v>2</v>
      </c>
      <c r="AR334" t="s">
        <v>3</v>
      </c>
      <c r="AS334" t="s">
        <v>3</v>
      </c>
      <c r="AT334" t="s">
        <v>3</v>
      </c>
      <c r="AU334" t="s">
        <v>3</v>
      </c>
      <c r="AV334" t="s">
        <v>3</v>
      </c>
      <c r="AW334" t="s">
        <v>11</v>
      </c>
      <c r="AX334">
        <f>Tabla1[[#This Row],[precio del paquete]]-Tabla1[[#This Row],[Saldo_Deudor]]</f>
        <v>6100</v>
      </c>
      <c r="AY334">
        <v>6800</v>
      </c>
      <c r="AZ334" t="s">
        <v>1</v>
      </c>
      <c r="BA334" t="s">
        <v>1</v>
      </c>
      <c r="BB334" t="s">
        <v>1</v>
      </c>
      <c r="BC334" t="s">
        <v>1406</v>
      </c>
      <c r="BD334" t="s">
        <v>3308</v>
      </c>
      <c r="BE334" t="s">
        <v>3</v>
      </c>
      <c r="BF334" t="s">
        <v>3</v>
      </c>
      <c r="BG334" t="s">
        <v>3</v>
      </c>
      <c r="BH334" t="s">
        <v>3</v>
      </c>
      <c r="BI334" t="s">
        <v>3</v>
      </c>
      <c r="BJ334" t="s">
        <v>3362</v>
      </c>
      <c r="BK334" t="s">
        <v>3</v>
      </c>
      <c r="BL334" t="s">
        <v>132</v>
      </c>
      <c r="BM334" t="s">
        <v>1</v>
      </c>
      <c r="BN334">
        <f>Tabla1[[#This Row],[precio del paquete]]</f>
        <v>12900</v>
      </c>
      <c r="BO334" t="s">
        <v>1</v>
      </c>
      <c r="BP334" t="s">
        <v>1</v>
      </c>
      <c r="BQ334" t="s">
        <v>1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0</v>
      </c>
      <c r="BX334" t="s">
        <v>1</v>
      </c>
      <c r="BY334" t="s">
        <v>1</v>
      </c>
      <c r="BZ334" t="s">
        <v>1</v>
      </c>
      <c r="CA334" t="s">
        <v>1</v>
      </c>
      <c r="CB334" t="s">
        <v>3382</v>
      </c>
      <c r="CD334" t="str" cm="1">
        <f t="array" aca="1" ref="CD334" ca="1">eConcatenar(A334:CB334,"|")</f>
        <v>4JNTSmYQwpjyy88E|CAR2020-5230|3|IMPERIAL DE LUJO |TABASCO |CARDENAS|CARDENAS|2020-12-09|12900|0|200|50|1|0|0|0|0|0|0|0|0|0|0||0|0|0|DE LA CRUZ||ROSARIO VELAZQUEZ|SOLTERO|X|X|CALLE VECINAL |COLONIA DE LOS SANTOS|X|9371027134|X|X|X|CALLE VECINAL |X|LUNES|x|x|x|x|x|DOMICILIO |6100|6800|X|X|X|2022-02-16|2022-02-23|x|x|x|x|x|QX002LYO9KVTQO|x|HOMBRE|X|12900|X|X|X|X|X|X|X|X|CARDENAS|X|X|X|X|FINAL</v>
      </c>
    </row>
    <row r="335" spans="1:82" x14ac:dyDescent="0.25">
      <c r="A335" t="s">
        <v>780</v>
      </c>
      <c r="B335" t="s">
        <v>781</v>
      </c>
      <c r="C335">
        <v>3</v>
      </c>
      <c r="D335" t="s">
        <v>1369</v>
      </c>
      <c r="E335" t="s">
        <v>12</v>
      </c>
      <c r="F335" t="s">
        <v>0</v>
      </c>
      <c r="G335" t="s">
        <v>0</v>
      </c>
      <c r="H335" t="s">
        <v>1519</v>
      </c>
      <c r="I335">
        <v>14800</v>
      </c>
      <c r="J335">
        <v>0</v>
      </c>
      <c r="K335">
        <v>50</v>
      </c>
      <c r="L335">
        <v>50</v>
      </c>
      <c r="M335">
        <v>1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Y335">
        <v>0</v>
      </c>
      <c r="Z335">
        <v>0</v>
      </c>
      <c r="AA335">
        <v>0</v>
      </c>
      <c r="AB335" t="s">
        <v>7</v>
      </c>
      <c r="AC335" t="s">
        <v>1708</v>
      </c>
      <c r="AD335" t="s">
        <v>2146</v>
      </c>
      <c r="AE335" t="s">
        <v>4</v>
      </c>
      <c r="AF335" t="s">
        <v>1</v>
      </c>
      <c r="AG335" t="s">
        <v>1</v>
      </c>
      <c r="AH335" t="s">
        <v>2720</v>
      </c>
      <c r="AI335" t="s">
        <v>3132</v>
      </c>
      <c r="AJ335" t="s">
        <v>1</v>
      </c>
      <c r="AK335">
        <v>9332088276</v>
      </c>
      <c r="AL335" t="s">
        <v>1</v>
      </c>
      <c r="AM335" t="s">
        <v>1</v>
      </c>
      <c r="AN335" t="s">
        <v>1</v>
      </c>
      <c r="AO335" t="s">
        <v>2720</v>
      </c>
      <c r="AP335" t="s">
        <v>1</v>
      </c>
      <c r="AQ335" t="s">
        <v>2</v>
      </c>
      <c r="AR335" t="s">
        <v>3</v>
      </c>
      <c r="AS335" t="s">
        <v>3</v>
      </c>
      <c r="AT335" t="s">
        <v>3</v>
      </c>
      <c r="AU335" t="s">
        <v>3</v>
      </c>
      <c r="AV335" t="s">
        <v>3</v>
      </c>
      <c r="AW335" t="s">
        <v>11</v>
      </c>
      <c r="AX335">
        <f>Tabla1[[#This Row],[precio del paquete]]-Tabla1[[#This Row],[Saldo_Deudor]]</f>
        <v>1250</v>
      </c>
      <c r="AY335">
        <v>13550</v>
      </c>
      <c r="AZ335" t="s">
        <v>1</v>
      </c>
      <c r="BA335" t="s">
        <v>1</v>
      </c>
      <c r="BB335" t="s">
        <v>1</v>
      </c>
      <c r="BC335" t="s">
        <v>1406</v>
      </c>
      <c r="BD335" t="s">
        <v>3308</v>
      </c>
      <c r="BE335" t="s">
        <v>3</v>
      </c>
      <c r="BF335" t="s">
        <v>3</v>
      </c>
      <c r="BG335" t="s">
        <v>3</v>
      </c>
      <c r="BH335" t="s">
        <v>3</v>
      </c>
      <c r="BI335" t="s">
        <v>3</v>
      </c>
      <c r="BJ335" t="s">
        <v>3362</v>
      </c>
      <c r="BK335" t="s">
        <v>3</v>
      </c>
      <c r="BL335" t="s">
        <v>132</v>
      </c>
      <c r="BM335" t="s">
        <v>1</v>
      </c>
      <c r="BN335">
        <f>Tabla1[[#This Row],[precio del paquete]]</f>
        <v>14800</v>
      </c>
      <c r="BO335" t="s">
        <v>1</v>
      </c>
      <c r="BP335" t="s">
        <v>1</v>
      </c>
      <c r="BQ335" t="s">
        <v>1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0</v>
      </c>
      <c r="BX335" t="s">
        <v>1</v>
      </c>
      <c r="BY335" t="s">
        <v>1</v>
      </c>
      <c r="BZ335" t="s">
        <v>1</v>
      </c>
      <c r="CA335" t="s">
        <v>1</v>
      </c>
      <c r="CB335" t="s">
        <v>3382</v>
      </c>
      <c r="CD335" t="str" cm="1">
        <f t="array" aca="1" ref="CD335" ca="1">eConcatenar(A335:CB335,"|")</f>
        <v>v6sk4l7UUJ9VA61s|CAR2021-7290|3|MEMORIAL|TABASCO |CARDENAS|CARDENAS|2021-12-01|14800|0|50|50|1|0|0|0|0|0|0|0|0|0|0||0|0|0|LOPEZ||MARIA CUSTODIO|SOLTERO|X|X|CALLE 14|FRACCIONAMIENTO LOS CAÃ‘ALES|X|9332088276|X|X|X|CALLE 14|X|LUNES|x|x|x|x|x|DOMICILIO |1250|13550|X|X|X|2022-02-16|2022-02-23|x|x|x|x|x|QX002LYO9KVTQO|x|HOMBRE|X|14800|X|X|X|X|X|X|X|X|CARDENAS|X|X|X|X|FINAL</v>
      </c>
    </row>
    <row r="336" spans="1:82" x14ac:dyDescent="0.25">
      <c r="A336" t="s">
        <v>782</v>
      </c>
      <c r="B336" t="s">
        <v>783</v>
      </c>
      <c r="C336">
        <v>3</v>
      </c>
      <c r="D336" t="s">
        <v>1369</v>
      </c>
      <c r="E336" t="s">
        <v>12</v>
      </c>
      <c r="F336" t="s">
        <v>0</v>
      </c>
      <c r="G336" t="s">
        <v>0</v>
      </c>
      <c r="H336" t="s">
        <v>1520</v>
      </c>
      <c r="I336">
        <v>14800</v>
      </c>
      <c r="J336">
        <v>0</v>
      </c>
      <c r="K336">
        <v>50</v>
      </c>
      <c r="L336">
        <v>50</v>
      </c>
      <c r="M336">
        <v>1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Y336">
        <v>0</v>
      </c>
      <c r="Z336">
        <v>0</v>
      </c>
      <c r="AA336">
        <v>0</v>
      </c>
      <c r="AB336" t="s">
        <v>2147</v>
      </c>
      <c r="AC336" t="s">
        <v>1708</v>
      </c>
      <c r="AD336" t="s">
        <v>2148</v>
      </c>
      <c r="AE336" t="s">
        <v>4</v>
      </c>
      <c r="AF336" t="s">
        <v>1</v>
      </c>
      <c r="AG336" t="s">
        <v>1</v>
      </c>
      <c r="AH336" t="s">
        <v>2721</v>
      </c>
      <c r="AI336" t="s">
        <v>3133</v>
      </c>
      <c r="AJ336" t="s">
        <v>1</v>
      </c>
      <c r="AK336">
        <v>5620643942</v>
      </c>
      <c r="AL336" t="s">
        <v>1</v>
      </c>
      <c r="AM336" t="s">
        <v>1</v>
      </c>
      <c r="AN336" t="s">
        <v>1</v>
      </c>
      <c r="AO336" t="s">
        <v>2721</v>
      </c>
      <c r="AP336" t="s">
        <v>1</v>
      </c>
      <c r="AQ336" t="s">
        <v>2</v>
      </c>
      <c r="AR336" t="s">
        <v>3</v>
      </c>
      <c r="AS336" t="s">
        <v>3</v>
      </c>
      <c r="AT336" t="s">
        <v>3</v>
      </c>
      <c r="AU336" t="s">
        <v>3</v>
      </c>
      <c r="AV336" t="s">
        <v>3</v>
      </c>
      <c r="AW336" t="s">
        <v>11</v>
      </c>
      <c r="AX336">
        <f>Tabla1[[#This Row],[precio del paquete]]-Tabla1[[#This Row],[Saldo_Deudor]]</f>
        <v>1450</v>
      </c>
      <c r="AY336">
        <v>13350</v>
      </c>
      <c r="AZ336" t="s">
        <v>1</v>
      </c>
      <c r="BA336" t="s">
        <v>1</v>
      </c>
      <c r="BB336" t="s">
        <v>1</v>
      </c>
      <c r="BC336" t="s">
        <v>1406</v>
      </c>
      <c r="BD336" t="s">
        <v>3308</v>
      </c>
      <c r="BE336" t="s">
        <v>3</v>
      </c>
      <c r="BF336" t="s">
        <v>3</v>
      </c>
      <c r="BG336" t="s">
        <v>3</v>
      </c>
      <c r="BH336" t="s">
        <v>3</v>
      </c>
      <c r="BI336" t="s">
        <v>3</v>
      </c>
      <c r="BJ336" t="s">
        <v>3362</v>
      </c>
      <c r="BK336" t="s">
        <v>3</v>
      </c>
      <c r="BL336" t="s">
        <v>132</v>
      </c>
      <c r="BM336" t="s">
        <v>1</v>
      </c>
      <c r="BN336">
        <f>Tabla1[[#This Row],[precio del paquete]]</f>
        <v>14800</v>
      </c>
      <c r="BO336" t="s">
        <v>1</v>
      </c>
      <c r="BP336" t="s">
        <v>1</v>
      </c>
      <c r="BQ336" t="s">
        <v>1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0</v>
      </c>
      <c r="BX336" t="s">
        <v>1</v>
      </c>
      <c r="BY336" t="s">
        <v>1</v>
      </c>
      <c r="BZ336" t="s">
        <v>1</v>
      </c>
      <c r="CA336" t="s">
        <v>1</v>
      </c>
      <c r="CB336" t="s">
        <v>3382</v>
      </c>
      <c r="CD336" t="str" cm="1">
        <f t="array" aca="1" ref="CD336" ca="1">eConcatenar(A336:CB336,"|")</f>
        <v>VFHbgP4fNP1zEjdc|CAR2021-4872|3|MEMORIAL|TABASCO |CARDENAS|CARDENAS|2021-08-26|14800|0|50|50|1|0|0|0|0|0|0|0|0|0|0||0|0|0|BAEZA||VIRIDIANA SANTO|SOLTERO|X|X|LADO NORTE|COLONIA CAÃ‘ALES TERCERA ETAPA NORTE|X|5620643942|X|X|X|LADO NORTE|X|LUNES|x|x|x|x|x|DOMICILIO |1450|13350|X|X|X|2022-02-16|2022-02-23|x|x|x|x|x|QX002LYO9KVTQO|x|HOMBRE|X|14800|X|X|X|X|X|X|X|X|CARDENAS|X|X|X|X|FINAL</v>
      </c>
    </row>
    <row r="337" spans="1:82" x14ac:dyDescent="0.25">
      <c r="A337" t="s">
        <v>784</v>
      </c>
      <c r="B337" t="s">
        <v>785</v>
      </c>
      <c r="C337">
        <v>3</v>
      </c>
      <c r="D337" t="s">
        <v>1369</v>
      </c>
      <c r="E337" t="s">
        <v>12</v>
      </c>
      <c r="F337" t="s">
        <v>0</v>
      </c>
      <c r="G337" t="s">
        <v>0</v>
      </c>
      <c r="H337" t="s">
        <v>1521</v>
      </c>
      <c r="I337">
        <v>14800</v>
      </c>
      <c r="J337">
        <v>0</v>
      </c>
      <c r="K337">
        <v>500</v>
      </c>
      <c r="L337">
        <v>50</v>
      </c>
      <c r="M337">
        <v>1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Y337">
        <v>0</v>
      </c>
      <c r="Z337">
        <v>0</v>
      </c>
      <c r="AA337">
        <v>0</v>
      </c>
      <c r="AB337" t="s">
        <v>1919</v>
      </c>
      <c r="AC337" t="s">
        <v>1708</v>
      </c>
      <c r="AD337" t="s">
        <v>2149</v>
      </c>
      <c r="AE337" t="s">
        <v>4</v>
      </c>
      <c r="AF337" t="s">
        <v>1</v>
      </c>
      <c r="AG337" t="s">
        <v>1</v>
      </c>
      <c r="AH337" t="s">
        <v>2722</v>
      </c>
      <c r="AI337" t="s">
        <v>3134</v>
      </c>
      <c r="AJ337" t="s">
        <v>1</v>
      </c>
      <c r="AK337">
        <v>9371183985</v>
      </c>
      <c r="AL337" t="s">
        <v>1</v>
      </c>
      <c r="AM337" t="s">
        <v>1</v>
      </c>
      <c r="AN337" t="s">
        <v>1</v>
      </c>
      <c r="AO337" t="s">
        <v>2722</v>
      </c>
      <c r="AP337" t="s">
        <v>1</v>
      </c>
      <c r="AQ337" t="s">
        <v>2</v>
      </c>
      <c r="AR337" t="s">
        <v>3</v>
      </c>
      <c r="AS337" t="s">
        <v>3</v>
      </c>
      <c r="AT337" t="s">
        <v>3</v>
      </c>
      <c r="AU337" t="s">
        <v>3</v>
      </c>
      <c r="AV337" t="s">
        <v>3</v>
      </c>
      <c r="AW337" t="s">
        <v>11</v>
      </c>
      <c r="AX337">
        <f>Tabla1[[#This Row],[precio del paquete]]-Tabla1[[#This Row],[Saldo_Deudor]]</f>
        <v>2350</v>
      </c>
      <c r="AY337">
        <v>12450</v>
      </c>
      <c r="AZ337" t="s">
        <v>1</v>
      </c>
      <c r="BA337" t="s">
        <v>1</v>
      </c>
      <c r="BB337" t="s">
        <v>1</v>
      </c>
      <c r="BC337" t="s">
        <v>1406</v>
      </c>
      <c r="BD337" t="s">
        <v>3308</v>
      </c>
      <c r="BE337" t="s">
        <v>3</v>
      </c>
      <c r="BF337" t="s">
        <v>3</v>
      </c>
      <c r="BG337" t="s">
        <v>3</v>
      </c>
      <c r="BH337" t="s">
        <v>3</v>
      </c>
      <c r="BI337" t="s">
        <v>3</v>
      </c>
      <c r="BJ337" t="s">
        <v>3362</v>
      </c>
      <c r="BK337" t="s">
        <v>3</v>
      </c>
      <c r="BL337" t="s">
        <v>132</v>
      </c>
      <c r="BM337" t="s">
        <v>1</v>
      </c>
      <c r="BN337">
        <f>Tabla1[[#This Row],[precio del paquete]]</f>
        <v>14800</v>
      </c>
      <c r="BO337" t="s">
        <v>1</v>
      </c>
      <c r="BP337" t="s">
        <v>1</v>
      </c>
      <c r="BQ337" t="s">
        <v>1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0</v>
      </c>
      <c r="BX337" t="s">
        <v>1</v>
      </c>
      <c r="BY337" t="s">
        <v>1</v>
      </c>
      <c r="BZ337" t="s">
        <v>1</v>
      </c>
      <c r="CA337" t="s">
        <v>1</v>
      </c>
      <c r="CB337" t="s">
        <v>3382</v>
      </c>
      <c r="CD337" t="str" cm="1">
        <f t="array" aca="1" ref="CD337" ca="1">eConcatenar(A337:CB337,"|")</f>
        <v>n5Kh58CsdjxgI3HD|CAR2021-3839|3|MEMORIAL|TABASCO |CARDENAS|CARDENAS|2021-07-27|14800|0|500|50|1|0|0|0|0|0|0|0|0|0|0||0|0|0|RAMIREZ||JOSEFINA PEREZ|SOLTERO|X|X|AVENIDA EL RETEN |RANCHERIA CALZADA PRIMERA SECCION |X|9371183985|X|X|X|AVENIDA EL RETEN |X|LUNES|x|x|x|x|x|DOMICILIO |2350|12450|X|X|X|2022-02-16|2022-02-23|x|x|x|x|x|QX002LYO9KVTQO|x|HOMBRE|X|14800|X|X|X|X|X|X|X|X|CARDENAS|X|X|X|X|FINAL</v>
      </c>
    </row>
    <row r="338" spans="1:82" x14ac:dyDescent="0.25">
      <c r="A338" t="s">
        <v>786</v>
      </c>
      <c r="B338" t="s">
        <v>787</v>
      </c>
      <c r="C338">
        <v>3</v>
      </c>
      <c r="D338" t="s">
        <v>1369</v>
      </c>
      <c r="E338" t="s">
        <v>12</v>
      </c>
      <c r="F338" t="s">
        <v>0</v>
      </c>
      <c r="G338" t="s">
        <v>0</v>
      </c>
      <c r="H338" t="s">
        <v>1451</v>
      </c>
      <c r="I338">
        <v>14800</v>
      </c>
      <c r="J338">
        <v>0</v>
      </c>
      <c r="K338">
        <v>200</v>
      </c>
      <c r="L338">
        <v>50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Y338">
        <v>0</v>
      </c>
      <c r="Z338">
        <v>0</v>
      </c>
      <c r="AA338">
        <v>0</v>
      </c>
      <c r="AB338" t="s">
        <v>2046</v>
      </c>
      <c r="AC338" t="s">
        <v>1744</v>
      </c>
      <c r="AD338" t="s">
        <v>1697</v>
      </c>
      <c r="AE338" t="s">
        <v>4</v>
      </c>
      <c r="AF338" t="s">
        <v>1</v>
      </c>
      <c r="AG338" t="s">
        <v>1</v>
      </c>
      <c r="AH338" t="s">
        <v>2723</v>
      </c>
      <c r="AI338" t="s">
        <v>3134</v>
      </c>
      <c r="AJ338" t="s">
        <v>1</v>
      </c>
      <c r="AK338">
        <v>9371183985</v>
      </c>
      <c r="AL338" t="s">
        <v>1</v>
      </c>
      <c r="AM338" t="s">
        <v>1</v>
      </c>
      <c r="AN338" t="s">
        <v>1</v>
      </c>
      <c r="AO338" t="s">
        <v>2723</v>
      </c>
      <c r="AP338" t="s">
        <v>1</v>
      </c>
      <c r="AQ338" t="s">
        <v>2</v>
      </c>
      <c r="AR338" t="s">
        <v>3</v>
      </c>
      <c r="AS338" t="s">
        <v>3</v>
      </c>
      <c r="AT338" t="s">
        <v>3</v>
      </c>
      <c r="AU338" t="s">
        <v>3</v>
      </c>
      <c r="AV338" t="s">
        <v>3</v>
      </c>
      <c r="AW338" t="s">
        <v>11</v>
      </c>
      <c r="AX338">
        <f>Tabla1[[#This Row],[precio del paquete]]-Tabla1[[#This Row],[Saldo_Deudor]]</f>
        <v>1400</v>
      </c>
      <c r="AY338">
        <v>13400</v>
      </c>
      <c r="AZ338" t="s">
        <v>1</v>
      </c>
      <c r="BA338" t="s">
        <v>1</v>
      </c>
      <c r="BB338" t="s">
        <v>1</v>
      </c>
      <c r="BC338" t="s">
        <v>1406</v>
      </c>
      <c r="BD338" t="s">
        <v>3308</v>
      </c>
      <c r="BE338" t="s">
        <v>3</v>
      </c>
      <c r="BF338" t="s">
        <v>3</v>
      </c>
      <c r="BG338" t="s">
        <v>3</v>
      </c>
      <c r="BH338" t="s">
        <v>3</v>
      </c>
      <c r="BI338" t="s">
        <v>3</v>
      </c>
      <c r="BJ338" t="s">
        <v>3362</v>
      </c>
      <c r="BK338" t="s">
        <v>3</v>
      </c>
      <c r="BL338" t="s">
        <v>132</v>
      </c>
      <c r="BM338" t="s">
        <v>1</v>
      </c>
      <c r="BN338">
        <f>Tabla1[[#This Row],[precio del paquete]]</f>
        <v>14800</v>
      </c>
      <c r="BO338" t="s">
        <v>1</v>
      </c>
      <c r="BP338" t="s">
        <v>1</v>
      </c>
      <c r="BQ338" t="s">
        <v>1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0</v>
      </c>
      <c r="BX338" t="s">
        <v>1</v>
      </c>
      <c r="BY338" t="s">
        <v>1</v>
      </c>
      <c r="BZ338" t="s">
        <v>1</v>
      </c>
      <c r="CA338" t="s">
        <v>1</v>
      </c>
      <c r="CB338" t="s">
        <v>3382</v>
      </c>
      <c r="CD338" t="str" cm="1">
        <f t="array" aca="1" ref="CD338" ca="1">eConcatenar(A338:CB338,"|")</f>
        <v>RESzdswhlIgVN5dr|CAR2021-6850|3|MEMORIAL|TABASCO |CARDENAS|CARDENAS|2021-11-11|14800|0|200|50|1|0|0|0|0|0|0|0|0|0|0||0|0|0|CORONEL|PEREZ|MARIA GUADALUPE|SOLTERO|X|X|CARRETERA DEL RETEN |RANCHERIA CALZADA PRIMERA SECCION |X|9371183985|X|X|X|CARRETERA DEL RETEN |X|LUNES|x|x|x|x|x|DOMICILIO |1400|13400|X|X|X|2022-02-16|2022-02-23|x|x|x|x|x|QX002LYO9KVTQO|x|HOMBRE|X|14800|X|X|X|X|X|X|X|X|CARDENAS|X|X|X|X|FINAL</v>
      </c>
    </row>
    <row r="339" spans="1:82" x14ac:dyDescent="0.25">
      <c r="A339" t="s">
        <v>788</v>
      </c>
      <c r="B339" t="s">
        <v>789</v>
      </c>
      <c r="C339">
        <v>3</v>
      </c>
      <c r="D339" t="s">
        <v>14</v>
      </c>
      <c r="E339" t="s">
        <v>12</v>
      </c>
      <c r="F339" t="s">
        <v>0</v>
      </c>
      <c r="G339" t="s">
        <v>0</v>
      </c>
      <c r="H339" t="s">
        <v>1522</v>
      </c>
      <c r="I339">
        <v>12900</v>
      </c>
      <c r="J339">
        <v>0</v>
      </c>
      <c r="K339">
        <v>0</v>
      </c>
      <c r="L339">
        <v>50</v>
      </c>
      <c r="M339">
        <v>1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Y339">
        <v>0</v>
      </c>
      <c r="Z339">
        <v>0</v>
      </c>
      <c r="AA339">
        <v>0</v>
      </c>
      <c r="AB339" t="s">
        <v>1815</v>
      </c>
      <c r="AC339" t="s">
        <v>1708</v>
      </c>
      <c r="AD339" t="s">
        <v>2150</v>
      </c>
      <c r="AE339" t="s">
        <v>4</v>
      </c>
      <c r="AF339" t="s">
        <v>1</v>
      </c>
      <c r="AG339" t="s">
        <v>1</v>
      </c>
      <c r="AH339" t="s">
        <v>2724</v>
      </c>
      <c r="AI339" t="s">
        <v>2787</v>
      </c>
      <c r="AJ339" t="s">
        <v>1</v>
      </c>
      <c r="AK339">
        <v>9171268276</v>
      </c>
      <c r="AL339" t="s">
        <v>1</v>
      </c>
      <c r="AM339" t="s">
        <v>1</v>
      </c>
      <c r="AN339" t="s">
        <v>1</v>
      </c>
      <c r="AO339" t="s">
        <v>2724</v>
      </c>
      <c r="AP339" t="s">
        <v>1</v>
      </c>
      <c r="AQ339" t="s">
        <v>2</v>
      </c>
      <c r="AR339" t="s">
        <v>3</v>
      </c>
      <c r="AS339" t="s">
        <v>3</v>
      </c>
      <c r="AT339" t="s">
        <v>3</v>
      </c>
      <c r="AU339" t="s">
        <v>3</v>
      </c>
      <c r="AV339" t="s">
        <v>3</v>
      </c>
      <c r="AW339" t="s">
        <v>11</v>
      </c>
      <c r="AX339">
        <f>Tabla1[[#This Row],[precio del paquete]]-Tabla1[[#This Row],[Saldo_Deudor]]</f>
        <v>6890</v>
      </c>
      <c r="AY339">
        <v>6010</v>
      </c>
      <c r="AZ339" t="s">
        <v>1</v>
      </c>
      <c r="BA339" t="s">
        <v>1</v>
      </c>
      <c r="BB339" t="s">
        <v>1</v>
      </c>
      <c r="BC339" t="s">
        <v>1406</v>
      </c>
      <c r="BD339" t="s">
        <v>3308</v>
      </c>
      <c r="BE339" t="s">
        <v>3</v>
      </c>
      <c r="BF339" t="s">
        <v>3</v>
      </c>
      <c r="BG339" t="s">
        <v>3</v>
      </c>
      <c r="BH339" t="s">
        <v>3</v>
      </c>
      <c r="BI339" t="s">
        <v>3</v>
      </c>
      <c r="BJ339" t="s">
        <v>3362</v>
      </c>
      <c r="BK339" t="s">
        <v>3</v>
      </c>
      <c r="BL339" t="s">
        <v>132</v>
      </c>
      <c r="BM339" t="s">
        <v>1</v>
      </c>
      <c r="BN339">
        <f>Tabla1[[#This Row],[precio del paquete]]</f>
        <v>12900</v>
      </c>
      <c r="BO339" t="s">
        <v>1</v>
      </c>
      <c r="BP339" t="s">
        <v>1</v>
      </c>
      <c r="BQ339" t="s">
        <v>1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0</v>
      </c>
      <c r="BX339" t="s">
        <v>1</v>
      </c>
      <c r="BY339" t="s">
        <v>1</v>
      </c>
      <c r="BZ339" t="s">
        <v>1</v>
      </c>
      <c r="CA339" t="s">
        <v>1</v>
      </c>
      <c r="CB339" t="s">
        <v>3382</v>
      </c>
      <c r="CD339" t="str" cm="1">
        <f t="array" aca="1" ref="CD339" ca="1">eConcatenar(A339:CB339,"|")</f>
        <v>4DDxDyIBnsVbJCLT|CAR2018-2510|3|ECONOLINE |TABASCO |CARDENAS|CARDENAS|2018-11-17|12900|0|0|50|1|0|0|0|0|0|0|0|0|0|0||0|0|0|LEON||DOMINGA FLORES|SOLTERO|X|X|CALLE MONTE DE OCA |COLONIA NUEVO PROGRESO|X|9171268276|X|X|X|CALLE MONTE DE OCA |X|LUNES|x|x|x|x|x|DOMICILIO |6890|6010|X|X|X|2022-02-16|2022-02-23|x|x|x|x|x|QX002LYO9KVTQO|x|HOMBRE|X|12900|X|X|X|X|X|X|X|X|CARDENAS|X|X|X|X|FINAL</v>
      </c>
    </row>
    <row r="340" spans="1:82" x14ac:dyDescent="0.25">
      <c r="A340" t="s">
        <v>790</v>
      </c>
      <c r="B340" t="s">
        <v>303</v>
      </c>
      <c r="C340">
        <v>3</v>
      </c>
      <c r="D340" t="s">
        <v>1369</v>
      </c>
      <c r="E340" t="s">
        <v>12</v>
      </c>
      <c r="F340" t="s">
        <v>0</v>
      </c>
      <c r="G340" t="s">
        <v>0</v>
      </c>
      <c r="H340" t="s">
        <v>1388</v>
      </c>
      <c r="I340">
        <v>14800</v>
      </c>
      <c r="J340">
        <v>0</v>
      </c>
      <c r="K340">
        <v>150</v>
      </c>
      <c r="L340">
        <v>50</v>
      </c>
      <c r="M340">
        <v>1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Y340">
        <v>0</v>
      </c>
      <c r="Z340">
        <v>0</v>
      </c>
      <c r="AA340">
        <v>0</v>
      </c>
      <c r="AB340" t="s">
        <v>2151</v>
      </c>
      <c r="AC340" t="s">
        <v>1708</v>
      </c>
      <c r="AD340" t="s">
        <v>2152</v>
      </c>
      <c r="AE340" t="s">
        <v>4</v>
      </c>
      <c r="AF340" t="s">
        <v>1</v>
      </c>
      <c r="AG340" t="s">
        <v>1</v>
      </c>
      <c r="AH340" t="s">
        <v>2725</v>
      </c>
      <c r="AI340" t="s">
        <v>3135</v>
      </c>
      <c r="AJ340" t="s">
        <v>1</v>
      </c>
      <c r="AK340">
        <v>9371093786</v>
      </c>
      <c r="AL340" t="s">
        <v>1</v>
      </c>
      <c r="AM340" t="s">
        <v>1</v>
      </c>
      <c r="AN340" t="s">
        <v>1</v>
      </c>
      <c r="AO340" t="s">
        <v>2725</v>
      </c>
      <c r="AP340" t="s">
        <v>1</v>
      </c>
      <c r="AQ340" t="s">
        <v>2</v>
      </c>
      <c r="AR340" t="s">
        <v>3</v>
      </c>
      <c r="AS340" t="s">
        <v>3</v>
      </c>
      <c r="AT340" t="s">
        <v>3</v>
      </c>
      <c r="AU340" t="s">
        <v>3</v>
      </c>
      <c r="AV340" t="s">
        <v>3</v>
      </c>
      <c r="AW340" t="s">
        <v>11</v>
      </c>
      <c r="AX340">
        <f>Tabla1[[#This Row],[precio del paquete]]-Tabla1[[#This Row],[Saldo_Deudor]]</f>
        <v>250</v>
      </c>
      <c r="AY340">
        <v>14550</v>
      </c>
      <c r="AZ340" t="s">
        <v>1</v>
      </c>
      <c r="BA340" t="s">
        <v>1</v>
      </c>
      <c r="BB340" t="s">
        <v>1</v>
      </c>
      <c r="BC340" t="s">
        <v>1406</v>
      </c>
      <c r="BD340" t="s">
        <v>3308</v>
      </c>
      <c r="BE340" t="s">
        <v>3</v>
      </c>
      <c r="BF340" t="s">
        <v>3</v>
      </c>
      <c r="BG340" t="s">
        <v>3</v>
      </c>
      <c r="BH340" t="s">
        <v>3</v>
      </c>
      <c r="BI340" t="s">
        <v>3</v>
      </c>
      <c r="BJ340" t="s">
        <v>3362</v>
      </c>
      <c r="BK340" t="s">
        <v>3</v>
      </c>
      <c r="BL340" t="s">
        <v>132</v>
      </c>
      <c r="BM340" t="s">
        <v>1</v>
      </c>
      <c r="BN340">
        <f>Tabla1[[#This Row],[precio del paquete]]</f>
        <v>14800</v>
      </c>
      <c r="BO340" t="s">
        <v>1</v>
      </c>
      <c r="BP340" t="s">
        <v>1</v>
      </c>
      <c r="BQ340" t="s">
        <v>1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0</v>
      </c>
      <c r="BX340" t="s">
        <v>1</v>
      </c>
      <c r="BY340" t="s">
        <v>1</v>
      </c>
      <c r="BZ340" t="s">
        <v>1</v>
      </c>
      <c r="CA340" t="s">
        <v>1</v>
      </c>
      <c r="CB340" t="s">
        <v>3382</v>
      </c>
      <c r="CD340" t="str" cm="1">
        <f t="array" aca="1" ref="CD340" ca="1">eConcatenar(A340:CB340,"|")</f>
        <v>BWzXk3gQ4gUoCFC2|CAR2022-0815|3|MEMORIAL|TABASCO |CARDENAS|CARDENAS|2022-02-05|14800|0|150|50|1|0|0|0|0|0|0|0|0|0|0||0|0|0|GONZALES||DOLORES JIMENEZ|SOLTERO|X|X|CARRETERA CARDENAS A COMALCALCO|COLONIA MELCHOR OCAMPO|X|9371093786|X|X|X|CARRETERA CARDENAS A COMALCALCO|X|LUNES|x|x|x|x|x|DOMICILIO |250|14550|X|X|X|2022-02-16|2022-02-23|x|x|x|x|x|QX002LYO9KVTQO|x|HOMBRE|X|14800|X|X|X|X|X|X|X|X|CARDENAS|X|X|X|X|FINAL</v>
      </c>
    </row>
    <row r="341" spans="1:82" x14ac:dyDescent="0.25">
      <c r="A341" t="s">
        <v>791</v>
      </c>
      <c r="B341" t="s">
        <v>792</v>
      </c>
      <c r="C341">
        <v>3</v>
      </c>
      <c r="D341" t="s">
        <v>1369</v>
      </c>
      <c r="E341" t="s">
        <v>12</v>
      </c>
      <c r="F341" t="s">
        <v>0</v>
      </c>
      <c r="G341" t="s">
        <v>0</v>
      </c>
      <c r="H341" t="s">
        <v>1523</v>
      </c>
      <c r="I341">
        <v>14800</v>
      </c>
      <c r="J341">
        <v>0</v>
      </c>
      <c r="K341">
        <v>200</v>
      </c>
      <c r="L341">
        <v>50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Y341">
        <v>0</v>
      </c>
      <c r="Z341">
        <v>0</v>
      </c>
      <c r="AA341">
        <v>0</v>
      </c>
      <c r="AB341" t="s">
        <v>2153</v>
      </c>
      <c r="AC341" t="s">
        <v>1695</v>
      </c>
      <c r="AD341" t="s">
        <v>2154</v>
      </c>
      <c r="AE341" t="s">
        <v>4</v>
      </c>
      <c r="AF341" t="s">
        <v>1</v>
      </c>
      <c r="AG341" t="s">
        <v>1</v>
      </c>
      <c r="AH341" t="s">
        <v>2726</v>
      </c>
      <c r="AI341" t="s">
        <v>3136</v>
      </c>
      <c r="AJ341" t="s">
        <v>1</v>
      </c>
      <c r="AK341">
        <v>9371197442</v>
      </c>
      <c r="AL341" t="s">
        <v>1</v>
      </c>
      <c r="AM341" t="s">
        <v>1</v>
      </c>
      <c r="AN341" t="s">
        <v>1</v>
      </c>
      <c r="AO341" t="s">
        <v>2726</v>
      </c>
      <c r="AP341" t="s">
        <v>1</v>
      </c>
      <c r="AQ341" t="s">
        <v>2</v>
      </c>
      <c r="AR341" t="s">
        <v>3</v>
      </c>
      <c r="AS341" t="s">
        <v>3</v>
      </c>
      <c r="AT341" t="s">
        <v>3</v>
      </c>
      <c r="AU341" t="s">
        <v>3</v>
      </c>
      <c r="AV341" t="s">
        <v>3</v>
      </c>
      <c r="AW341" t="s">
        <v>11</v>
      </c>
      <c r="AX341">
        <f>Tabla1[[#This Row],[precio del paquete]]-Tabla1[[#This Row],[Saldo_Deudor]]</f>
        <v>1000</v>
      </c>
      <c r="AY341">
        <v>13800</v>
      </c>
      <c r="AZ341" t="s">
        <v>1</v>
      </c>
      <c r="BA341" t="s">
        <v>1</v>
      </c>
      <c r="BB341" t="s">
        <v>1</v>
      </c>
      <c r="BC341" t="s">
        <v>1406</v>
      </c>
      <c r="BD341" t="s">
        <v>3308</v>
      </c>
      <c r="BE341" t="s">
        <v>3</v>
      </c>
      <c r="BF341" t="s">
        <v>3</v>
      </c>
      <c r="BG341" t="s">
        <v>3</v>
      </c>
      <c r="BH341" t="s">
        <v>3</v>
      </c>
      <c r="BI341" t="s">
        <v>3</v>
      </c>
      <c r="BJ341" t="s">
        <v>3362</v>
      </c>
      <c r="BK341" t="s">
        <v>3</v>
      </c>
      <c r="BL341" t="s">
        <v>132</v>
      </c>
      <c r="BM341" t="s">
        <v>1</v>
      </c>
      <c r="BN341">
        <f>Tabla1[[#This Row],[precio del paquete]]</f>
        <v>14800</v>
      </c>
      <c r="BO341" t="s">
        <v>1</v>
      </c>
      <c r="BP341" t="s">
        <v>1</v>
      </c>
      <c r="BQ341" t="s">
        <v>1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0</v>
      </c>
      <c r="BX341" t="s">
        <v>1</v>
      </c>
      <c r="BY341" t="s">
        <v>1</v>
      </c>
      <c r="BZ341" t="s">
        <v>1</v>
      </c>
      <c r="CA341" t="s">
        <v>1</v>
      </c>
      <c r="CB341" t="s">
        <v>3382</v>
      </c>
      <c r="CD341" t="str" cm="1">
        <f t="array" aca="1" ref="CD341" ca="1">eConcatenar(A341:CB341,"|")</f>
        <v>OdPpUPpa0wOmPM3i|CAR2021-7578|3|MEMORIAL|TABASCO |CARDENAS|CARDENAS|2021-12-14|14800|0|200|50|1|0|0|0|0|0|0|0|0|0|0||0|0|0|PASCUAL|MORALES|MARTHA MARIA|SOLTERO|X|X|CERRADA SAN MARCO |RANCHERIA CALZADA PRIMERA SECCION|X|9371197442|X|X|X|CERRADA SAN MARCO |X|LUNES|x|x|x|x|x|DOMICILIO |1000|13800|X|X|X|2022-02-16|2022-02-23|x|x|x|x|x|QX002LYO9KVTQO|x|HOMBRE|X|14800|X|X|X|X|X|X|X|X|CARDENAS|X|X|X|X|FINAL</v>
      </c>
    </row>
    <row r="342" spans="1:82" x14ac:dyDescent="0.25">
      <c r="A342" t="s">
        <v>793</v>
      </c>
      <c r="B342" t="s">
        <v>794</v>
      </c>
      <c r="C342">
        <v>3</v>
      </c>
      <c r="D342" t="s">
        <v>1369</v>
      </c>
      <c r="E342" t="s">
        <v>12</v>
      </c>
      <c r="F342" t="s">
        <v>0</v>
      </c>
      <c r="G342" t="s">
        <v>0</v>
      </c>
      <c r="H342" t="s">
        <v>1524</v>
      </c>
      <c r="I342">
        <v>14800</v>
      </c>
      <c r="J342">
        <v>0</v>
      </c>
      <c r="K342">
        <v>50</v>
      </c>
      <c r="L342">
        <v>50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Y342">
        <v>0</v>
      </c>
      <c r="Z342">
        <v>0</v>
      </c>
      <c r="AA342">
        <v>0</v>
      </c>
      <c r="AB342" t="s">
        <v>1707</v>
      </c>
      <c r="AC342" t="s">
        <v>1708</v>
      </c>
      <c r="AD342" t="s">
        <v>2155</v>
      </c>
      <c r="AE342" t="s">
        <v>4</v>
      </c>
      <c r="AF342" t="s">
        <v>1</v>
      </c>
      <c r="AG342" t="s">
        <v>1</v>
      </c>
      <c r="AH342" t="s">
        <v>2727</v>
      </c>
      <c r="AI342" t="s">
        <v>3126</v>
      </c>
      <c r="AJ342" t="s">
        <v>1</v>
      </c>
      <c r="AK342">
        <v>9141315905</v>
      </c>
      <c r="AL342" t="s">
        <v>1</v>
      </c>
      <c r="AM342" t="s">
        <v>1</v>
      </c>
      <c r="AN342" t="s">
        <v>1</v>
      </c>
      <c r="AO342" t="s">
        <v>2727</v>
      </c>
      <c r="AP342" t="s">
        <v>1</v>
      </c>
      <c r="AQ342" t="s">
        <v>2</v>
      </c>
      <c r="AR342" t="s">
        <v>3</v>
      </c>
      <c r="AS342" t="s">
        <v>3</v>
      </c>
      <c r="AT342" t="s">
        <v>3</v>
      </c>
      <c r="AU342" t="s">
        <v>3</v>
      </c>
      <c r="AV342" t="s">
        <v>3</v>
      </c>
      <c r="AW342" t="s">
        <v>11</v>
      </c>
      <c r="AX342">
        <f>Tabla1[[#This Row],[precio del paquete]]-Tabla1[[#This Row],[Saldo_Deudor]]</f>
        <v>1000</v>
      </c>
      <c r="AY342">
        <v>13800</v>
      </c>
      <c r="AZ342" t="s">
        <v>1</v>
      </c>
      <c r="BA342" t="s">
        <v>1</v>
      </c>
      <c r="BB342" t="s">
        <v>1</v>
      </c>
      <c r="BC342" t="s">
        <v>1406</v>
      </c>
      <c r="BD342" t="s">
        <v>3308</v>
      </c>
      <c r="BE342" t="s">
        <v>3</v>
      </c>
      <c r="BF342" t="s">
        <v>3</v>
      </c>
      <c r="BG342" t="s">
        <v>3</v>
      </c>
      <c r="BH342" t="s">
        <v>3</v>
      </c>
      <c r="BI342" t="s">
        <v>3</v>
      </c>
      <c r="BJ342" t="s">
        <v>3362</v>
      </c>
      <c r="BK342" t="s">
        <v>3</v>
      </c>
      <c r="BL342" t="s">
        <v>132</v>
      </c>
      <c r="BM342" t="s">
        <v>1</v>
      </c>
      <c r="BN342">
        <f>Tabla1[[#This Row],[precio del paquete]]</f>
        <v>14800</v>
      </c>
      <c r="BO342" t="s">
        <v>1</v>
      </c>
      <c r="BP342" t="s">
        <v>1</v>
      </c>
      <c r="BQ342" t="s">
        <v>1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0</v>
      </c>
      <c r="BX342" t="s">
        <v>1</v>
      </c>
      <c r="BY342" t="s">
        <v>1</v>
      </c>
      <c r="BZ342" t="s">
        <v>1</v>
      </c>
      <c r="CA342" t="s">
        <v>1</v>
      </c>
      <c r="CB342" t="s">
        <v>3382</v>
      </c>
      <c r="CD342" t="str" cm="1">
        <f t="array" aca="1" ref="CD342" ca="1">eConcatenar(A342:CB342,"|")</f>
        <v>up5sjCNlqqrBDmm8|CAR2021-7255|3|MEMORIAL|TABASCO |CARDENAS|CARDENAS|2021-11-27|14800|0|50|50|1|0|0|0|0|0|0|0|0|0|0||0|0|0|OLAN||AUDIEL RAMOS|SOLTERO|X|X|CARRETERA AL CASTAÑO|RANCHERIA MIAHUATLAN PRIMERA SECCION |X|9141315905|X|X|X|CARRETERA AL CASTAÑO|X|LUNES|x|x|x|x|x|DOMICILIO |1000|13800|X|X|X|2022-02-16|2022-02-23|x|x|x|x|x|QX002LYO9KVTQO|x|HOMBRE|X|14800|X|X|X|X|X|X|X|X|CARDENAS|X|X|X|X|FINAL</v>
      </c>
    </row>
    <row r="343" spans="1:82" x14ac:dyDescent="0.25">
      <c r="A343" t="s">
        <v>795</v>
      </c>
      <c r="B343" t="s">
        <v>796</v>
      </c>
      <c r="C343">
        <v>3</v>
      </c>
      <c r="D343" t="s">
        <v>1368</v>
      </c>
      <c r="E343" t="s">
        <v>12</v>
      </c>
      <c r="F343" t="s">
        <v>0</v>
      </c>
      <c r="G343" t="s">
        <v>0</v>
      </c>
      <c r="H343" t="s">
        <v>1511</v>
      </c>
      <c r="I343">
        <v>24500</v>
      </c>
      <c r="J343">
        <v>0</v>
      </c>
      <c r="K343">
        <v>200</v>
      </c>
      <c r="L343">
        <v>50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Y343">
        <v>0</v>
      </c>
      <c r="Z343">
        <v>0</v>
      </c>
      <c r="AA343">
        <v>0</v>
      </c>
      <c r="AB343" t="s">
        <v>2156</v>
      </c>
      <c r="AC343" t="s">
        <v>2156</v>
      </c>
      <c r="AD343" t="s">
        <v>2157</v>
      </c>
      <c r="AE343" t="s">
        <v>4</v>
      </c>
      <c r="AF343" t="s">
        <v>1</v>
      </c>
      <c r="AG343" t="s">
        <v>1</v>
      </c>
      <c r="AH343" t="s">
        <v>2603</v>
      </c>
      <c r="AI343" t="s">
        <v>3137</v>
      </c>
      <c r="AJ343" t="s">
        <v>1</v>
      </c>
      <c r="AK343">
        <v>9371535375</v>
      </c>
      <c r="AL343" t="s">
        <v>1</v>
      </c>
      <c r="AM343" t="s">
        <v>1</v>
      </c>
      <c r="AN343" t="s">
        <v>1</v>
      </c>
      <c r="AO343" t="s">
        <v>2603</v>
      </c>
      <c r="AP343" t="s">
        <v>1</v>
      </c>
      <c r="AQ343" t="s">
        <v>2</v>
      </c>
      <c r="AR343" t="s">
        <v>3</v>
      </c>
      <c r="AS343" t="s">
        <v>3</v>
      </c>
      <c r="AT343" t="s">
        <v>3</v>
      </c>
      <c r="AU343" t="s">
        <v>3</v>
      </c>
      <c r="AV343" t="s">
        <v>3</v>
      </c>
      <c r="AW343" t="s">
        <v>11</v>
      </c>
      <c r="AX343">
        <f>Tabla1[[#This Row],[precio del paquete]]-Tabla1[[#This Row],[Saldo_Deudor]]</f>
        <v>2500</v>
      </c>
      <c r="AY343">
        <v>22000</v>
      </c>
      <c r="AZ343" t="s">
        <v>1</v>
      </c>
      <c r="BA343" t="s">
        <v>1</v>
      </c>
      <c r="BB343" t="s">
        <v>1</v>
      </c>
      <c r="BC343" t="s">
        <v>1406</v>
      </c>
      <c r="BD343" t="s">
        <v>3308</v>
      </c>
      <c r="BE343" t="s">
        <v>3</v>
      </c>
      <c r="BF343" t="s">
        <v>3</v>
      </c>
      <c r="BG343" t="s">
        <v>3</v>
      </c>
      <c r="BH343" t="s">
        <v>3</v>
      </c>
      <c r="BI343" t="s">
        <v>3</v>
      </c>
      <c r="BJ343" t="s">
        <v>3362</v>
      </c>
      <c r="BK343" t="s">
        <v>3</v>
      </c>
      <c r="BL343" t="s">
        <v>132</v>
      </c>
      <c r="BM343" t="s">
        <v>1</v>
      </c>
      <c r="BN343">
        <f>Tabla1[[#This Row],[precio del paquete]]</f>
        <v>24500</v>
      </c>
      <c r="BO343" t="s">
        <v>1</v>
      </c>
      <c r="BP343" t="s">
        <v>1</v>
      </c>
      <c r="BQ343" t="s">
        <v>1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0</v>
      </c>
      <c r="BX343" t="s">
        <v>1</v>
      </c>
      <c r="BY343" t="s">
        <v>1</v>
      </c>
      <c r="BZ343" t="s">
        <v>1</v>
      </c>
      <c r="CA343" t="s">
        <v>1</v>
      </c>
      <c r="CB343" t="s">
        <v>3382</v>
      </c>
      <c r="CD343" t="str" cm="1">
        <f t="array" aca="1" ref="CD343" ca="1">eConcatenar(A343:CB343,"|")</f>
        <v>3zJDVOvfo3YnqU7W|CAR2021-5443|3|DIGNITY|TABASCO |CARDENAS|CARDENAS|2021-09-18|24500|0|200|50|1|0|0|0|0|0|0|0|0|0|0||0|0|0|ASENCIO|ASENCIO|MA JESUS|SOLTERO|X|X|CARRETERA PRINCIPAL |RANCHERIA MIAHUATLAN SEGUNDA SECCION |X|9371535375|X|X|X|CARRETERA PRINCIPAL |X|LUNES|x|x|x|x|x|DOMICILIO |2500|22000|X|X|X|2022-02-16|2022-02-23|x|x|x|x|x|QX002LYO9KVTQO|x|HOMBRE|X|24500|X|X|X|X|X|X|X|X|CARDENAS|X|X|X|X|FINAL</v>
      </c>
    </row>
    <row r="344" spans="1:82" x14ac:dyDescent="0.25">
      <c r="A344" t="s">
        <v>797</v>
      </c>
      <c r="B344" t="s">
        <v>798</v>
      </c>
      <c r="C344">
        <v>3</v>
      </c>
      <c r="D344" t="s">
        <v>1368</v>
      </c>
      <c r="E344" t="s">
        <v>12</v>
      </c>
      <c r="F344" t="s">
        <v>0</v>
      </c>
      <c r="G344" t="s">
        <v>0</v>
      </c>
      <c r="H344" t="s">
        <v>1525</v>
      </c>
      <c r="I344">
        <v>24500</v>
      </c>
      <c r="J344">
        <v>0</v>
      </c>
      <c r="K344">
        <v>200</v>
      </c>
      <c r="L344">
        <v>50</v>
      </c>
      <c r="M344">
        <v>1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Y344">
        <v>0</v>
      </c>
      <c r="Z344">
        <v>0</v>
      </c>
      <c r="AA344">
        <v>0</v>
      </c>
      <c r="AB344" t="s">
        <v>1711</v>
      </c>
      <c r="AC344" t="s">
        <v>1708</v>
      </c>
      <c r="AD344" t="s">
        <v>2158</v>
      </c>
      <c r="AE344" t="s">
        <v>4</v>
      </c>
      <c r="AF344" t="s">
        <v>1</v>
      </c>
      <c r="AG344" t="s">
        <v>1</v>
      </c>
      <c r="AH344" t="s">
        <v>2728</v>
      </c>
      <c r="AI344" t="s">
        <v>3137</v>
      </c>
      <c r="AJ344" t="s">
        <v>1</v>
      </c>
      <c r="AK344">
        <v>9373691513</v>
      </c>
      <c r="AL344" t="s">
        <v>1</v>
      </c>
      <c r="AM344" t="s">
        <v>1</v>
      </c>
      <c r="AN344" t="s">
        <v>1</v>
      </c>
      <c r="AO344" t="s">
        <v>2728</v>
      </c>
      <c r="AP344" t="s">
        <v>1</v>
      </c>
      <c r="AQ344" t="s">
        <v>2</v>
      </c>
      <c r="AR344" t="s">
        <v>3</v>
      </c>
      <c r="AS344" t="s">
        <v>3</v>
      </c>
      <c r="AT344" t="s">
        <v>3</v>
      </c>
      <c r="AU344" t="s">
        <v>3</v>
      </c>
      <c r="AV344" t="s">
        <v>3</v>
      </c>
      <c r="AW344" t="s">
        <v>11</v>
      </c>
      <c r="AX344">
        <f>Tabla1[[#This Row],[precio del paquete]]-Tabla1[[#This Row],[Saldo_Deudor]]</f>
        <v>7700</v>
      </c>
      <c r="AY344">
        <v>16800</v>
      </c>
      <c r="AZ344" t="s">
        <v>1</v>
      </c>
      <c r="BA344" t="s">
        <v>1</v>
      </c>
      <c r="BB344" t="s">
        <v>1</v>
      </c>
      <c r="BC344" t="s">
        <v>1406</v>
      </c>
      <c r="BD344" t="s">
        <v>3308</v>
      </c>
      <c r="BE344" t="s">
        <v>3</v>
      </c>
      <c r="BF344" t="s">
        <v>3</v>
      </c>
      <c r="BG344" t="s">
        <v>3</v>
      </c>
      <c r="BH344" t="s">
        <v>3</v>
      </c>
      <c r="BI344" t="s">
        <v>3</v>
      </c>
      <c r="BJ344" t="s">
        <v>3362</v>
      </c>
      <c r="BK344" t="s">
        <v>3</v>
      </c>
      <c r="BL344" t="s">
        <v>132</v>
      </c>
      <c r="BM344" t="s">
        <v>1</v>
      </c>
      <c r="BN344">
        <f>Tabla1[[#This Row],[precio del paquete]]</f>
        <v>24500</v>
      </c>
      <c r="BO344" t="s">
        <v>1</v>
      </c>
      <c r="BP344" t="s">
        <v>1</v>
      </c>
      <c r="BQ344" t="s">
        <v>1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0</v>
      </c>
      <c r="BX344" t="s">
        <v>1</v>
      </c>
      <c r="BY344" t="s">
        <v>1</v>
      </c>
      <c r="BZ344" t="s">
        <v>1</v>
      </c>
      <c r="CA344" t="s">
        <v>1</v>
      </c>
      <c r="CB344" t="s">
        <v>3382</v>
      </c>
      <c r="CD344" t="str" cm="1">
        <f t="array" aca="1" ref="CD344" ca="1">eConcatenar(A344:CB344,"|")</f>
        <v>cIh7I6uzoOyUIfyD|CAR2019-0488|3|DIGNITY|TABASCO |CARDENAS|CARDENAS|2019-02-23|24500|0|200|50|1|0|0|0|0|0|0|0|0|0|0||0|0|0|HERNANDEZ||REBECA HERNANDEZ|SOLTERO|X|X|CARRETERA CARDENAS A VILLAHERMOSA |RANCHERIA MIAHUATLAN SEGUNDA SECCION |X|9373691513|X|X|X|CARRETERA CARDENAS A VILLAHERMOSA |X|LUNES|x|x|x|x|x|DOMICILIO |7700|16800|X|X|X|2022-02-16|2022-02-23|x|x|x|x|x|QX002LYO9KVTQO|x|HOMBRE|X|24500|X|X|X|X|X|X|X|X|CARDENAS|X|X|X|X|FINAL</v>
      </c>
    </row>
    <row r="345" spans="1:82" x14ac:dyDescent="0.25">
      <c r="A345" t="s">
        <v>799</v>
      </c>
      <c r="B345" t="s">
        <v>800</v>
      </c>
      <c r="C345">
        <v>3</v>
      </c>
      <c r="D345" t="s">
        <v>1368</v>
      </c>
      <c r="E345" t="s">
        <v>12</v>
      </c>
      <c r="F345" t="s">
        <v>0</v>
      </c>
      <c r="G345" t="s">
        <v>0</v>
      </c>
      <c r="H345" t="s">
        <v>1511</v>
      </c>
      <c r="I345">
        <v>24500</v>
      </c>
      <c r="J345">
        <v>0</v>
      </c>
      <c r="K345">
        <v>100</v>
      </c>
      <c r="L345">
        <v>50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Y345">
        <v>0</v>
      </c>
      <c r="Z345">
        <v>0</v>
      </c>
      <c r="AA345">
        <v>0</v>
      </c>
      <c r="AB345" t="s">
        <v>1727</v>
      </c>
      <c r="AC345" t="s">
        <v>1711</v>
      </c>
      <c r="AD345" t="s">
        <v>2159</v>
      </c>
      <c r="AE345" t="s">
        <v>4</v>
      </c>
      <c r="AF345" t="s">
        <v>1</v>
      </c>
      <c r="AG345" t="s">
        <v>1</v>
      </c>
      <c r="AH345" t="s">
        <v>2728</v>
      </c>
      <c r="AI345" t="s">
        <v>3137</v>
      </c>
      <c r="AJ345" t="s">
        <v>1</v>
      </c>
      <c r="AK345">
        <v>9371040283</v>
      </c>
      <c r="AL345" t="s">
        <v>1</v>
      </c>
      <c r="AM345" t="s">
        <v>1</v>
      </c>
      <c r="AN345" t="s">
        <v>1</v>
      </c>
      <c r="AO345" t="s">
        <v>2728</v>
      </c>
      <c r="AP345" t="s">
        <v>1</v>
      </c>
      <c r="AQ345" t="s">
        <v>2</v>
      </c>
      <c r="AR345" t="s">
        <v>3</v>
      </c>
      <c r="AS345" t="s">
        <v>3</v>
      </c>
      <c r="AT345" t="s">
        <v>3</v>
      </c>
      <c r="AU345" t="s">
        <v>3</v>
      </c>
      <c r="AV345" t="s">
        <v>3</v>
      </c>
      <c r="AW345" t="s">
        <v>11</v>
      </c>
      <c r="AX345">
        <f>Tabla1[[#This Row],[precio del paquete]]-Tabla1[[#This Row],[Saldo_Deudor]]</f>
        <v>3800</v>
      </c>
      <c r="AY345">
        <v>20700</v>
      </c>
      <c r="AZ345" t="s">
        <v>1</v>
      </c>
      <c r="BA345" t="s">
        <v>1</v>
      </c>
      <c r="BB345" t="s">
        <v>1</v>
      </c>
      <c r="BC345" t="s">
        <v>1406</v>
      </c>
      <c r="BD345" t="s">
        <v>3308</v>
      </c>
      <c r="BE345" t="s">
        <v>3</v>
      </c>
      <c r="BF345" t="s">
        <v>3</v>
      </c>
      <c r="BG345" t="s">
        <v>3</v>
      </c>
      <c r="BH345" t="s">
        <v>3</v>
      </c>
      <c r="BI345" t="s">
        <v>3</v>
      </c>
      <c r="BJ345" t="s">
        <v>3362</v>
      </c>
      <c r="BK345" t="s">
        <v>3</v>
      </c>
      <c r="BL345" t="s">
        <v>132</v>
      </c>
      <c r="BM345" t="s">
        <v>1</v>
      </c>
      <c r="BN345">
        <f>Tabla1[[#This Row],[precio del paquete]]</f>
        <v>24500</v>
      </c>
      <c r="BO345" t="s">
        <v>1</v>
      </c>
      <c r="BP345" t="s">
        <v>1</v>
      </c>
      <c r="BQ345" t="s">
        <v>1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0</v>
      </c>
      <c r="BX345" t="s">
        <v>1</v>
      </c>
      <c r="BY345" t="s">
        <v>1</v>
      </c>
      <c r="BZ345" t="s">
        <v>1</v>
      </c>
      <c r="CA345" t="s">
        <v>1</v>
      </c>
      <c r="CB345" t="s">
        <v>3382</v>
      </c>
      <c r="CD345" t="str" cm="1">
        <f t="array" aca="1" ref="CD345" ca="1">eConcatenar(A345:CB345,"|")</f>
        <v>k0aJN16vd3tdQ8Yo|CAR2021-5449|3|DIGNITY|TABASCO |CARDENAS|CARDENAS|2021-09-18|24500|0|100|50|1|0|0|0|0|0|0|0|0|0|0||0|0|0|RIVERA|HERNANDEZ|ETELVINA|SOLTERO|X|X|CARRETERA CARDENAS A VILLAHERMOSA |RANCHERIA MIAHUATLAN SEGUNDA SECCION |X|9371040283|X|X|X|CARRETERA CARDENAS A VILLAHERMOSA |X|LUNES|x|x|x|x|x|DOMICILIO |3800|20700|X|X|X|2022-02-16|2022-02-23|x|x|x|x|x|QX002LYO9KVTQO|x|HOMBRE|X|24500|X|X|X|X|X|X|X|X|CARDENAS|X|X|X|X|FINAL</v>
      </c>
    </row>
    <row r="346" spans="1:82" x14ac:dyDescent="0.25">
      <c r="A346" t="s">
        <v>801</v>
      </c>
      <c r="B346" t="s">
        <v>802</v>
      </c>
      <c r="C346">
        <v>3</v>
      </c>
      <c r="D346" t="s">
        <v>1369</v>
      </c>
      <c r="E346" t="s">
        <v>12</v>
      </c>
      <c r="F346" t="s">
        <v>0</v>
      </c>
      <c r="G346" t="s">
        <v>0</v>
      </c>
      <c r="H346" t="s">
        <v>1526</v>
      </c>
      <c r="I346">
        <v>14800</v>
      </c>
      <c r="J346">
        <v>0</v>
      </c>
      <c r="K346">
        <v>400</v>
      </c>
      <c r="L346">
        <v>50</v>
      </c>
      <c r="M346">
        <v>1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Y346">
        <v>0</v>
      </c>
      <c r="Z346">
        <v>0</v>
      </c>
      <c r="AA346">
        <v>0</v>
      </c>
      <c r="AB346" t="s">
        <v>1769</v>
      </c>
      <c r="AC346" t="s">
        <v>1708</v>
      </c>
      <c r="AD346" t="s">
        <v>2160</v>
      </c>
      <c r="AE346" t="s">
        <v>4</v>
      </c>
      <c r="AF346" t="s">
        <v>1</v>
      </c>
      <c r="AG346" t="s">
        <v>1</v>
      </c>
      <c r="AH346" t="s">
        <v>2729</v>
      </c>
      <c r="AI346" t="s">
        <v>3125</v>
      </c>
      <c r="AJ346" t="s">
        <v>1</v>
      </c>
      <c r="AK346">
        <v>9141217233</v>
      </c>
      <c r="AL346" t="s">
        <v>1</v>
      </c>
      <c r="AM346" t="s">
        <v>1</v>
      </c>
      <c r="AN346" t="s">
        <v>1</v>
      </c>
      <c r="AO346" t="s">
        <v>2729</v>
      </c>
      <c r="AP346" t="s">
        <v>1</v>
      </c>
      <c r="AQ346" t="s">
        <v>2</v>
      </c>
      <c r="AR346" t="s">
        <v>3</v>
      </c>
      <c r="AS346" t="s">
        <v>3</v>
      </c>
      <c r="AT346" t="s">
        <v>3</v>
      </c>
      <c r="AU346" t="s">
        <v>3</v>
      </c>
      <c r="AV346" t="s">
        <v>3</v>
      </c>
      <c r="AW346" t="s">
        <v>11</v>
      </c>
      <c r="AX346">
        <f>Tabla1[[#This Row],[precio del paquete]]-Tabla1[[#This Row],[Saldo_Deudor]]</f>
        <v>4600</v>
      </c>
      <c r="AY346">
        <v>10200</v>
      </c>
      <c r="AZ346" t="s">
        <v>1</v>
      </c>
      <c r="BA346" t="s">
        <v>1</v>
      </c>
      <c r="BB346" t="s">
        <v>1</v>
      </c>
      <c r="BC346" t="s">
        <v>1406</v>
      </c>
      <c r="BD346" t="s">
        <v>3308</v>
      </c>
      <c r="BE346" t="s">
        <v>3</v>
      </c>
      <c r="BF346" t="s">
        <v>3</v>
      </c>
      <c r="BG346" t="s">
        <v>3</v>
      </c>
      <c r="BH346" t="s">
        <v>3</v>
      </c>
      <c r="BI346" t="s">
        <v>3</v>
      </c>
      <c r="BJ346" t="s">
        <v>3362</v>
      </c>
      <c r="BK346" t="s">
        <v>3</v>
      </c>
      <c r="BL346" t="s">
        <v>132</v>
      </c>
      <c r="BM346" t="s">
        <v>1</v>
      </c>
      <c r="BN346">
        <f>Tabla1[[#This Row],[precio del paquete]]</f>
        <v>14800</v>
      </c>
      <c r="BO346" t="s">
        <v>1</v>
      </c>
      <c r="BP346" t="s">
        <v>1</v>
      </c>
      <c r="BQ346" t="s">
        <v>1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0</v>
      </c>
      <c r="BX346" t="s">
        <v>1</v>
      </c>
      <c r="BY346" t="s">
        <v>1</v>
      </c>
      <c r="BZ346" t="s">
        <v>1</v>
      </c>
      <c r="CA346" t="s">
        <v>1</v>
      </c>
      <c r="CB346" t="s">
        <v>3382</v>
      </c>
      <c r="CD346" t="str" cm="1">
        <f t="array" aca="1" ref="CD346" ca="1">eConcatenar(A346:CB346,"|")</f>
        <v>uISZSVtS2baSSBY9|CAR2021-3463|3|MEMORIAL|TABASCO |CARDENAS|CARDENAS|2021-07-13|14800|0|400|50|1|0|0|0|0|0|0|0|0|0|0||0|0|0|TORRES||CARMELA TORRES|SOLTERO|X|X|CARRETERA VIA CORTA A HUIMANGUILLO |RANCHERIA CUCUYULAPA SEGUNDA SECCION PUENTE SAMARIA|X|9141217233|X|X|X|CARRETERA VIA CORTA A HUIMANGUILLO |X|LUNES|x|x|x|x|x|DOMICILIO |4600|10200|X|X|X|2022-02-16|2022-02-23|x|x|x|x|x|QX002LYO9KVTQO|x|HOMBRE|X|14800|X|X|X|X|X|X|X|X|CARDENAS|X|X|X|X|FINAL</v>
      </c>
    </row>
    <row r="347" spans="1:82" x14ac:dyDescent="0.25">
      <c r="A347" t="s">
        <v>803</v>
      </c>
      <c r="B347" t="s">
        <v>207</v>
      </c>
      <c r="C347">
        <v>3</v>
      </c>
      <c r="D347" t="s">
        <v>1369</v>
      </c>
      <c r="E347" t="s">
        <v>12</v>
      </c>
      <c r="F347" t="s">
        <v>0</v>
      </c>
      <c r="G347" t="s">
        <v>0</v>
      </c>
      <c r="H347" t="s">
        <v>1386</v>
      </c>
      <c r="I347">
        <v>14800</v>
      </c>
      <c r="J347">
        <v>0</v>
      </c>
      <c r="K347">
        <v>50</v>
      </c>
      <c r="L347">
        <v>50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Y347">
        <v>0</v>
      </c>
      <c r="Z347">
        <v>0</v>
      </c>
      <c r="AA347">
        <v>0</v>
      </c>
      <c r="AB347" t="s">
        <v>1763</v>
      </c>
      <c r="AC347" t="s">
        <v>1708</v>
      </c>
      <c r="AD347" t="s">
        <v>2161</v>
      </c>
      <c r="AE347" t="s">
        <v>4</v>
      </c>
      <c r="AF347" t="s">
        <v>1</v>
      </c>
      <c r="AG347" t="s">
        <v>1</v>
      </c>
      <c r="AH347" t="s">
        <v>2730</v>
      </c>
      <c r="AI347" t="s">
        <v>3109</v>
      </c>
      <c r="AJ347" t="s">
        <v>1</v>
      </c>
      <c r="AK347">
        <v>9984859868</v>
      </c>
      <c r="AL347" t="s">
        <v>1</v>
      </c>
      <c r="AM347" t="s">
        <v>1</v>
      </c>
      <c r="AN347" t="s">
        <v>1</v>
      </c>
      <c r="AO347" t="s">
        <v>2730</v>
      </c>
      <c r="AP347" t="s">
        <v>1</v>
      </c>
      <c r="AQ347" t="s">
        <v>2</v>
      </c>
      <c r="AR347" t="s">
        <v>3</v>
      </c>
      <c r="AS347" t="s">
        <v>3</v>
      </c>
      <c r="AT347" t="s">
        <v>3</v>
      </c>
      <c r="AU347" t="s">
        <v>3</v>
      </c>
      <c r="AV347" t="s">
        <v>3</v>
      </c>
      <c r="AW347" t="s">
        <v>11</v>
      </c>
      <c r="AX347">
        <f>Tabla1[[#This Row],[precio del paquete]]-Tabla1[[#This Row],[Saldo_Deudor]]</f>
        <v>250</v>
      </c>
      <c r="AY347">
        <v>14550</v>
      </c>
      <c r="AZ347" t="s">
        <v>1</v>
      </c>
      <c r="BA347" t="s">
        <v>1</v>
      </c>
      <c r="BB347" t="s">
        <v>1</v>
      </c>
      <c r="BC347" t="s">
        <v>1406</v>
      </c>
      <c r="BD347" t="s">
        <v>3308</v>
      </c>
      <c r="BE347" t="s">
        <v>3</v>
      </c>
      <c r="BF347" t="s">
        <v>3</v>
      </c>
      <c r="BG347" t="s">
        <v>3</v>
      </c>
      <c r="BH347" t="s">
        <v>3</v>
      </c>
      <c r="BI347" t="s">
        <v>3</v>
      </c>
      <c r="BJ347" t="s">
        <v>3362</v>
      </c>
      <c r="BK347" t="s">
        <v>3</v>
      </c>
      <c r="BL347" t="s">
        <v>132</v>
      </c>
      <c r="BM347" t="s">
        <v>1</v>
      </c>
      <c r="BN347">
        <f>Tabla1[[#This Row],[precio del paquete]]</f>
        <v>14800</v>
      </c>
      <c r="BO347" t="s">
        <v>1</v>
      </c>
      <c r="BP347" t="s">
        <v>1</v>
      </c>
      <c r="BQ347" t="s">
        <v>1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0</v>
      </c>
      <c r="BX347" t="s">
        <v>1</v>
      </c>
      <c r="BY347" t="s">
        <v>1</v>
      </c>
      <c r="BZ347" t="s">
        <v>1</v>
      </c>
      <c r="CA347" t="s">
        <v>1</v>
      </c>
      <c r="CB347" t="s">
        <v>3382</v>
      </c>
      <c r="CD347" t="str" cm="1">
        <f t="array" aca="1" ref="CD347" ca="1">eConcatenar(A347:CB347,"|")</f>
        <v>JLhyUNyMqjiyC6eZ|CAR2022-0497|3|MEMORIAL|TABASCO |CARDENAS|CARDENAS|2022-01-29|14800|0|50|50|1|0|0|0|0|0|0|0|0|0|0||0|0|0|DE LA O||LAURA ROMERO|SOLTERO|X|X|CALLE SIN NUMERO |RANCHERIA HABANERO PRIMERA SECCION (VENUSTIANO)|X|9984859868|X|X|X|CALLE SIN NUMERO |X|LUNES|x|x|x|x|x|DOMICILIO |250|14550|X|X|X|2022-02-16|2022-02-23|x|x|x|x|x|QX002LYO9KVTQO|x|HOMBRE|X|14800|X|X|X|X|X|X|X|X|CARDENAS|X|X|X|X|FINAL</v>
      </c>
    </row>
    <row r="348" spans="1:82" x14ac:dyDescent="0.25">
      <c r="A348" t="s">
        <v>804</v>
      </c>
      <c r="B348" t="s">
        <v>209</v>
      </c>
      <c r="C348">
        <v>3</v>
      </c>
      <c r="D348" t="s">
        <v>1369</v>
      </c>
      <c r="E348" t="s">
        <v>12</v>
      </c>
      <c r="F348" t="s">
        <v>0</v>
      </c>
      <c r="G348" t="s">
        <v>0</v>
      </c>
      <c r="H348" t="s">
        <v>1387</v>
      </c>
      <c r="I348">
        <v>14800</v>
      </c>
      <c r="J348">
        <v>0</v>
      </c>
      <c r="K348">
        <v>100</v>
      </c>
      <c r="L348">
        <v>50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Y348">
        <v>0</v>
      </c>
      <c r="Z348">
        <v>0</v>
      </c>
      <c r="AA348">
        <v>0</v>
      </c>
      <c r="AB348" t="s">
        <v>1711</v>
      </c>
      <c r="AC348" t="s">
        <v>1708</v>
      </c>
      <c r="AD348" t="s">
        <v>2162</v>
      </c>
      <c r="AE348" t="s">
        <v>4</v>
      </c>
      <c r="AF348" t="s">
        <v>1</v>
      </c>
      <c r="AG348" t="s">
        <v>1</v>
      </c>
      <c r="AH348" t="s">
        <v>2731</v>
      </c>
      <c r="AI348" t="s">
        <v>3109</v>
      </c>
      <c r="AJ348" t="s">
        <v>1</v>
      </c>
      <c r="AK348">
        <v>9371202707</v>
      </c>
      <c r="AL348" t="s">
        <v>1</v>
      </c>
      <c r="AM348" t="s">
        <v>1</v>
      </c>
      <c r="AN348" t="s">
        <v>1</v>
      </c>
      <c r="AO348" t="s">
        <v>2731</v>
      </c>
      <c r="AP348" t="s">
        <v>1</v>
      </c>
      <c r="AQ348" t="s">
        <v>2</v>
      </c>
      <c r="AR348" t="s">
        <v>3</v>
      </c>
      <c r="AS348" t="s">
        <v>3</v>
      </c>
      <c r="AT348" t="s">
        <v>3</v>
      </c>
      <c r="AU348" t="s">
        <v>3</v>
      </c>
      <c r="AV348" t="s">
        <v>3</v>
      </c>
      <c r="AW348" t="s">
        <v>11</v>
      </c>
      <c r="AX348">
        <f>Tabla1[[#This Row],[precio del paquete]]-Tabla1[[#This Row],[Saldo_Deudor]]</f>
        <v>300</v>
      </c>
      <c r="AY348">
        <v>14500</v>
      </c>
      <c r="AZ348" t="s">
        <v>1</v>
      </c>
      <c r="BA348" t="s">
        <v>1</v>
      </c>
      <c r="BB348" t="s">
        <v>1</v>
      </c>
      <c r="BC348" t="s">
        <v>1406</v>
      </c>
      <c r="BD348" t="s">
        <v>3308</v>
      </c>
      <c r="BE348" t="s">
        <v>3</v>
      </c>
      <c r="BF348" t="s">
        <v>3</v>
      </c>
      <c r="BG348" t="s">
        <v>3</v>
      </c>
      <c r="BH348" t="s">
        <v>3</v>
      </c>
      <c r="BI348" t="s">
        <v>3</v>
      </c>
      <c r="BJ348" t="s">
        <v>3362</v>
      </c>
      <c r="BK348" t="s">
        <v>3</v>
      </c>
      <c r="BL348" t="s">
        <v>132</v>
      </c>
      <c r="BM348" t="s">
        <v>1</v>
      </c>
      <c r="BN348">
        <f>Tabla1[[#This Row],[precio del paquete]]</f>
        <v>14800</v>
      </c>
      <c r="BO348" t="s">
        <v>1</v>
      </c>
      <c r="BP348" t="s">
        <v>1</v>
      </c>
      <c r="BQ348" t="s">
        <v>1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0</v>
      </c>
      <c r="BX348" t="s">
        <v>1</v>
      </c>
      <c r="BY348" t="s">
        <v>1</v>
      </c>
      <c r="BZ348" t="s">
        <v>1</v>
      </c>
      <c r="CA348" t="s">
        <v>1</v>
      </c>
      <c r="CB348" t="s">
        <v>3382</v>
      </c>
      <c r="CD348" t="str" cm="1">
        <f t="array" aca="1" ref="CD348" ca="1">eConcatenar(A348:CB348,"|")</f>
        <v>TqJ08Bd9601ri7LO|CAR2022-0614|3|MEMORIAL|TABASCO |CARDENAS|CARDENAS|2022-01-31|14800|0|100|50|1|0|0|0|0|0|0|0|0|0|0||0|0|0|HERNANDEZ||PEDRO PEREZ|SOLTERO|X|X|CALLE NUMERO 1 |RANCHERIA HABANERO PRIMERA SECCION (VENUSTIANO)|X|9371202707|X|X|X|CALLE NUMERO 1 |X|LUNES|x|x|x|x|x|DOMICILIO |300|14500|X|X|X|2022-02-16|2022-02-23|x|x|x|x|x|QX002LYO9KVTQO|x|HOMBRE|X|14800|X|X|X|X|X|X|X|X|CARDENAS|X|X|X|X|FINAL</v>
      </c>
    </row>
    <row r="349" spans="1:82" x14ac:dyDescent="0.25">
      <c r="A349" t="s">
        <v>805</v>
      </c>
      <c r="B349" t="s">
        <v>806</v>
      </c>
      <c r="C349">
        <v>3</v>
      </c>
      <c r="D349" t="s">
        <v>1369</v>
      </c>
      <c r="E349" t="s">
        <v>12</v>
      </c>
      <c r="F349" t="s">
        <v>0</v>
      </c>
      <c r="G349" t="s">
        <v>0</v>
      </c>
      <c r="H349" t="s">
        <v>1453</v>
      </c>
      <c r="I349">
        <v>14800</v>
      </c>
      <c r="J349">
        <v>0</v>
      </c>
      <c r="K349">
        <v>100</v>
      </c>
      <c r="L349">
        <v>50</v>
      </c>
      <c r="M349">
        <v>1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Y349">
        <v>0</v>
      </c>
      <c r="Z349">
        <v>0</v>
      </c>
      <c r="AA349">
        <v>0</v>
      </c>
      <c r="AB349" t="s">
        <v>2064</v>
      </c>
      <c r="AC349" t="s">
        <v>1708</v>
      </c>
      <c r="AD349" t="s">
        <v>2163</v>
      </c>
      <c r="AE349" t="s">
        <v>4</v>
      </c>
      <c r="AF349" t="s">
        <v>1</v>
      </c>
      <c r="AG349" t="s">
        <v>1</v>
      </c>
      <c r="AH349" t="s">
        <v>2732</v>
      </c>
      <c r="AI349" t="s">
        <v>3123</v>
      </c>
      <c r="AJ349" t="s">
        <v>1</v>
      </c>
      <c r="AK349">
        <v>9371630219</v>
      </c>
      <c r="AL349" t="s">
        <v>1</v>
      </c>
      <c r="AM349" t="s">
        <v>1</v>
      </c>
      <c r="AN349" t="s">
        <v>1</v>
      </c>
      <c r="AO349" t="s">
        <v>2732</v>
      </c>
      <c r="AP349" t="s">
        <v>1</v>
      </c>
      <c r="AQ349" t="s">
        <v>2</v>
      </c>
      <c r="AR349" t="s">
        <v>3</v>
      </c>
      <c r="AS349" t="s">
        <v>3</v>
      </c>
      <c r="AT349" t="s">
        <v>3</v>
      </c>
      <c r="AU349" t="s">
        <v>3</v>
      </c>
      <c r="AV349" t="s">
        <v>3</v>
      </c>
      <c r="AW349" t="s">
        <v>11</v>
      </c>
      <c r="AX349">
        <f>Tabla1[[#This Row],[precio del paquete]]-Tabla1[[#This Row],[Saldo_Deudor]]</f>
        <v>1100</v>
      </c>
      <c r="AY349">
        <v>13700</v>
      </c>
      <c r="AZ349" t="s">
        <v>1</v>
      </c>
      <c r="BA349" t="s">
        <v>1</v>
      </c>
      <c r="BB349" t="s">
        <v>1</v>
      </c>
      <c r="BC349" t="s">
        <v>1406</v>
      </c>
      <c r="BD349" t="s">
        <v>3308</v>
      </c>
      <c r="BE349" t="s">
        <v>3</v>
      </c>
      <c r="BF349" t="s">
        <v>3</v>
      </c>
      <c r="BG349" t="s">
        <v>3</v>
      </c>
      <c r="BH349" t="s">
        <v>3</v>
      </c>
      <c r="BI349" t="s">
        <v>3</v>
      </c>
      <c r="BJ349" t="s">
        <v>3362</v>
      </c>
      <c r="BK349" t="s">
        <v>3</v>
      </c>
      <c r="BL349" t="s">
        <v>132</v>
      </c>
      <c r="BM349" t="s">
        <v>1</v>
      </c>
      <c r="BN349">
        <f>Tabla1[[#This Row],[precio del paquete]]</f>
        <v>14800</v>
      </c>
      <c r="BO349" t="s">
        <v>1</v>
      </c>
      <c r="BP349" t="s">
        <v>1</v>
      </c>
      <c r="BQ349" t="s">
        <v>1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0</v>
      </c>
      <c r="BX349" t="s">
        <v>1</v>
      </c>
      <c r="BY349" t="s">
        <v>1</v>
      </c>
      <c r="BZ349" t="s">
        <v>1</v>
      </c>
      <c r="CA349" t="s">
        <v>1</v>
      </c>
      <c r="CB349" t="s">
        <v>3382</v>
      </c>
      <c r="CD349" t="str" cm="1">
        <f t="array" aca="1" ref="CD349" ca="1">eConcatenar(A349:CB349,"|")</f>
        <v>5x3qs3aJPvX13YJV|CAR2021-7004|3|MEMORIAL|TABASCO |CARDENAS|CARDENAS|2021-11-16|14800|0|100|50|1|0|0|0|0|0|0|0|0|0|0||0|0|0|MONTIEL||JAVIER GARCIA|SOLTERO|X|X|CALLE 27 DE FEBRERO |COLONIA EL BAJIO PRIMERA SECCION |X|9371630219|X|X|X|CALLE 27 DE FEBRERO |X|LUNES|x|x|x|x|x|DOMICILIO |1100|13700|X|X|X|2022-02-16|2022-02-23|x|x|x|x|x|QX002LYO9KVTQO|x|HOMBRE|X|14800|X|X|X|X|X|X|X|X|CARDENAS|X|X|X|X|FINAL</v>
      </c>
    </row>
    <row r="350" spans="1:82" x14ac:dyDescent="0.25">
      <c r="A350" t="s">
        <v>807</v>
      </c>
      <c r="B350" t="s">
        <v>808</v>
      </c>
      <c r="C350">
        <v>3</v>
      </c>
      <c r="D350" t="s">
        <v>121</v>
      </c>
      <c r="E350" t="s">
        <v>12</v>
      </c>
      <c r="F350" t="s">
        <v>0</v>
      </c>
      <c r="G350" t="s">
        <v>0</v>
      </c>
      <c r="H350" t="s">
        <v>1527</v>
      </c>
      <c r="I350">
        <v>12900</v>
      </c>
      <c r="J350">
        <v>0</v>
      </c>
      <c r="K350">
        <v>200</v>
      </c>
      <c r="L350">
        <v>50</v>
      </c>
      <c r="M350">
        <v>1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Y350">
        <v>0</v>
      </c>
      <c r="Z350">
        <v>0</v>
      </c>
      <c r="AA350">
        <v>0</v>
      </c>
      <c r="AB350" t="s">
        <v>1989</v>
      </c>
      <c r="AC350" t="s">
        <v>1748</v>
      </c>
      <c r="AD350" t="s">
        <v>2164</v>
      </c>
      <c r="AE350" t="s">
        <v>4</v>
      </c>
      <c r="AF350" t="s">
        <v>1</v>
      </c>
      <c r="AG350" t="s">
        <v>1</v>
      </c>
      <c r="AH350" t="s">
        <v>2733</v>
      </c>
      <c r="AI350" t="s">
        <v>3123</v>
      </c>
      <c r="AJ350" t="s">
        <v>1</v>
      </c>
      <c r="AK350">
        <v>9371268072</v>
      </c>
      <c r="AL350" t="s">
        <v>1</v>
      </c>
      <c r="AM350" t="s">
        <v>1</v>
      </c>
      <c r="AN350" t="s">
        <v>1</v>
      </c>
      <c r="AO350" t="s">
        <v>2733</v>
      </c>
      <c r="AP350" t="s">
        <v>1</v>
      </c>
      <c r="AQ350" t="s">
        <v>2</v>
      </c>
      <c r="AR350" t="s">
        <v>3</v>
      </c>
      <c r="AS350" t="s">
        <v>3</v>
      </c>
      <c r="AT350" t="s">
        <v>3</v>
      </c>
      <c r="AU350" t="s">
        <v>3</v>
      </c>
      <c r="AV350" t="s">
        <v>3</v>
      </c>
      <c r="AW350" t="s">
        <v>11</v>
      </c>
      <c r="AX350">
        <f>Tabla1[[#This Row],[precio del paquete]]-Tabla1[[#This Row],[Saldo_Deudor]]</f>
        <v>8800</v>
      </c>
      <c r="AY350">
        <v>4100</v>
      </c>
      <c r="AZ350" t="s">
        <v>1</v>
      </c>
      <c r="BA350" t="s">
        <v>1</v>
      </c>
      <c r="BB350" t="s">
        <v>1</v>
      </c>
      <c r="BC350" t="s">
        <v>1406</v>
      </c>
      <c r="BD350" t="s">
        <v>3308</v>
      </c>
      <c r="BE350" t="s">
        <v>3</v>
      </c>
      <c r="BF350" t="s">
        <v>3</v>
      </c>
      <c r="BG350" t="s">
        <v>3</v>
      </c>
      <c r="BH350" t="s">
        <v>3</v>
      </c>
      <c r="BI350" t="s">
        <v>3</v>
      </c>
      <c r="BJ350" t="s">
        <v>3362</v>
      </c>
      <c r="BK350" t="s">
        <v>3</v>
      </c>
      <c r="BL350" t="s">
        <v>132</v>
      </c>
      <c r="BM350" t="s">
        <v>1</v>
      </c>
      <c r="BN350">
        <f>Tabla1[[#This Row],[precio del paquete]]</f>
        <v>12900</v>
      </c>
      <c r="BO350" t="s">
        <v>1</v>
      </c>
      <c r="BP350" t="s">
        <v>1</v>
      </c>
      <c r="BQ350" t="s">
        <v>1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0</v>
      </c>
      <c r="BX350" t="s">
        <v>1</v>
      </c>
      <c r="BY350" t="s">
        <v>1</v>
      </c>
      <c r="BZ350" t="s">
        <v>1</v>
      </c>
      <c r="CA350" t="s">
        <v>1</v>
      </c>
      <c r="CB350" t="s">
        <v>3382</v>
      </c>
      <c r="CD350" t="str" cm="1">
        <f t="array" aca="1" ref="CD350" ca="1">eConcatenar(A350:CB350,"|")</f>
        <v>9RG1xz3mksaoijFO|CAR2019-3344|3|IMPERIAL DE LUJO |TABASCO |CARDENAS|CARDENAS|2020-11-04|12900|0|200|50|1|0|0|0|0|0|0|0|0|0|0||0|0|0|TRINIDAD|JIMENEZ|TILA DEL CARMEN|SOLTERO|X|X|BAJIO PRIMERA SECCION |COLONIA EL BAJIO PRIMERA SECCION |X|9371268072|X|X|X|BAJIO PRIMERA SECCION |X|LUNES|x|x|x|x|x|DOMICILIO |8800|4100|X|X|X|2022-02-16|2022-02-23|x|x|x|x|x|QX002LYO9KVTQO|x|HOMBRE|X|12900|X|X|X|X|X|X|X|X|CARDENAS|X|X|X|X|FINAL</v>
      </c>
    </row>
    <row r="351" spans="1:82" x14ac:dyDescent="0.25">
      <c r="A351" t="s">
        <v>809</v>
      </c>
      <c r="B351" t="s">
        <v>810</v>
      </c>
      <c r="C351">
        <v>3</v>
      </c>
      <c r="D351" t="s">
        <v>1375</v>
      </c>
      <c r="E351" t="s">
        <v>12</v>
      </c>
      <c r="F351" t="s">
        <v>0</v>
      </c>
      <c r="G351" t="s">
        <v>0</v>
      </c>
      <c r="H351" t="s">
        <v>1528</v>
      </c>
      <c r="I351">
        <v>19800</v>
      </c>
      <c r="J351">
        <v>0</v>
      </c>
      <c r="K351">
        <v>200</v>
      </c>
      <c r="L351">
        <v>50</v>
      </c>
      <c r="M351">
        <v>1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Y351">
        <v>0</v>
      </c>
      <c r="Z351">
        <v>0</v>
      </c>
      <c r="AA351">
        <v>0</v>
      </c>
      <c r="AB351" t="s">
        <v>1812</v>
      </c>
      <c r="AC351" t="s">
        <v>1708</v>
      </c>
      <c r="AD351" t="s">
        <v>2165</v>
      </c>
      <c r="AE351" t="s">
        <v>4</v>
      </c>
      <c r="AF351" t="s">
        <v>1</v>
      </c>
      <c r="AG351" t="s">
        <v>1</v>
      </c>
      <c r="AH351" t="s">
        <v>2734</v>
      </c>
      <c r="AI351" t="s">
        <v>3124</v>
      </c>
      <c r="AJ351" t="s">
        <v>1</v>
      </c>
      <c r="AK351">
        <v>9373789271</v>
      </c>
      <c r="AL351" t="s">
        <v>1</v>
      </c>
      <c r="AM351" t="s">
        <v>1</v>
      </c>
      <c r="AN351" t="s">
        <v>1</v>
      </c>
      <c r="AO351" t="s">
        <v>2734</v>
      </c>
      <c r="AP351" t="s">
        <v>1</v>
      </c>
      <c r="AQ351" t="s">
        <v>2</v>
      </c>
      <c r="AR351" t="s">
        <v>3</v>
      </c>
      <c r="AS351" t="s">
        <v>3</v>
      </c>
      <c r="AT351" t="s">
        <v>3</v>
      </c>
      <c r="AU351" t="s">
        <v>3</v>
      </c>
      <c r="AV351" t="s">
        <v>3</v>
      </c>
      <c r="AW351" t="s">
        <v>11</v>
      </c>
      <c r="AX351">
        <f>Tabla1[[#This Row],[precio del paquete]]-Tabla1[[#This Row],[Saldo_Deudor]]</f>
        <v>8800</v>
      </c>
      <c r="AY351">
        <v>11000</v>
      </c>
      <c r="AZ351" t="s">
        <v>1</v>
      </c>
      <c r="BA351" t="s">
        <v>1</v>
      </c>
      <c r="BB351" t="s">
        <v>1</v>
      </c>
      <c r="BC351" t="s">
        <v>1406</v>
      </c>
      <c r="BD351" t="s">
        <v>3308</v>
      </c>
      <c r="BE351" t="s">
        <v>3</v>
      </c>
      <c r="BF351" t="s">
        <v>3</v>
      </c>
      <c r="BG351" t="s">
        <v>3</v>
      </c>
      <c r="BH351" t="s">
        <v>3</v>
      </c>
      <c r="BI351" t="s">
        <v>3</v>
      </c>
      <c r="BJ351" t="s">
        <v>3362</v>
      </c>
      <c r="BK351" t="s">
        <v>3</v>
      </c>
      <c r="BL351" t="s">
        <v>132</v>
      </c>
      <c r="BM351" t="s">
        <v>1</v>
      </c>
      <c r="BN351">
        <f>Tabla1[[#This Row],[precio del paquete]]</f>
        <v>19800</v>
      </c>
      <c r="BO351" t="s">
        <v>1</v>
      </c>
      <c r="BP351" t="s">
        <v>1</v>
      </c>
      <c r="BQ351" t="s">
        <v>1</v>
      </c>
      <c r="BR351" t="s">
        <v>1</v>
      </c>
      <c r="BS351" t="s">
        <v>1</v>
      </c>
      <c r="BT351" t="s">
        <v>1</v>
      </c>
      <c r="BU351" t="s">
        <v>1</v>
      </c>
      <c r="BV351" t="s">
        <v>1</v>
      </c>
      <c r="BW351" t="s">
        <v>0</v>
      </c>
      <c r="BX351" t="s">
        <v>1</v>
      </c>
      <c r="BY351" t="s">
        <v>1</v>
      </c>
      <c r="BZ351" t="s">
        <v>1</v>
      </c>
      <c r="CA351" t="s">
        <v>1</v>
      </c>
      <c r="CB351" t="s">
        <v>3382</v>
      </c>
      <c r="CD351" t="str" cm="1">
        <f t="array" aca="1" ref="CD351" ca="1">eConcatenar(A351:CB351,"|")</f>
        <v>yAbX5fxCgEGXACVG|CAR2019-3507|3|ZAFIRO |TABASCO |CARDENAS|CARDENAS|2019-11-15|19800|0|200|50|1|0|0|0|0|0|0|0|0|0|0||0|0|0|SANCHEZ||PEDRO GONZALES|SOLTERO|X|X|ENTRADA AL UVERO|EJIDO CARDENAS SEGUNDA SECCION |X|9373789271|X|X|X|ENTRADA AL UVERO|X|LUNES|x|x|x|x|x|DOMICILIO |8800|11000|X|X|X|2022-02-16|2022-02-23|x|x|x|x|x|QX002LYO9KVTQO|x|HOMBRE|X|19800|X|X|X|X|X|X|X|X|CARDENAS|X|X|X|X|FINAL</v>
      </c>
    </row>
    <row r="352" spans="1:82" x14ac:dyDescent="0.25">
      <c r="A352" t="s">
        <v>811</v>
      </c>
      <c r="B352" t="s">
        <v>812</v>
      </c>
      <c r="C352">
        <v>3</v>
      </c>
      <c r="D352" t="s">
        <v>121</v>
      </c>
      <c r="E352" t="s">
        <v>12</v>
      </c>
      <c r="F352" t="s">
        <v>0</v>
      </c>
      <c r="G352" t="s">
        <v>0</v>
      </c>
      <c r="H352" t="s">
        <v>1411</v>
      </c>
      <c r="I352">
        <v>12900</v>
      </c>
      <c r="J352">
        <v>0</v>
      </c>
      <c r="K352">
        <v>200</v>
      </c>
      <c r="L352">
        <v>50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Y352">
        <v>0</v>
      </c>
      <c r="Z352">
        <v>0</v>
      </c>
      <c r="AA352">
        <v>0</v>
      </c>
      <c r="AB352" t="s">
        <v>1695</v>
      </c>
      <c r="AC352" t="s">
        <v>1708</v>
      </c>
      <c r="AD352" t="s">
        <v>2166</v>
      </c>
      <c r="AE352" t="s">
        <v>4</v>
      </c>
      <c r="AF352" t="s">
        <v>1</v>
      </c>
      <c r="AG352" t="s">
        <v>1</v>
      </c>
      <c r="AH352" t="s">
        <v>2735</v>
      </c>
      <c r="AI352" t="s">
        <v>3138</v>
      </c>
      <c r="AJ352" t="s">
        <v>1</v>
      </c>
      <c r="AK352">
        <v>9371300858</v>
      </c>
      <c r="AL352" t="s">
        <v>1</v>
      </c>
      <c r="AM352" t="s">
        <v>1</v>
      </c>
      <c r="AN352" t="s">
        <v>1</v>
      </c>
      <c r="AO352" t="s">
        <v>2735</v>
      </c>
      <c r="AP352" t="s">
        <v>1</v>
      </c>
      <c r="AQ352" t="s">
        <v>2</v>
      </c>
      <c r="AR352" t="s">
        <v>3</v>
      </c>
      <c r="AS352" t="s">
        <v>3</v>
      </c>
      <c r="AT352" t="s">
        <v>3</v>
      </c>
      <c r="AU352" t="s">
        <v>3</v>
      </c>
      <c r="AV352" t="s">
        <v>3</v>
      </c>
      <c r="AW352" t="s">
        <v>11</v>
      </c>
      <c r="AX352">
        <f>Tabla1[[#This Row],[precio del paquete]]-Tabla1[[#This Row],[Saldo_Deudor]]</f>
        <v>4000</v>
      </c>
      <c r="AY352">
        <v>8900</v>
      </c>
      <c r="AZ352" t="s">
        <v>1</v>
      </c>
      <c r="BA352" t="s">
        <v>1</v>
      </c>
      <c r="BB352" t="s">
        <v>1</v>
      </c>
      <c r="BC352" t="s">
        <v>1406</v>
      </c>
      <c r="BD352" t="s">
        <v>3308</v>
      </c>
      <c r="BE352" t="s">
        <v>3</v>
      </c>
      <c r="BF352" t="s">
        <v>3</v>
      </c>
      <c r="BG352" t="s">
        <v>3</v>
      </c>
      <c r="BH352" t="s">
        <v>3</v>
      </c>
      <c r="BI352" t="s">
        <v>3</v>
      </c>
      <c r="BJ352" t="s">
        <v>3362</v>
      </c>
      <c r="BK352" t="s">
        <v>3</v>
      </c>
      <c r="BL352" t="s">
        <v>132</v>
      </c>
      <c r="BM352" t="s">
        <v>1</v>
      </c>
      <c r="BN352">
        <f>Tabla1[[#This Row],[precio del paquete]]</f>
        <v>12900</v>
      </c>
      <c r="BO352" t="s">
        <v>1</v>
      </c>
      <c r="BP352" t="s">
        <v>1</v>
      </c>
      <c r="BQ352" t="s">
        <v>1</v>
      </c>
      <c r="BR352" t="s">
        <v>1</v>
      </c>
      <c r="BS352" t="s">
        <v>1</v>
      </c>
      <c r="BT352" t="s">
        <v>1</v>
      </c>
      <c r="BU352" t="s">
        <v>1</v>
      </c>
      <c r="BV352" t="s">
        <v>1</v>
      </c>
      <c r="BW352" t="s">
        <v>0</v>
      </c>
      <c r="BX352" t="s">
        <v>1</v>
      </c>
      <c r="BY352" t="s">
        <v>1</v>
      </c>
      <c r="BZ352" t="s">
        <v>1</v>
      </c>
      <c r="CA352" t="s">
        <v>1</v>
      </c>
      <c r="CB352" t="s">
        <v>3382</v>
      </c>
      <c r="CD352" t="str" cm="1">
        <f t="array" aca="1" ref="CD352" ca="1">eConcatenar(A352:CB352,"|")</f>
        <v>5kXSkcLL63xKoGsm|CAR2020-5421|3|IMPERIAL DE LUJO |TABASCO |CARDENAS|CARDENAS|2020-12-15|12900|0|200|50|1|0|0|0|0|0|0|0|0|0|0||0|0|0|MORALES||ANANIAS|SOLTERO|X|X|CALLE PRINCIPAL|EJIDO MARIN|X|9371300858|X|X|X|CALLE PRINCIPAL|X|LUNES|x|x|x|x|x|DOMICILIO |4000|8900|X|X|X|2022-02-16|2022-02-23|x|x|x|x|x|QX002LYO9KVTQO|x|HOMBRE|X|12900|X|X|X|X|X|X|X|X|CARDENAS|X|X|X|X|FINAL</v>
      </c>
    </row>
    <row r="353" spans="1:82" x14ac:dyDescent="0.25">
      <c r="A353" t="s">
        <v>813</v>
      </c>
      <c r="B353" t="s">
        <v>814</v>
      </c>
      <c r="C353">
        <v>3</v>
      </c>
      <c r="D353" t="s">
        <v>1369</v>
      </c>
      <c r="E353" t="s">
        <v>1380</v>
      </c>
      <c r="F353" t="s">
        <v>1384</v>
      </c>
      <c r="G353" t="s">
        <v>1384</v>
      </c>
      <c r="H353" t="s">
        <v>1529</v>
      </c>
      <c r="I353">
        <v>14800</v>
      </c>
      <c r="J353">
        <v>0</v>
      </c>
      <c r="K353">
        <v>100</v>
      </c>
      <c r="L353">
        <v>50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Y353">
        <v>0</v>
      </c>
      <c r="Z353">
        <v>0</v>
      </c>
      <c r="AA353">
        <v>0</v>
      </c>
      <c r="AB353" t="s">
        <v>7</v>
      </c>
      <c r="AC353" t="s">
        <v>1699</v>
      </c>
      <c r="AD353" t="s">
        <v>2167</v>
      </c>
      <c r="AE353" t="s">
        <v>4</v>
      </c>
      <c r="AF353" t="s">
        <v>1</v>
      </c>
      <c r="AG353" t="s">
        <v>1</v>
      </c>
      <c r="AH353" t="s">
        <v>2736</v>
      </c>
      <c r="AI353" t="s">
        <v>1</v>
      </c>
      <c r="AJ353" t="s">
        <v>1</v>
      </c>
      <c r="AK353">
        <v>9331050105</v>
      </c>
      <c r="AL353" t="s">
        <v>1</v>
      </c>
      <c r="AM353" t="s">
        <v>1</v>
      </c>
      <c r="AN353" t="s">
        <v>1</v>
      </c>
      <c r="AO353" t="s">
        <v>2736</v>
      </c>
      <c r="AP353" t="s">
        <v>1</v>
      </c>
      <c r="AQ353" t="s">
        <v>2</v>
      </c>
      <c r="AR353" t="s">
        <v>3</v>
      </c>
      <c r="AS353" t="s">
        <v>3</v>
      </c>
      <c r="AT353" t="s">
        <v>3</v>
      </c>
      <c r="AU353" t="s">
        <v>3</v>
      </c>
      <c r="AV353" t="s">
        <v>3</v>
      </c>
      <c r="AW353" t="s">
        <v>11</v>
      </c>
      <c r="AX353">
        <f>Tabla1[[#This Row],[precio del paquete]]-Tabla1[[#This Row],[Saldo_Deudor]]</f>
        <v>8400</v>
      </c>
      <c r="AY353">
        <v>6400</v>
      </c>
      <c r="AZ353" t="s">
        <v>1</v>
      </c>
      <c r="BA353" t="s">
        <v>1</v>
      </c>
      <c r="BB353" t="s">
        <v>1</v>
      </c>
      <c r="BC353" t="s">
        <v>1457</v>
      </c>
      <c r="BD353" t="s">
        <v>3283</v>
      </c>
      <c r="BE353" t="s">
        <v>3</v>
      </c>
      <c r="BF353" t="s">
        <v>3</v>
      </c>
      <c r="BG353" t="s">
        <v>3</v>
      </c>
      <c r="BH353" t="s">
        <v>3</v>
      </c>
      <c r="BI353" t="s">
        <v>3</v>
      </c>
      <c r="BJ353" t="s">
        <v>3375</v>
      </c>
      <c r="BK353" t="s">
        <v>3</v>
      </c>
      <c r="BL353" t="s">
        <v>132</v>
      </c>
      <c r="BM353" t="s">
        <v>1</v>
      </c>
      <c r="BN353">
        <f>Tabla1[[#This Row],[precio del paquete]]</f>
        <v>14800</v>
      </c>
      <c r="BO353" t="s">
        <v>1</v>
      </c>
      <c r="BP353" t="s">
        <v>1</v>
      </c>
      <c r="BQ353" t="s">
        <v>1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0</v>
      </c>
      <c r="BX353" t="s">
        <v>1</v>
      </c>
      <c r="BY353" t="s">
        <v>1</v>
      </c>
      <c r="BZ353" t="s">
        <v>1</v>
      </c>
      <c r="CA353" t="s">
        <v>1</v>
      </c>
      <c r="CB353" t="s">
        <v>3382</v>
      </c>
      <c r="CD353" t="str" cm="1">
        <f t="array" aca="1" ref="CD353" ca="1">eConcatenar(A353:CB353,"|")</f>
        <v>8J85tKgJDk0AB1Oc|COM2019-2237-1|3|MEMORIAL|TABASCO|COMALCALCO|COMALCALCO|2019-08-17|14800|0|100|50|1|0|0|0|0|0|0|0|0|0|0||0|0|0|LOPEZ|CORDOVA|AMPARO|SOLTERO|X|X|A DOS CASAS DEL TANQUE|X|X|9331050105|X|X|X|A DOS CASAS DEL TANQUE|X|LUNES|x|x|x|x|x|DOMICILIO |8400|6400|X|X|X|2022-01-12|2022-01-19|x|x|x|x|x|DSYPMZPXEANHGLM|x|HOMBRE|X|14800|X|X|X|X|X|X|X|X|CARDENAS|X|X|X|X|FINAL</v>
      </c>
    </row>
    <row r="354" spans="1:82" x14ac:dyDescent="0.25">
      <c r="A354" t="s">
        <v>815</v>
      </c>
      <c r="B354" t="s">
        <v>816</v>
      </c>
      <c r="C354">
        <v>3</v>
      </c>
      <c r="D354" t="s">
        <v>1371</v>
      </c>
      <c r="E354" t="s">
        <v>1380</v>
      </c>
      <c r="F354" t="s">
        <v>1385</v>
      </c>
      <c r="G354" t="s">
        <v>1385</v>
      </c>
      <c r="H354" t="s">
        <v>1530</v>
      </c>
      <c r="I354">
        <v>12900</v>
      </c>
      <c r="J354">
        <v>0</v>
      </c>
      <c r="K354">
        <v>200</v>
      </c>
      <c r="L354">
        <v>50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Y354">
        <v>0</v>
      </c>
      <c r="Z354">
        <v>0</v>
      </c>
      <c r="AA354">
        <v>0</v>
      </c>
      <c r="AB354" t="s">
        <v>2002</v>
      </c>
      <c r="AC354" t="s">
        <v>2168</v>
      </c>
      <c r="AD354" t="s">
        <v>2169</v>
      </c>
      <c r="AE354" t="s">
        <v>4</v>
      </c>
      <c r="AF354" t="s">
        <v>1</v>
      </c>
      <c r="AG354" t="s">
        <v>1</v>
      </c>
      <c r="AH354" t="s">
        <v>2737</v>
      </c>
      <c r="AI354" t="s">
        <v>3139</v>
      </c>
      <c r="AJ354" t="s">
        <v>1</v>
      </c>
      <c r="AK354">
        <v>9331022677</v>
      </c>
      <c r="AL354" t="s">
        <v>1</v>
      </c>
      <c r="AM354" t="s">
        <v>1</v>
      </c>
      <c r="AN354" t="s">
        <v>1</v>
      </c>
      <c r="AO354" t="s">
        <v>2737</v>
      </c>
      <c r="AP354" t="s">
        <v>1</v>
      </c>
      <c r="AQ354" t="s">
        <v>2</v>
      </c>
      <c r="AR354" t="s">
        <v>3</v>
      </c>
      <c r="AS354" t="s">
        <v>3</v>
      </c>
      <c r="AT354" t="s">
        <v>3</v>
      </c>
      <c r="AU354" t="s">
        <v>3</v>
      </c>
      <c r="AV354" t="s">
        <v>3</v>
      </c>
      <c r="AW354" t="s">
        <v>11</v>
      </c>
      <c r="AX354">
        <f>Tabla1[[#This Row],[precio del paquete]]-Tabla1[[#This Row],[Saldo_Deudor]]</f>
        <v>7200</v>
      </c>
      <c r="AY354">
        <v>5700</v>
      </c>
      <c r="AZ354" t="s">
        <v>1</v>
      </c>
      <c r="BA354" t="s">
        <v>1</v>
      </c>
      <c r="BB354" t="s">
        <v>1</v>
      </c>
      <c r="BC354" t="s">
        <v>1405</v>
      </c>
      <c r="BD354" t="s">
        <v>3251</v>
      </c>
      <c r="BE354" t="s">
        <v>3</v>
      </c>
      <c r="BF354" t="s">
        <v>3</v>
      </c>
      <c r="BG354" t="s">
        <v>3</v>
      </c>
      <c r="BH354" t="s">
        <v>3</v>
      </c>
      <c r="BI354" t="s">
        <v>3</v>
      </c>
      <c r="BJ354" t="s">
        <v>3379</v>
      </c>
      <c r="BK354" t="s">
        <v>3</v>
      </c>
      <c r="BL354" t="s">
        <v>132</v>
      </c>
      <c r="BM354" t="s">
        <v>1</v>
      </c>
      <c r="BN354">
        <f>Tabla1[[#This Row],[precio del paquete]]</f>
        <v>12900</v>
      </c>
      <c r="BO354" t="s">
        <v>1</v>
      </c>
      <c r="BP354" t="s">
        <v>1</v>
      </c>
      <c r="BQ354" t="s">
        <v>1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0</v>
      </c>
      <c r="BX354" t="s">
        <v>1</v>
      </c>
      <c r="BY354" t="s">
        <v>1</v>
      </c>
      <c r="BZ354" t="s">
        <v>1</v>
      </c>
      <c r="CA354" t="s">
        <v>1</v>
      </c>
      <c r="CB354" t="s">
        <v>3382</v>
      </c>
      <c r="CD354" t="str" cm="1">
        <f t="array" aca="1" ref="CD354" ca="1">eConcatenar(A354:CB354,"|")</f>
        <v>rMWNcP8x37agf1Gl|PAR2020-1538|3|ECONOLINE|TABASCO|PARAISO|PARAISO|2020-08-06|12900|0|200|50|1|0|0|0|0|0|0|0|0|0|0||0|0|0|ANGULO|CASTELLANO|REJINA|SOLTERO|X|X|CARRETERA FEDERAL PARAISO - COMALCALCO|RANCHERIA QUINTIN ARAUZ|X|9331022677|X|X|X|CARRETERA FEDERAL PARAISO - COMALCALCO|X|LUNES|x|x|x|x|x|DOMICILIO |7200|5700|X|X|X|2022-02-15|2022-02-22|x|x|x|x|x|LMVFBKKJKSMXN4L|x|HOMBRE|X|12900|X|X|X|X|X|X|X|X|CARDENAS|X|X|X|X|FINAL</v>
      </c>
    </row>
    <row r="355" spans="1:82" x14ac:dyDescent="0.25">
      <c r="A355" t="s">
        <v>817</v>
      </c>
      <c r="B355" t="s">
        <v>818</v>
      </c>
      <c r="C355">
        <v>3</v>
      </c>
      <c r="D355" t="s">
        <v>1368</v>
      </c>
      <c r="E355" t="s">
        <v>1380</v>
      </c>
      <c r="F355" t="s">
        <v>1385</v>
      </c>
      <c r="G355" t="s">
        <v>1385</v>
      </c>
      <c r="H355" t="s">
        <v>1531</v>
      </c>
      <c r="I355">
        <v>24500</v>
      </c>
      <c r="J355">
        <v>0</v>
      </c>
      <c r="K355">
        <v>400</v>
      </c>
      <c r="L355">
        <v>50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Y355">
        <v>0</v>
      </c>
      <c r="Z355">
        <v>0</v>
      </c>
      <c r="AA355">
        <v>0</v>
      </c>
      <c r="AB355" t="s">
        <v>1815</v>
      </c>
      <c r="AC355" t="s">
        <v>1772</v>
      </c>
      <c r="AD355" t="s">
        <v>2170</v>
      </c>
      <c r="AE355" t="s">
        <v>4</v>
      </c>
      <c r="AF355" t="s">
        <v>1</v>
      </c>
      <c r="AG355" t="s">
        <v>1</v>
      </c>
      <c r="AH355" t="s">
        <v>2738</v>
      </c>
      <c r="AI355" t="s">
        <v>3140</v>
      </c>
      <c r="AJ355" t="s">
        <v>1</v>
      </c>
      <c r="AK355">
        <v>9331327843</v>
      </c>
      <c r="AL355" t="s">
        <v>1</v>
      </c>
      <c r="AM355" t="s">
        <v>1</v>
      </c>
      <c r="AN355" t="s">
        <v>1</v>
      </c>
      <c r="AO355" t="s">
        <v>2738</v>
      </c>
      <c r="AP355" t="s">
        <v>1</v>
      </c>
      <c r="AQ355" t="s">
        <v>2</v>
      </c>
      <c r="AR355" t="s">
        <v>3</v>
      </c>
      <c r="AS355" t="s">
        <v>3</v>
      </c>
      <c r="AT355" t="s">
        <v>3</v>
      </c>
      <c r="AU355" t="s">
        <v>3</v>
      </c>
      <c r="AV355" t="s">
        <v>3</v>
      </c>
      <c r="AW355" t="s">
        <v>11</v>
      </c>
      <c r="AX355">
        <f>Tabla1[[#This Row],[precio del paquete]]-Tabla1[[#This Row],[Saldo_Deudor]]</f>
        <v>2750</v>
      </c>
      <c r="AY355">
        <v>21750</v>
      </c>
      <c r="AZ355" t="s">
        <v>1</v>
      </c>
      <c r="BA355" t="s">
        <v>1</v>
      </c>
      <c r="BB355" t="s">
        <v>1</v>
      </c>
      <c r="BC355" t="s">
        <v>1405</v>
      </c>
      <c r="BD355" t="s">
        <v>3251</v>
      </c>
      <c r="BE355" t="s">
        <v>3</v>
      </c>
      <c r="BF355" t="s">
        <v>3</v>
      </c>
      <c r="BG355" t="s">
        <v>3</v>
      </c>
      <c r="BH355" t="s">
        <v>3</v>
      </c>
      <c r="BI355" t="s">
        <v>3</v>
      </c>
      <c r="BJ355" t="s">
        <v>3379</v>
      </c>
      <c r="BK355" t="s">
        <v>3</v>
      </c>
      <c r="BL355" t="s">
        <v>132</v>
      </c>
      <c r="BM355" t="s">
        <v>1</v>
      </c>
      <c r="BN355">
        <f>Tabla1[[#This Row],[precio del paquete]]</f>
        <v>24500</v>
      </c>
      <c r="BO355" t="s">
        <v>1</v>
      </c>
      <c r="BP355" t="s">
        <v>1</v>
      </c>
      <c r="BQ355" t="s">
        <v>1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0</v>
      </c>
      <c r="BX355" t="s">
        <v>1</v>
      </c>
      <c r="BY355" t="s">
        <v>1</v>
      </c>
      <c r="BZ355" t="s">
        <v>1</v>
      </c>
      <c r="CA355" t="s">
        <v>1</v>
      </c>
      <c r="CB355" t="s">
        <v>3382</v>
      </c>
      <c r="CD355" t="str" cm="1">
        <f t="array" aca="1" ref="CD355" ca="1">eConcatenar(A355:CB355,"|")</f>
        <v>X1EO024QIz3vAR4e|PAR2021-1776|3|DIGNITY|TABASCO|PARAISO|PARAISO|2021-05-29|24500|0|400|50|0|0|0|0|0|0|0|0|0|0|0||0|0|0|LEON|LANDERO|NINOCHKA DEL ALBA|SOLTERO|X|X|CALLE MANCEL SAUREZ HERRERA|COLONIA CARLOS AMADRAZO B|X|9331327843|X|X|X|CALLE MANCEL SAUREZ HERRERA|X|LUNES|x|x|x|x|x|DOMICILIO |2750|21750|X|X|X|2022-02-15|2022-02-22|x|x|x|x|x|LMVFBKKJKSMXN4L|x|HOMBRE|X|24500|X|X|X|X|X|X|X|X|CARDENAS|X|X|X|X|FINAL</v>
      </c>
    </row>
    <row r="356" spans="1:82" x14ac:dyDescent="0.25">
      <c r="A356" t="s">
        <v>819</v>
      </c>
      <c r="B356" t="s">
        <v>820</v>
      </c>
      <c r="C356">
        <v>3</v>
      </c>
      <c r="D356" t="s">
        <v>1372</v>
      </c>
      <c r="E356" t="s">
        <v>1380</v>
      </c>
      <c r="F356" t="s">
        <v>1385</v>
      </c>
      <c r="G356" t="s">
        <v>1385</v>
      </c>
      <c r="H356" t="s">
        <v>1532</v>
      </c>
      <c r="I356">
        <v>12900</v>
      </c>
      <c r="J356">
        <v>0</v>
      </c>
      <c r="K356">
        <v>100</v>
      </c>
      <c r="L356">
        <v>50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Y356">
        <v>0</v>
      </c>
      <c r="Z356">
        <v>0</v>
      </c>
      <c r="AA356">
        <v>0</v>
      </c>
      <c r="AB356" t="s">
        <v>1776</v>
      </c>
      <c r="AC356" t="s">
        <v>1790</v>
      </c>
      <c r="AD356" t="s">
        <v>2171</v>
      </c>
      <c r="AE356" t="s">
        <v>4</v>
      </c>
      <c r="AF356" t="s">
        <v>1</v>
      </c>
      <c r="AG356" t="s">
        <v>1</v>
      </c>
      <c r="AH356" t="s">
        <v>2739</v>
      </c>
      <c r="AI356" t="s">
        <v>3141</v>
      </c>
      <c r="AJ356" t="s">
        <v>1</v>
      </c>
      <c r="AK356">
        <v>9331326214</v>
      </c>
      <c r="AL356" t="s">
        <v>1</v>
      </c>
      <c r="AM356" t="s">
        <v>1</v>
      </c>
      <c r="AN356" t="s">
        <v>1</v>
      </c>
      <c r="AO356" t="s">
        <v>2739</v>
      </c>
      <c r="AP356" t="s">
        <v>1</v>
      </c>
      <c r="AQ356" t="s">
        <v>2</v>
      </c>
      <c r="AR356" t="s">
        <v>3</v>
      </c>
      <c r="AS356" t="s">
        <v>3</v>
      </c>
      <c r="AT356" t="s">
        <v>3</v>
      </c>
      <c r="AU356" t="s">
        <v>3</v>
      </c>
      <c r="AV356" t="s">
        <v>3</v>
      </c>
      <c r="AW356" t="s">
        <v>11</v>
      </c>
      <c r="AX356">
        <f>Tabla1[[#This Row],[precio del paquete]]-Tabla1[[#This Row],[Saldo_Deudor]]</f>
        <v>3200</v>
      </c>
      <c r="AY356">
        <v>9700</v>
      </c>
      <c r="AZ356" t="s">
        <v>1</v>
      </c>
      <c r="BA356" t="s">
        <v>1</v>
      </c>
      <c r="BB356" t="s">
        <v>1</v>
      </c>
      <c r="BC356" t="s">
        <v>1405</v>
      </c>
      <c r="BD356" t="s">
        <v>3251</v>
      </c>
      <c r="BE356" t="s">
        <v>3</v>
      </c>
      <c r="BF356" t="s">
        <v>3</v>
      </c>
      <c r="BG356" t="s">
        <v>3</v>
      </c>
      <c r="BH356" t="s">
        <v>3</v>
      </c>
      <c r="BI356" t="s">
        <v>3</v>
      </c>
      <c r="BJ356" t="s">
        <v>3379</v>
      </c>
      <c r="BK356" t="s">
        <v>3</v>
      </c>
      <c r="BL356" t="s">
        <v>132</v>
      </c>
      <c r="BM356" t="s">
        <v>1</v>
      </c>
      <c r="BN356">
        <f>Tabla1[[#This Row],[precio del paquete]]</f>
        <v>12900</v>
      </c>
      <c r="BO356" t="s">
        <v>1</v>
      </c>
      <c r="BP356" t="s">
        <v>1</v>
      </c>
      <c r="BQ356" t="s">
        <v>1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0</v>
      </c>
      <c r="BX356" t="s">
        <v>1</v>
      </c>
      <c r="BY356" t="s">
        <v>1</v>
      </c>
      <c r="BZ356" t="s">
        <v>1</v>
      </c>
      <c r="CA356" t="s">
        <v>1</v>
      </c>
      <c r="CB356" t="s">
        <v>3382</v>
      </c>
      <c r="CD356" t="str" cm="1">
        <f t="array" aca="1" ref="CD356" ca="1">eConcatenar(A356:CB356,"|")</f>
        <v>P8vHw8dBU7HVA437|PAR2020-1341|3|IMPERIAL DE LUJO|TABASCO|PARAISO|PARAISO|2021-07-24|12900|0|100|50|0|0|0|0|0|0|0|0|0|0|0||0|0|0|AVALOS|DOMINGUEZ|SILVIA|SOLTERO|X|X|CALLE TULIPAN|FRACCIONAMIENTO PRIMAVERA|X|9331326214|X|X|X|CALLE TULIPAN|X|LUNES|x|x|x|x|x|DOMICILIO |3200|9700|X|X|X|2022-02-15|2022-02-22|x|x|x|x|x|LMVFBKKJKSMXN4L|x|HOMBRE|X|12900|X|X|X|X|X|X|X|X|CARDENAS|X|X|X|X|FINAL</v>
      </c>
    </row>
    <row r="357" spans="1:82" x14ac:dyDescent="0.25">
      <c r="A357" t="s">
        <v>821</v>
      </c>
      <c r="B357" t="s">
        <v>822</v>
      </c>
      <c r="C357">
        <v>3</v>
      </c>
      <c r="D357" t="s">
        <v>1372</v>
      </c>
      <c r="E357" t="s">
        <v>1380</v>
      </c>
      <c r="F357" t="s">
        <v>1385</v>
      </c>
      <c r="G357" t="s">
        <v>1385</v>
      </c>
      <c r="H357" t="s">
        <v>1533</v>
      </c>
      <c r="I357">
        <v>12900</v>
      </c>
      <c r="J357">
        <v>0</v>
      </c>
      <c r="K357">
        <v>400</v>
      </c>
      <c r="L357">
        <v>50</v>
      </c>
      <c r="M357">
        <v>1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Y357">
        <v>0</v>
      </c>
      <c r="Z357">
        <v>0</v>
      </c>
      <c r="AA357">
        <v>0</v>
      </c>
      <c r="AB357" t="s">
        <v>1843</v>
      </c>
      <c r="AC357" t="s">
        <v>2172</v>
      </c>
      <c r="AD357" t="s">
        <v>2173</v>
      </c>
      <c r="AE357" t="s">
        <v>4</v>
      </c>
      <c r="AF357" t="s">
        <v>1</v>
      </c>
      <c r="AG357" t="s">
        <v>1</v>
      </c>
      <c r="AH357" t="s">
        <v>2740</v>
      </c>
      <c r="AI357" t="s">
        <v>3142</v>
      </c>
      <c r="AJ357" t="s">
        <v>1</v>
      </c>
      <c r="AK357">
        <v>9333330684</v>
      </c>
      <c r="AL357" t="s">
        <v>1</v>
      </c>
      <c r="AM357" t="s">
        <v>1</v>
      </c>
      <c r="AN357" t="s">
        <v>1</v>
      </c>
      <c r="AO357" t="s">
        <v>2740</v>
      </c>
      <c r="AP357" t="s">
        <v>1</v>
      </c>
      <c r="AQ357" t="s">
        <v>2</v>
      </c>
      <c r="AR357" t="s">
        <v>3</v>
      </c>
      <c r="AS357" t="s">
        <v>3</v>
      </c>
      <c r="AT357" t="s">
        <v>3</v>
      </c>
      <c r="AU357" t="s">
        <v>3</v>
      </c>
      <c r="AV357" t="s">
        <v>3</v>
      </c>
      <c r="AW357" t="s">
        <v>11</v>
      </c>
      <c r="AX357">
        <f>Tabla1[[#This Row],[precio del paquete]]-Tabla1[[#This Row],[Saldo_Deudor]]</f>
        <v>12000</v>
      </c>
      <c r="AY357">
        <v>900</v>
      </c>
      <c r="AZ357" t="s">
        <v>1</v>
      </c>
      <c r="BA357" t="s">
        <v>1</v>
      </c>
      <c r="BB357" t="s">
        <v>1</v>
      </c>
      <c r="BC357" t="s">
        <v>1405</v>
      </c>
      <c r="BD357" t="s">
        <v>3251</v>
      </c>
      <c r="BE357" t="s">
        <v>3</v>
      </c>
      <c r="BF357" t="s">
        <v>3</v>
      </c>
      <c r="BG357" t="s">
        <v>3</v>
      </c>
      <c r="BH357" t="s">
        <v>3</v>
      </c>
      <c r="BI357" t="s">
        <v>3</v>
      </c>
      <c r="BJ357" t="s">
        <v>3379</v>
      </c>
      <c r="BK357" t="s">
        <v>3</v>
      </c>
      <c r="BL357" t="s">
        <v>132</v>
      </c>
      <c r="BM357" t="s">
        <v>1</v>
      </c>
      <c r="BN357">
        <f>Tabla1[[#This Row],[precio del paquete]]</f>
        <v>12900</v>
      </c>
      <c r="BO357" t="s">
        <v>1</v>
      </c>
      <c r="BP357" t="s">
        <v>1</v>
      </c>
      <c r="BQ357" t="s">
        <v>1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0</v>
      </c>
      <c r="BX357" t="s">
        <v>1</v>
      </c>
      <c r="BY357" t="s">
        <v>1</v>
      </c>
      <c r="BZ357" t="s">
        <v>1</v>
      </c>
      <c r="CA357" t="s">
        <v>1</v>
      </c>
      <c r="CB357" t="s">
        <v>3382</v>
      </c>
      <c r="CD357" t="str" cm="1">
        <f t="array" aca="1" ref="CD357" ca="1">eConcatenar(A357:CB357,"|")</f>
        <v>KeH5vTWTQcrjokkz|PAR2020-1701|3|IMPERIAL DE LUJO|TABASCO|PARAISO|PARAISO|2020-08-20|12900|0|400|50|1|0|0|0|0|0|0|0|0|0|0||0|0|0|RAMON|MAGAÑAALEJANDRO|RODOLFO|SOLTERO|X|X|CALLE GUTIERREZ ZAMORA NUMERO 298|COLONIA CENTRO PARAISO|X|9333330684|X|X|X|CALLE GUTIERREZ ZAMORA NUMERO 298|X|LUNES|x|x|x|x|x|DOMICILIO |12000|900|X|X|X|2022-02-15|2022-02-22|x|x|x|x|x|LMVFBKKJKSMXN4L|x|HOMBRE|X|12900|X|X|X|X|X|X|X|X|CARDENAS|X|X|X|X|FINAL</v>
      </c>
    </row>
    <row r="358" spans="1:82" x14ac:dyDescent="0.25">
      <c r="A358" t="s">
        <v>823</v>
      </c>
      <c r="B358" t="s">
        <v>824</v>
      </c>
      <c r="C358">
        <v>3</v>
      </c>
      <c r="D358" t="s">
        <v>1372</v>
      </c>
      <c r="E358" t="s">
        <v>1380</v>
      </c>
      <c r="F358" t="s">
        <v>1385</v>
      </c>
      <c r="G358" t="s">
        <v>1385</v>
      </c>
      <c r="H358" t="s">
        <v>1534</v>
      </c>
      <c r="I358">
        <v>12900</v>
      </c>
      <c r="J358">
        <v>0</v>
      </c>
      <c r="K358">
        <v>200</v>
      </c>
      <c r="L358">
        <v>50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Y358">
        <v>0</v>
      </c>
      <c r="Z358">
        <v>0</v>
      </c>
      <c r="AA358">
        <v>0</v>
      </c>
      <c r="AB358" t="s">
        <v>1711</v>
      </c>
      <c r="AC358" t="s">
        <v>1725</v>
      </c>
      <c r="AD358" t="s">
        <v>2174</v>
      </c>
      <c r="AE358" t="s">
        <v>4</v>
      </c>
      <c r="AF358" t="s">
        <v>1</v>
      </c>
      <c r="AG358" t="s">
        <v>1</v>
      </c>
      <c r="AH358" t="s">
        <v>2741</v>
      </c>
      <c r="AI358" t="s">
        <v>3142</v>
      </c>
      <c r="AJ358" t="s">
        <v>1</v>
      </c>
      <c r="AK358">
        <v>9331348429</v>
      </c>
      <c r="AL358" t="s">
        <v>1</v>
      </c>
      <c r="AM358" t="s">
        <v>1</v>
      </c>
      <c r="AN358" t="s">
        <v>1</v>
      </c>
      <c r="AO358" t="s">
        <v>2741</v>
      </c>
      <c r="AP358" t="s">
        <v>1</v>
      </c>
      <c r="AQ358" t="s">
        <v>2</v>
      </c>
      <c r="AR358" t="s">
        <v>3</v>
      </c>
      <c r="AS358" t="s">
        <v>3</v>
      </c>
      <c r="AT358" t="s">
        <v>3</v>
      </c>
      <c r="AU358" t="s">
        <v>3</v>
      </c>
      <c r="AV358" t="s">
        <v>3</v>
      </c>
      <c r="AW358" t="s">
        <v>11</v>
      </c>
      <c r="AX358">
        <f>Tabla1[[#This Row],[precio del paquete]]-Tabla1[[#This Row],[Saldo_Deudor]]</f>
        <v>6900</v>
      </c>
      <c r="AY358">
        <v>6000</v>
      </c>
      <c r="AZ358" t="s">
        <v>1</v>
      </c>
      <c r="BA358" t="s">
        <v>1</v>
      </c>
      <c r="BB358" t="s">
        <v>1</v>
      </c>
      <c r="BC358" t="s">
        <v>1389</v>
      </c>
      <c r="BD358" t="s">
        <v>1402</v>
      </c>
      <c r="BE358" t="s">
        <v>3</v>
      </c>
      <c r="BF358" t="s">
        <v>3</v>
      </c>
      <c r="BG358" t="s">
        <v>3</v>
      </c>
      <c r="BH358" t="s">
        <v>3</v>
      </c>
      <c r="BI358" t="s">
        <v>3</v>
      </c>
      <c r="BJ358" t="s">
        <v>3379</v>
      </c>
      <c r="BK358" t="s">
        <v>3</v>
      </c>
      <c r="BL358" t="s">
        <v>132</v>
      </c>
      <c r="BM358" t="s">
        <v>1</v>
      </c>
      <c r="BN358">
        <f>Tabla1[[#This Row],[precio del paquete]]</f>
        <v>12900</v>
      </c>
      <c r="BO358" t="s">
        <v>1</v>
      </c>
      <c r="BP358" t="s">
        <v>1</v>
      </c>
      <c r="BQ358" t="s">
        <v>1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0</v>
      </c>
      <c r="BX358" t="s">
        <v>1</v>
      </c>
      <c r="BY358" t="s">
        <v>1</v>
      </c>
      <c r="BZ358" t="s">
        <v>1</v>
      </c>
      <c r="CA358" t="s">
        <v>1</v>
      </c>
      <c r="CB358" t="s">
        <v>3382</v>
      </c>
      <c r="CD358" t="str" cm="1">
        <f t="array" aca="1" ref="CD358" ca="1">eConcatenar(A358:CB358,"|")</f>
        <v>F5qazVG5idGyfjjG|PAR2020-1326|3|IMPERIAL DE LUJO|TABASCO|PARAISO|PARAISO|2020-07-21|12900|0|200|50|1|0|0|0|0|0|0|0|0|0|0||0|0|0|HERNANDEZ|SANTOS|LOURDES|SOLTERO|X|X|CALLE 5 DE MAYO SIN NUMERO|COLONIA CENTRO PARAISO|X|9331348429|X|X|X|CALLE 5 DE MAYO SIN NUMERO|X|LUNES|x|x|x|x|x|DOMICILIO |6900|6000|X|X|X|2022-02-01|2022-02-08|x|x|x|x|x|LMVFBKKJKSMXN4L|x|HOMBRE|X|12900|X|X|X|X|X|X|X|X|CARDENAS|X|X|X|X|FINAL</v>
      </c>
    </row>
    <row r="359" spans="1:82" x14ac:dyDescent="0.25">
      <c r="A359" t="s">
        <v>825</v>
      </c>
      <c r="B359" t="s">
        <v>826</v>
      </c>
      <c r="C359">
        <v>3</v>
      </c>
      <c r="D359" t="s">
        <v>1372</v>
      </c>
      <c r="E359" t="s">
        <v>1380</v>
      </c>
      <c r="F359" t="s">
        <v>1385</v>
      </c>
      <c r="G359" t="s">
        <v>1385</v>
      </c>
      <c r="H359" t="s">
        <v>1535</v>
      </c>
      <c r="I359">
        <v>12900</v>
      </c>
      <c r="J359">
        <v>0</v>
      </c>
      <c r="K359">
        <v>100</v>
      </c>
      <c r="L359">
        <v>50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Y359">
        <v>0</v>
      </c>
      <c r="Z359">
        <v>0</v>
      </c>
      <c r="AA359">
        <v>0</v>
      </c>
      <c r="AB359" t="s">
        <v>1790</v>
      </c>
      <c r="AC359" t="s">
        <v>1739</v>
      </c>
      <c r="AD359" t="s">
        <v>2175</v>
      </c>
      <c r="AE359" t="s">
        <v>4</v>
      </c>
      <c r="AF359" t="s">
        <v>1</v>
      </c>
      <c r="AG359" t="s">
        <v>1</v>
      </c>
      <c r="AH359" t="s">
        <v>2742</v>
      </c>
      <c r="AI359" t="s">
        <v>3143</v>
      </c>
      <c r="AJ359" t="s">
        <v>1</v>
      </c>
      <c r="AK359">
        <v>9331026426</v>
      </c>
      <c r="AL359" t="s">
        <v>1</v>
      </c>
      <c r="AM359" t="s">
        <v>1</v>
      </c>
      <c r="AN359" t="s">
        <v>1</v>
      </c>
      <c r="AO359" t="s">
        <v>2742</v>
      </c>
      <c r="AP359" t="s">
        <v>1</v>
      </c>
      <c r="AQ359" t="s">
        <v>2</v>
      </c>
      <c r="AR359" t="s">
        <v>3</v>
      </c>
      <c r="AS359" t="s">
        <v>3</v>
      </c>
      <c r="AT359" t="s">
        <v>3</v>
      </c>
      <c r="AU359" t="s">
        <v>3</v>
      </c>
      <c r="AV359" t="s">
        <v>3</v>
      </c>
      <c r="AW359" t="s">
        <v>11</v>
      </c>
      <c r="AX359">
        <f>Tabla1[[#This Row],[precio del paquete]]-Tabla1[[#This Row],[Saldo_Deudor]]</f>
        <v>6700</v>
      </c>
      <c r="AY359">
        <v>6200</v>
      </c>
      <c r="AZ359" t="s">
        <v>1</v>
      </c>
      <c r="BA359" t="s">
        <v>1</v>
      </c>
      <c r="BB359" t="s">
        <v>1</v>
      </c>
      <c r="BC359" t="s">
        <v>1405</v>
      </c>
      <c r="BD359" t="s">
        <v>3251</v>
      </c>
      <c r="BE359" t="s">
        <v>3</v>
      </c>
      <c r="BF359" t="s">
        <v>3</v>
      </c>
      <c r="BG359" t="s">
        <v>3</v>
      </c>
      <c r="BH359" t="s">
        <v>3</v>
      </c>
      <c r="BI359" t="s">
        <v>3</v>
      </c>
      <c r="BJ359" t="s">
        <v>3379</v>
      </c>
      <c r="BK359" t="s">
        <v>3</v>
      </c>
      <c r="BL359" t="s">
        <v>132</v>
      </c>
      <c r="BM359" t="s">
        <v>1</v>
      </c>
      <c r="BN359">
        <f>Tabla1[[#This Row],[precio del paquete]]</f>
        <v>12900</v>
      </c>
      <c r="BO359" t="s">
        <v>1</v>
      </c>
      <c r="BP359" t="s">
        <v>1</v>
      </c>
      <c r="BQ359" t="s">
        <v>1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0</v>
      </c>
      <c r="BX359" t="s">
        <v>1</v>
      </c>
      <c r="BY359" t="s">
        <v>1</v>
      </c>
      <c r="BZ359" t="s">
        <v>1</v>
      </c>
      <c r="CA359" t="s">
        <v>1</v>
      </c>
      <c r="CB359" t="s">
        <v>3382</v>
      </c>
      <c r="CD359" t="str" cm="1">
        <f t="array" aca="1" ref="CD359" ca="1">eConcatenar(A359:CB359,"|")</f>
        <v>IzLE6flDihPRCFpx|PAR2020-1925|3|IMPERIAL DE LUJO|TABASCO|PARAISO|PARAISO|2020-09-08|12900|0|100|50|0|0|0|0|0|0|0|0|0|0|0||0|0|0|DOMINGUEZ|DE LOS SANTOS|MARTIN|SOLTERO|X|X|CALLE VERACRUZ |COLONIA EL LIMON|X|9331026426|X|X|X|CALLE VERACRUZ |X|LUNES|x|x|x|x|x|DOMICILIO |6700|6200|X|X|X|2022-02-15|2022-02-22|x|x|x|x|x|LMVFBKKJKSMXN4L|x|HOMBRE|X|12900|X|X|X|X|X|X|X|X|CARDENAS|X|X|X|X|FINAL</v>
      </c>
    </row>
    <row r="360" spans="1:82" x14ac:dyDescent="0.25">
      <c r="A360" t="s">
        <v>827</v>
      </c>
      <c r="B360" t="s">
        <v>828</v>
      </c>
      <c r="C360">
        <v>3</v>
      </c>
      <c r="D360" t="s">
        <v>1372</v>
      </c>
      <c r="E360" t="s">
        <v>1380</v>
      </c>
      <c r="F360" t="s">
        <v>1385</v>
      </c>
      <c r="G360" t="s">
        <v>1385</v>
      </c>
      <c r="H360" t="s">
        <v>1536</v>
      </c>
      <c r="I360">
        <v>12900</v>
      </c>
      <c r="J360">
        <v>0</v>
      </c>
      <c r="K360">
        <v>100</v>
      </c>
      <c r="L360">
        <v>50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Y360">
        <v>0</v>
      </c>
      <c r="Z360">
        <v>0</v>
      </c>
      <c r="AA360">
        <v>0</v>
      </c>
      <c r="AB360" t="s">
        <v>1790</v>
      </c>
      <c r="AC360" t="s">
        <v>1818</v>
      </c>
      <c r="AD360" t="s">
        <v>2176</v>
      </c>
      <c r="AE360" t="s">
        <v>4</v>
      </c>
      <c r="AF360" t="s">
        <v>1</v>
      </c>
      <c r="AG360" t="s">
        <v>1</v>
      </c>
      <c r="AH360" t="s">
        <v>2743</v>
      </c>
      <c r="AI360" t="s">
        <v>3142</v>
      </c>
      <c r="AJ360" t="s">
        <v>1</v>
      </c>
      <c r="AK360">
        <v>9331367313</v>
      </c>
      <c r="AL360" t="s">
        <v>1</v>
      </c>
      <c r="AM360" t="s">
        <v>1</v>
      </c>
      <c r="AN360" t="s">
        <v>1</v>
      </c>
      <c r="AO360" t="s">
        <v>2743</v>
      </c>
      <c r="AP360" t="s">
        <v>1</v>
      </c>
      <c r="AQ360" t="s">
        <v>2</v>
      </c>
      <c r="AR360" t="s">
        <v>3</v>
      </c>
      <c r="AS360" t="s">
        <v>3</v>
      </c>
      <c r="AT360" t="s">
        <v>3</v>
      </c>
      <c r="AU360" t="s">
        <v>3</v>
      </c>
      <c r="AV360" t="s">
        <v>3</v>
      </c>
      <c r="AW360" t="s">
        <v>11</v>
      </c>
      <c r="AX360">
        <f>Tabla1[[#This Row],[precio del paquete]]-Tabla1[[#This Row],[Saldo_Deudor]]</f>
        <v>8200</v>
      </c>
      <c r="AY360">
        <v>4700</v>
      </c>
      <c r="AZ360" t="s">
        <v>1</v>
      </c>
      <c r="BA360" t="s">
        <v>1</v>
      </c>
      <c r="BB360" t="s">
        <v>1</v>
      </c>
      <c r="BC360" t="s">
        <v>1405</v>
      </c>
      <c r="BD360" t="s">
        <v>3251</v>
      </c>
      <c r="BE360" t="s">
        <v>3</v>
      </c>
      <c r="BF360" t="s">
        <v>3</v>
      </c>
      <c r="BG360" t="s">
        <v>3</v>
      </c>
      <c r="BH360" t="s">
        <v>3</v>
      </c>
      <c r="BI360" t="s">
        <v>3</v>
      </c>
      <c r="BJ360" t="s">
        <v>3379</v>
      </c>
      <c r="BK360" t="s">
        <v>3</v>
      </c>
      <c r="BL360" t="s">
        <v>132</v>
      </c>
      <c r="BM360" t="s">
        <v>1</v>
      </c>
      <c r="BN360">
        <f>Tabla1[[#This Row],[precio del paquete]]</f>
        <v>12900</v>
      </c>
      <c r="BO360" t="s">
        <v>1</v>
      </c>
      <c r="BP360" t="s">
        <v>1</v>
      </c>
      <c r="BQ360" t="s">
        <v>1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0</v>
      </c>
      <c r="BX360" t="s">
        <v>1</v>
      </c>
      <c r="BY360" t="s">
        <v>1</v>
      </c>
      <c r="BZ360" t="s">
        <v>1</v>
      </c>
      <c r="CA360" t="s">
        <v>1</v>
      </c>
      <c r="CB360" t="s">
        <v>3382</v>
      </c>
      <c r="CD360" t="str" cm="1">
        <f t="array" aca="1" ref="CD360" ca="1">eConcatenar(A360:CB360,"|")</f>
        <v>tCznRiIqtNNnPSks|PAR2020-1391|3|IMPERIAL DE LUJO|TABASCO|PARAISO|PARAISO|2020-07-30|12900|0|100|50|0|0|0|0|0|0|0|0|0|0|0||0|0|0|DOMINGUEZ|CASTILLO|VALERIA|SOLTERO|X|X|CERRADA AQUILES SERDAN|COLONIA CENTRO PARAISO|X|9331367313|X|X|X|CERRADA AQUILES SERDAN|X|LUNES|x|x|x|x|x|DOMICILIO |8200|4700|X|X|X|2022-02-15|2022-02-22|x|x|x|x|x|LMVFBKKJKSMXN4L|x|HOMBRE|X|12900|X|X|X|X|X|X|X|X|CARDENAS|X|X|X|X|FINAL</v>
      </c>
    </row>
    <row r="361" spans="1:82" x14ac:dyDescent="0.25">
      <c r="A361" t="s">
        <v>829</v>
      </c>
      <c r="B361" t="s">
        <v>830</v>
      </c>
      <c r="C361">
        <v>3</v>
      </c>
      <c r="D361" t="s">
        <v>1372</v>
      </c>
      <c r="E361" t="s">
        <v>1380</v>
      </c>
      <c r="F361" t="s">
        <v>1385</v>
      </c>
      <c r="G361" t="s">
        <v>1385</v>
      </c>
      <c r="H361" t="s">
        <v>1537</v>
      </c>
      <c r="I361">
        <v>12900</v>
      </c>
      <c r="J361">
        <v>0</v>
      </c>
      <c r="K361">
        <v>100</v>
      </c>
      <c r="L361">
        <v>50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Y361">
        <v>0</v>
      </c>
      <c r="Z361">
        <v>0</v>
      </c>
      <c r="AA361">
        <v>0</v>
      </c>
      <c r="AB361" t="s">
        <v>1711</v>
      </c>
      <c r="AC361" t="s">
        <v>7</v>
      </c>
      <c r="AD361" t="s">
        <v>2177</v>
      </c>
      <c r="AE361" t="s">
        <v>4</v>
      </c>
      <c r="AF361" t="s">
        <v>1</v>
      </c>
      <c r="AG361" t="s">
        <v>1</v>
      </c>
      <c r="AH361" t="s">
        <v>2744</v>
      </c>
      <c r="AI361" t="s">
        <v>3144</v>
      </c>
      <c r="AJ361" t="s">
        <v>1</v>
      </c>
      <c r="AK361">
        <v>9333277254</v>
      </c>
      <c r="AL361" t="s">
        <v>1</v>
      </c>
      <c r="AM361" t="s">
        <v>1</v>
      </c>
      <c r="AN361" t="s">
        <v>1</v>
      </c>
      <c r="AO361" t="s">
        <v>2744</v>
      </c>
      <c r="AP361" t="s">
        <v>1</v>
      </c>
      <c r="AQ361" t="s">
        <v>2</v>
      </c>
      <c r="AR361" t="s">
        <v>3</v>
      </c>
      <c r="AS361" t="s">
        <v>3</v>
      </c>
      <c r="AT361" t="s">
        <v>3</v>
      </c>
      <c r="AU361" t="s">
        <v>3</v>
      </c>
      <c r="AV361" t="s">
        <v>3</v>
      </c>
      <c r="AW361" t="s">
        <v>11</v>
      </c>
      <c r="AX361">
        <f>Tabla1[[#This Row],[precio del paquete]]-Tabla1[[#This Row],[Saldo_Deudor]]</f>
        <v>8200</v>
      </c>
      <c r="AY361">
        <v>4700</v>
      </c>
      <c r="AZ361" t="s">
        <v>1</v>
      </c>
      <c r="BA361" t="s">
        <v>1</v>
      </c>
      <c r="BB361" t="s">
        <v>1</v>
      </c>
      <c r="BC361" t="s">
        <v>1405</v>
      </c>
      <c r="BD361" t="s">
        <v>3251</v>
      </c>
      <c r="BE361" t="s">
        <v>3</v>
      </c>
      <c r="BF361" t="s">
        <v>3</v>
      </c>
      <c r="BG361" t="s">
        <v>3</v>
      </c>
      <c r="BH361" t="s">
        <v>3</v>
      </c>
      <c r="BI361" t="s">
        <v>3</v>
      </c>
      <c r="BJ361" t="s">
        <v>3379</v>
      </c>
      <c r="BK361" t="s">
        <v>3</v>
      </c>
      <c r="BL361" t="s">
        <v>132</v>
      </c>
      <c r="BM361" t="s">
        <v>1</v>
      </c>
      <c r="BN361">
        <f>Tabla1[[#This Row],[precio del paquete]]</f>
        <v>12900</v>
      </c>
      <c r="BO361" t="s">
        <v>1</v>
      </c>
      <c r="BP361" t="s">
        <v>1</v>
      </c>
      <c r="BQ361" t="s">
        <v>1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0</v>
      </c>
      <c r="BX361" t="s">
        <v>1</v>
      </c>
      <c r="BY361" t="s">
        <v>1</v>
      </c>
      <c r="BZ361" t="s">
        <v>1</v>
      </c>
      <c r="CA361" t="s">
        <v>1</v>
      </c>
      <c r="CB361" t="s">
        <v>3382</v>
      </c>
      <c r="CD361" t="str" cm="1">
        <f t="array" aca="1" ref="CD361" ca="1">eConcatenar(A361:CB361,"|")</f>
        <v>7YG23CYTd1ZVjlE3|PAR2020-1198|3|IMPERIAL DE LUJO|TABASCO|PARAISO|PARAISO|2020-07-16|12900|0|100|50|0|0|0|0|0|0|0|0|0|0|0||0|0|0|HERNANDEZ|LOPEZ|YURIDIANA|SOLTERO|X|X|PRIMERA ENTRADA DE LA ISLITA SIN NUMERO|RANCHERIA MOCTEZUMA |X|9333277254|X|X|X|PRIMERA ENTRADA DE LA ISLITA SIN NUMERO|X|LUNES|x|x|x|x|x|DOMICILIO |8200|4700|X|X|X|2022-02-15|2022-02-22|x|x|x|x|x|LMVFBKKJKSMXN4L|x|HOMBRE|X|12900|X|X|X|X|X|X|X|X|CARDENAS|X|X|X|X|FINAL</v>
      </c>
    </row>
    <row r="362" spans="1:82" x14ac:dyDescent="0.25">
      <c r="A362" t="s">
        <v>831</v>
      </c>
      <c r="B362" t="s">
        <v>832</v>
      </c>
      <c r="C362">
        <v>3</v>
      </c>
      <c r="D362" t="s">
        <v>1372</v>
      </c>
      <c r="E362" t="s">
        <v>1380</v>
      </c>
      <c r="F362" t="s">
        <v>1385</v>
      </c>
      <c r="G362" t="s">
        <v>1385</v>
      </c>
      <c r="H362" t="s">
        <v>1537</v>
      </c>
      <c r="I362">
        <v>12900</v>
      </c>
      <c r="J362">
        <v>0</v>
      </c>
      <c r="K362">
        <v>200</v>
      </c>
      <c r="L362">
        <v>50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Y362">
        <v>0</v>
      </c>
      <c r="Z362">
        <v>0</v>
      </c>
      <c r="AA362">
        <v>0</v>
      </c>
      <c r="AB362" t="s">
        <v>2011</v>
      </c>
      <c r="AC362" t="s">
        <v>1772</v>
      </c>
      <c r="AD362" t="s">
        <v>2040</v>
      </c>
      <c r="AE362" t="s">
        <v>4</v>
      </c>
      <c r="AF362" t="s">
        <v>1</v>
      </c>
      <c r="AG362" t="s">
        <v>1</v>
      </c>
      <c r="AH362" t="s">
        <v>2744</v>
      </c>
      <c r="AI362" t="s">
        <v>3144</v>
      </c>
      <c r="AJ362" t="s">
        <v>1</v>
      </c>
      <c r="AK362">
        <v>9331494076</v>
      </c>
      <c r="AL362" t="s">
        <v>1</v>
      </c>
      <c r="AM362" t="s">
        <v>1</v>
      </c>
      <c r="AN362" t="s">
        <v>1</v>
      </c>
      <c r="AO362" t="s">
        <v>2744</v>
      </c>
      <c r="AP362" t="s">
        <v>1</v>
      </c>
      <c r="AQ362" t="s">
        <v>2</v>
      </c>
      <c r="AR362" t="s">
        <v>3</v>
      </c>
      <c r="AS362" t="s">
        <v>3</v>
      </c>
      <c r="AT362" t="s">
        <v>3</v>
      </c>
      <c r="AU362" t="s">
        <v>3</v>
      </c>
      <c r="AV362" t="s">
        <v>3</v>
      </c>
      <c r="AW362" t="s">
        <v>11</v>
      </c>
      <c r="AX362">
        <f>Tabla1[[#This Row],[precio del paquete]]-Tabla1[[#This Row],[Saldo_Deudor]]</f>
        <v>6700</v>
      </c>
      <c r="AY362">
        <v>6200</v>
      </c>
      <c r="AZ362" t="s">
        <v>1</v>
      </c>
      <c r="BA362" t="s">
        <v>1</v>
      </c>
      <c r="BB362" t="s">
        <v>1</v>
      </c>
      <c r="BC362" t="s">
        <v>1389</v>
      </c>
      <c r="BD362" t="s">
        <v>1402</v>
      </c>
      <c r="BE362" t="s">
        <v>3</v>
      </c>
      <c r="BF362" t="s">
        <v>3</v>
      </c>
      <c r="BG362" t="s">
        <v>3</v>
      </c>
      <c r="BH362" t="s">
        <v>3</v>
      </c>
      <c r="BI362" t="s">
        <v>3</v>
      </c>
      <c r="BJ362" t="s">
        <v>3379</v>
      </c>
      <c r="BK362" t="s">
        <v>3</v>
      </c>
      <c r="BL362" t="s">
        <v>132</v>
      </c>
      <c r="BM362" t="s">
        <v>1</v>
      </c>
      <c r="BN362">
        <f>Tabla1[[#This Row],[precio del paquete]]</f>
        <v>12900</v>
      </c>
      <c r="BO362" t="s">
        <v>1</v>
      </c>
      <c r="BP362" t="s">
        <v>1</v>
      </c>
      <c r="BQ362" t="s">
        <v>1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0</v>
      </c>
      <c r="BX362" t="s">
        <v>1</v>
      </c>
      <c r="BY362" t="s">
        <v>1</v>
      </c>
      <c r="BZ362" t="s">
        <v>1</v>
      </c>
      <c r="CA362" t="s">
        <v>1</v>
      </c>
      <c r="CB362" t="s">
        <v>3382</v>
      </c>
      <c r="CD362" t="str" cm="1">
        <f t="array" aca="1" ref="CD362" ca="1">eConcatenar(A362:CB362,"|")</f>
        <v>waKINiWXu2E91414|PAR2020-1300|3|IMPERIAL DE LUJO|TABASCO|PARAISO|PARAISO|2020-07-16|12900|0|200|50|1|0|0|0|0|0|0|0|0|0|0||0|0|0|ALEJANDRO|LANDERO|LAZARO|SOLTERO|X|X|PRIMERA ENTRADA DE LA ISLITA SIN NUMERO|RANCHERIA MOCTEZUMA |X|9331494076|X|X|X|PRIMERA ENTRADA DE LA ISLITA SIN NUMERO|X|LUNES|x|x|x|x|x|DOMICILIO |6700|6200|X|X|X|2022-02-01|2022-02-08|x|x|x|x|x|LMVFBKKJKSMXN4L|x|HOMBRE|X|12900|X|X|X|X|X|X|X|X|CARDENAS|X|X|X|X|FINAL</v>
      </c>
    </row>
    <row r="363" spans="1:82" x14ac:dyDescent="0.25">
      <c r="A363" t="s">
        <v>833</v>
      </c>
      <c r="B363" t="s">
        <v>834</v>
      </c>
      <c r="C363">
        <v>3</v>
      </c>
      <c r="D363" t="s">
        <v>1372</v>
      </c>
      <c r="E363" t="s">
        <v>1380</v>
      </c>
      <c r="F363" t="s">
        <v>1385</v>
      </c>
      <c r="G363" t="s">
        <v>1385</v>
      </c>
      <c r="H363" t="s">
        <v>1538</v>
      </c>
      <c r="I363">
        <v>12900</v>
      </c>
      <c r="J363">
        <v>0</v>
      </c>
      <c r="K363">
        <v>100</v>
      </c>
      <c r="L363">
        <v>50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Y363">
        <v>0</v>
      </c>
      <c r="Z363">
        <v>0</v>
      </c>
      <c r="AA363">
        <v>0</v>
      </c>
      <c r="AB363" t="s">
        <v>1725</v>
      </c>
      <c r="AC363" t="s">
        <v>1776</v>
      </c>
      <c r="AD363" t="s">
        <v>2178</v>
      </c>
      <c r="AE363" t="s">
        <v>4</v>
      </c>
      <c r="AF363" t="s">
        <v>1</v>
      </c>
      <c r="AG363" t="s">
        <v>1</v>
      </c>
      <c r="AH363" t="s">
        <v>2745</v>
      </c>
      <c r="AI363" t="s">
        <v>3144</v>
      </c>
      <c r="AJ363" t="s">
        <v>1</v>
      </c>
      <c r="AK363">
        <v>9331678300</v>
      </c>
      <c r="AL363" t="s">
        <v>1</v>
      </c>
      <c r="AM363" t="s">
        <v>1</v>
      </c>
      <c r="AN363" t="s">
        <v>1</v>
      </c>
      <c r="AO363" t="s">
        <v>2745</v>
      </c>
      <c r="AP363" t="s">
        <v>1</v>
      </c>
      <c r="AQ363" t="s">
        <v>2</v>
      </c>
      <c r="AR363" t="s">
        <v>3</v>
      </c>
      <c r="AS363" t="s">
        <v>3</v>
      </c>
      <c r="AT363" t="s">
        <v>3</v>
      </c>
      <c r="AU363" t="s">
        <v>3</v>
      </c>
      <c r="AV363" t="s">
        <v>3</v>
      </c>
      <c r="AW363" t="s">
        <v>11</v>
      </c>
      <c r="AX363">
        <f>Tabla1[[#This Row],[precio del paquete]]-Tabla1[[#This Row],[Saldo_Deudor]]</f>
        <v>5750</v>
      </c>
      <c r="AY363">
        <v>7150</v>
      </c>
      <c r="AZ363" t="s">
        <v>1</v>
      </c>
      <c r="BA363" t="s">
        <v>1</v>
      </c>
      <c r="BB363" t="s">
        <v>1</v>
      </c>
      <c r="BC363" t="s">
        <v>1405</v>
      </c>
      <c r="BD363" t="s">
        <v>3251</v>
      </c>
      <c r="BE363" t="s">
        <v>3</v>
      </c>
      <c r="BF363" t="s">
        <v>3</v>
      </c>
      <c r="BG363" t="s">
        <v>3</v>
      </c>
      <c r="BH363" t="s">
        <v>3</v>
      </c>
      <c r="BI363" t="s">
        <v>3</v>
      </c>
      <c r="BJ363" t="s">
        <v>3379</v>
      </c>
      <c r="BK363" t="s">
        <v>3</v>
      </c>
      <c r="BL363" t="s">
        <v>132</v>
      </c>
      <c r="BM363" t="s">
        <v>1</v>
      </c>
      <c r="BN363">
        <f>Tabla1[[#This Row],[precio del paquete]]</f>
        <v>12900</v>
      </c>
      <c r="BO363" t="s">
        <v>1</v>
      </c>
      <c r="BP363" t="s">
        <v>1</v>
      </c>
      <c r="BQ363" t="s">
        <v>1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0</v>
      </c>
      <c r="BX363" t="s">
        <v>1</v>
      </c>
      <c r="BY363" t="s">
        <v>1</v>
      </c>
      <c r="BZ363" t="s">
        <v>1</v>
      </c>
      <c r="CA363" t="s">
        <v>1</v>
      </c>
      <c r="CB363" t="s">
        <v>3382</v>
      </c>
      <c r="CD363" t="str" cm="1">
        <f t="array" aca="1" ref="CD363" ca="1">eConcatenar(A363:CB363,"|")</f>
        <v>ZfD0AvYhdCznq1by|PAR2020-1969|3|IMPERIAL DE LUJO|TABASCO|PARAISO|PARAISO|2020-09-19|12900|0|100|50|0|0|0|0|0|0|0|0|0|0|0||0|0|0|SANTOS|AVALOS|ASUNCION|SOLTERO|X|X|CARRETERA VECINAL PARAISO - COMALCALCO|RANCHERIA MOCTEZUMA |X|9331678300|X|X|X|CARRETERA VECINAL PARAISO - COMALCALCO|X|LUNES|x|x|x|x|x|DOMICILIO |5750|7150|X|X|X|2022-02-15|2022-02-22|x|x|x|x|x|LMVFBKKJKSMXN4L|x|HOMBRE|X|12900|X|X|X|X|X|X|X|X|CARDENAS|X|X|X|X|FINAL</v>
      </c>
    </row>
    <row r="364" spans="1:82" x14ac:dyDescent="0.25">
      <c r="A364" t="s">
        <v>835</v>
      </c>
      <c r="B364" t="s">
        <v>836</v>
      </c>
      <c r="C364">
        <v>3</v>
      </c>
      <c r="D364" t="s">
        <v>1372</v>
      </c>
      <c r="E364" t="s">
        <v>1380</v>
      </c>
      <c r="F364" t="s">
        <v>1385</v>
      </c>
      <c r="G364" t="s">
        <v>1385</v>
      </c>
      <c r="H364" t="s">
        <v>1539</v>
      </c>
      <c r="I364">
        <v>12900</v>
      </c>
      <c r="J364">
        <v>0</v>
      </c>
      <c r="K364">
        <v>100</v>
      </c>
      <c r="L364">
        <v>50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Y364">
        <v>0</v>
      </c>
      <c r="Z364">
        <v>0</v>
      </c>
      <c r="AA364">
        <v>0</v>
      </c>
      <c r="AB364" t="s">
        <v>7</v>
      </c>
      <c r="AC364" t="s">
        <v>1711</v>
      </c>
      <c r="AD364" t="s">
        <v>1876</v>
      </c>
      <c r="AE364" t="s">
        <v>4</v>
      </c>
      <c r="AF364" t="s">
        <v>1</v>
      </c>
      <c r="AG364" t="s">
        <v>1</v>
      </c>
      <c r="AH364" t="s">
        <v>2746</v>
      </c>
      <c r="AI364" t="s">
        <v>3144</v>
      </c>
      <c r="AJ364" t="s">
        <v>1</v>
      </c>
      <c r="AK364">
        <v>933327</v>
      </c>
      <c r="AL364" t="s">
        <v>1</v>
      </c>
      <c r="AM364" t="s">
        <v>1</v>
      </c>
      <c r="AN364" t="s">
        <v>1</v>
      </c>
      <c r="AO364" t="s">
        <v>2746</v>
      </c>
      <c r="AP364" t="s">
        <v>1</v>
      </c>
      <c r="AQ364" t="s">
        <v>2</v>
      </c>
      <c r="AR364" t="s">
        <v>3</v>
      </c>
      <c r="AS364" t="s">
        <v>3</v>
      </c>
      <c r="AT364" t="s">
        <v>3</v>
      </c>
      <c r="AU364" t="s">
        <v>3</v>
      </c>
      <c r="AV364" t="s">
        <v>3</v>
      </c>
      <c r="AW364" t="s">
        <v>11</v>
      </c>
      <c r="AX364">
        <f>Tabla1[[#This Row],[precio del paquete]]-Tabla1[[#This Row],[Saldo_Deudor]]</f>
        <v>7350</v>
      </c>
      <c r="AY364">
        <v>5550</v>
      </c>
      <c r="AZ364" t="s">
        <v>1</v>
      </c>
      <c r="BA364" t="s">
        <v>1</v>
      </c>
      <c r="BB364" t="s">
        <v>1</v>
      </c>
      <c r="BC364" t="s">
        <v>1405</v>
      </c>
      <c r="BD364" t="s">
        <v>3251</v>
      </c>
      <c r="BE364" t="s">
        <v>3</v>
      </c>
      <c r="BF364" t="s">
        <v>3</v>
      </c>
      <c r="BG364" t="s">
        <v>3</v>
      </c>
      <c r="BH364" t="s">
        <v>3</v>
      </c>
      <c r="BI364" t="s">
        <v>3</v>
      </c>
      <c r="BJ364" t="s">
        <v>3379</v>
      </c>
      <c r="BK364" t="s">
        <v>3</v>
      </c>
      <c r="BL364" t="s">
        <v>132</v>
      </c>
      <c r="BM364" t="s">
        <v>1</v>
      </c>
      <c r="BN364">
        <f>Tabla1[[#This Row],[precio del paquete]]</f>
        <v>12900</v>
      </c>
      <c r="BO364" t="s">
        <v>1</v>
      </c>
      <c r="BP364" t="s">
        <v>1</v>
      </c>
      <c r="BQ364" t="s">
        <v>1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0</v>
      </c>
      <c r="BX364" t="s">
        <v>1</v>
      </c>
      <c r="BY364" t="s">
        <v>1</v>
      </c>
      <c r="BZ364" t="s">
        <v>1</v>
      </c>
      <c r="CA364" t="s">
        <v>1</v>
      </c>
      <c r="CB364" t="s">
        <v>3382</v>
      </c>
      <c r="CD364" t="str" cm="1">
        <f t="array" aca="1" ref="CD364" ca="1">eConcatenar(A364:CB364,"|")</f>
        <v>qy2UaTeymm3DpDRK|PAR2020-1946|3|IMPERIAL DE LUJO|TABASCO|PARAISO|PARAISO|2020-09-10|12900|0|100|50|0|0|0|0|0|0|0|0|0|0|0||0|0|0|LOPEZ|HERNANDEZ|ALICIA|SOLTERO|X|X|ENTRADA LA BIBLIOTECA SIN NUMERO|RANCHERIA MOCTEZUMA |X|933327|X|X|X|ENTRADA LA BIBLIOTECA SIN NUMERO|X|LUNES|x|x|x|x|x|DOMICILIO |7350|5550|X|X|X|2022-02-15|2022-02-22|x|x|x|x|x|LMVFBKKJKSMXN4L|x|HOMBRE|X|12900|X|X|X|X|X|X|X|X|CARDENAS|X|X|X|X|FINAL</v>
      </c>
    </row>
    <row r="365" spans="1:82" x14ac:dyDescent="0.25">
      <c r="A365" t="s">
        <v>837</v>
      </c>
      <c r="B365" t="s">
        <v>838</v>
      </c>
      <c r="C365">
        <v>3</v>
      </c>
      <c r="D365" t="s">
        <v>1372</v>
      </c>
      <c r="E365" t="s">
        <v>1380</v>
      </c>
      <c r="F365" t="s">
        <v>1385</v>
      </c>
      <c r="G365" t="s">
        <v>1385</v>
      </c>
      <c r="H365" t="s">
        <v>1539</v>
      </c>
      <c r="I365">
        <v>12900</v>
      </c>
      <c r="J365">
        <v>0</v>
      </c>
      <c r="K365">
        <v>200</v>
      </c>
      <c r="L365">
        <v>50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Y365">
        <v>0</v>
      </c>
      <c r="Z365">
        <v>0</v>
      </c>
      <c r="AA365">
        <v>0</v>
      </c>
      <c r="AB365" t="s">
        <v>1695</v>
      </c>
      <c r="AC365" t="s">
        <v>1960</v>
      </c>
      <c r="AD365" t="s">
        <v>2179</v>
      </c>
      <c r="AE365" t="s">
        <v>4</v>
      </c>
      <c r="AF365" t="s">
        <v>1</v>
      </c>
      <c r="AG365" t="s">
        <v>1</v>
      </c>
      <c r="AH365" t="s">
        <v>2747</v>
      </c>
      <c r="AI365" t="s">
        <v>3145</v>
      </c>
      <c r="AJ365" t="s">
        <v>1</v>
      </c>
      <c r="AK365">
        <v>9331341072</v>
      </c>
      <c r="AL365" t="s">
        <v>1</v>
      </c>
      <c r="AM365" t="s">
        <v>1</v>
      </c>
      <c r="AN365" t="s">
        <v>1</v>
      </c>
      <c r="AO365" t="s">
        <v>2747</v>
      </c>
      <c r="AP365" t="s">
        <v>1</v>
      </c>
      <c r="AQ365" t="s">
        <v>2</v>
      </c>
      <c r="AR365" t="s">
        <v>3</v>
      </c>
      <c r="AS365" t="s">
        <v>3</v>
      </c>
      <c r="AT365" t="s">
        <v>3</v>
      </c>
      <c r="AU365" t="s">
        <v>3</v>
      </c>
      <c r="AV365" t="s">
        <v>3</v>
      </c>
      <c r="AW365" t="s">
        <v>11</v>
      </c>
      <c r="AX365">
        <f>Tabla1[[#This Row],[precio del paquete]]-Tabla1[[#This Row],[Saldo_Deudor]]</f>
        <v>4300</v>
      </c>
      <c r="AY365">
        <v>8600</v>
      </c>
      <c r="AZ365" t="s">
        <v>1</v>
      </c>
      <c r="BA365" t="s">
        <v>1</v>
      </c>
      <c r="BB365" t="s">
        <v>1</v>
      </c>
      <c r="BC365" t="s">
        <v>1405</v>
      </c>
      <c r="BD365" t="s">
        <v>3251</v>
      </c>
      <c r="BE365" t="s">
        <v>3</v>
      </c>
      <c r="BF365" t="s">
        <v>3</v>
      </c>
      <c r="BG365" t="s">
        <v>3</v>
      </c>
      <c r="BH365" t="s">
        <v>3</v>
      </c>
      <c r="BI365" t="s">
        <v>3</v>
      </c>
      <c r="BJ365" t="s">
        <v>3379</v>
      </c>
      <c r="BK365" t="s">
        <v>3</v>
      </c>
      <c r="BL365" t="s">
        <v>132</v>
      </c>
      <c r="BM365" t="s">
        <v>1</v>
      </c>
      <c r="BN365">
        <f>Tabla1[[#This Row],[precio del paquete]]</f>
        <v>12900</v>
      </c>
      <c r="BO365" t="s">
        <v>1</v>
      </c>
      <c r="BP365" t="s">
        <v>1</v>
      </c>
      <c r="BQ365" t="s">
        <v>1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0</v>
      </c>
      <c r="BX365" t="s">
        <v>1</v>
      </c>
      <c r="BY365" t="s">
        <v>1</v>
      </c>
      <c r="BZ365" t="s">
        <v>1</v>
      </c>
      <c r="CA365" t="s">
        <v>1</v>
      </c>
      <c r="CB365" t="s">
        <v>3382</v>
      </c>
      <c r="CD365" t="str" cm="1">
        <f t="array" aca="1" ref="CD365" ca="1">eConcatenar(A365:CB365,"|")</f>
        <v>S88IUug8uRTQfuBV|PAR2020-1941|3|IMPERIAL DE LUJO|TABASCO|PARAISO|PARAISO|2020-09-10|12900|0|200|50|0|0|0|0|0|0|0|0|0|0|0||0|0|0|MORALES|CALDERON|OTILIA|SOLTERO|X|X|ENTRADA LOS ARIAS 2 AL FINAL A UN COSTADO DE PURIFICADORA|RANCHERIA MOCTEZUMA PRIMERA SECCION|X|9331341072|X|X|X|ENTRADA LOS ARIAS 2 AL FINAL A UN COSTADO DE PURIFICADORA|X|LUNES|x|x|x|x|x|DOMICILIO |4300|8600|X|X|X|2022-02-15|2022-02-22|x|x|x|x|x|LMVFBKKJKSMXN4L|x|HOMBRE|X|12900|X|X|X|X|X|X|X|X|CARDENAS|X|X|X|X|FINAL</v>
      </c>
    </row>
    <row r="366" spans="1:82" x14ac:dyDescent="0.25">
      <c r="A366" t="s">
        <v>839</v>
      </c>
      <c r="B366" t="s">
        <v>840</v>
      </c>
      <c r="C366">
        <v>3</v>
      </c>
      <c r="D366" t="s">
        <v>1372</v>
      </c>
      <c r="E366" t="s">
        <v>1380</v>
      </c>
      <c r="F366" t="s">
        <v>1385</v>
      </c>
      <c r="G366" t="s">
        <v>1385</v>
      </c>
      <c r="H366" t="s">
        <v>1539</v>
      </c>
      <c r="I366">
        <v>12900</v>
      </c>
      <c r="J366">
        <v>0</v>
      </c>
      <c r="K366">
        <v>100</v>
      </c>
      <c r="L366">
        <v>50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Y366">
        <v>0</v>
      </c>
      <c r="Z366">
        <v>0</v>
      </c>
      <c r="AA366">
        <v>0</v>
      </c>
      <c r="AB366" t="s">
        <v>1758</v>
      </c>
      <c r="AC366" t="s">
        <v>1698</v>
      </c>
      <c r="AD366" t="s">
        <v>2180</v>
      </c>
      <c r="AE366" t="s">
        <v>4</v>
      </c>
      <c r="AF366" t="s">
        <v>1</v>
      </c>
      <c r="AG366" t="s">
        <v>1</v>
      </c>
      <c r="AH366" t="s">
        <v>2748</v>
      </c>
      <c r="AI366" t="s">
        <v>3145</v>
      </c>
      <c r="AJ366" t="s">
        <v>1</v>
      </c>
      <c r="AK366">
        <v>9331372317</v>
      </c>
      <c r="AL366" t="s">
        <v>1</v>
      </c>
      <c r="AM366" t="s">
        <v>1</v>
      </c>
      <c r="AN366" t="s">
        <v>1</v>
      </c>
      <c r="AO366" t="s">
        <v>2748</v>
      </c>
      <c r="AP366" t="s">
        <v>1</v>
      </c>
      <c r="AQ366" t="s">
        <v>2</v>
      </c>
      <c r="AR366" t="s">
        <v>3</v>
      </c>
      <c r="AS366" t="s">
        <v>3</v>
      </c>
      <c r="AT366" t="s">
        <v>3</v>
      </c>
      <c r="AU366" t="s">
        <v>3</v>
      </c>
      <c r="AV366" t="s">
        <v>3</v>
      </c>
      <c r="AW366" t="s">
        <v>11</v>
      </c>
      <c r="AX366">
        <f>Tabla1[[#This Row],[precio del paquete]]-Tabla1[[#This Row],[Saldo_Deudor]]</f>
        <v>5300</v>
      </c>
      <c r="AY366">
        <v>7600</v>
      </c>
      <c r="AZ366" t="s">
        <v>1</v>
      </c>
      <c r="BA366" t="s">
        <v>1</v>
      </c>
      <c r="BB366" t="s">
        <v>1</v>
      </c>
      <c r="BC366" t="s">
        <v>1405</v>
      </c>
      <c r="BD366" t="s">
        <v>3251</v>
      </c>
      <c r="BE366" t="s">
        <v>3</v>
      </c>
      <c r="BF366" t="s">
        <v>3</v>
      </c>
      <c r="BG366" t="s">
        <v>3</v>
      </c>
      <c r="BH366" t="s">
        <v>3</v>
      </c>
      <c r="BI366" t="s">
        <v>3</v>
      </c>
      <c r="BJ366" t="s">
        <v>3379</v>
      </c>
      <c r="BK366" t="s">
        <v>3</v>
      </c>
      <c r="BL366" t="s">
        <v>132</v>
      </c>
      <c r="BM366" t="s">
        <v>1</v>
      </c>
      <c r="BN366">
        <f>Tabla1[[#This Row],[precio del paquete]]</f>
        <v>12900</v>
      </c>
      <c r="BO366" t="s">
        <v>1</v>
      </c>
      <c r="BP366" t="s">
        <v>1</v>
      </c>
      <c r="BQ366" t="s">
        <v>1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0</v>
      </c>
      <c r="BX366" t="s">
        <v>1</v>
      </c>
      <c r="BY366" t="s">
        <v>1</v>
      </c>
      <c r="BZ366" t="s">
        <v>1</v>
      </c>
      <c r="CA366" t="s">
        <v>1</v>
      </c>
      <c r="CB366" t="s">
        <v>3382</v>
      </c>
      <c r="CD366" t="str" cm="1">
        <f t="array" aca="1" ref="CD366" ca="1">eConcatenar(A366:CB366,"|")</f>
        <v>ZTcW39UzaDldgUwg|PAR2020-1949|3|IMPERIAL DE LUJO|TABASCO|PARAISO|PARAISO|2020-09-10|12900|0|100|50|0|0|0|0|0|0|0|0|0|0|0||0|0|0|ARIAS|VAZQUEZ|DAVID ENRIQUE|SOLTERO|X|X|ENTRADA DE LOS ARIAS|RANCHERIA MOCTEZUMA PRIMERA SECCION|X|9331372317|X|X|X|ENTRADA DE LOS ARIAS|X|LUNES|x|x|x|x|x|DOMICILIO |5300|7600|X|X|X|2022-02-15|2022-02-22|x|x|x|x|x|LMVFBKKJKSMXN4L|x|HOMBRE|X|12900|X|X|X|X|X|X|X|X|CARDENAS|X|X|X|X|FINAL</v>
      </c>
    </row>
    <row r="367" spans="1:82" x14ac:dyDescent="0.25">
      <c r="A367" t="s">
        <v>841</v>
      </c>
      <c r="B367" t="s">
        <v>842</v>
      </c>
      <c r="C367">
        <v>3</v>
      </c>
      <c r="D367" t="s">
        <v>1372</v>
      </c>
      <c r="E367" t="s">
        <v>1380</v>
      </c>
      <c r="F367" t="s">
        <v>1385</v>
      </c>
      <c r="G367" t="s">
        <v>1385</v>
      </c>
      <c r="H367" t="s">
        <v>1540</v>
      </c>
      <c r="I367">
        <v>12900</v>
      </c>
      <c r="J367">
        <v>0</v>
      </c>
      <c r="K367">
        <v>200</v>
      </c>
      <c r="L367">
        <v>50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Y367">
        <v>0</v>
      </c>
      <c r="Z367">
        <v>0</v>
      </c>
      <c r="AA367">
        <v>0</v>
      </c>
      <c r="AB367" t="s">
        <v>1852</v>
      </c>
      <c r="AC367" t="s">
        <v>1731</v>
      </c>
      <c r="AD367" t="s">
        <v>1755</v>
      </c>
      <c r="AE367" t="s">
        <v>4</v>
      </c>
      <c r="AF367" t="s">
        <v>1</v>
      </c>
      <c r="AG367" t="s">
        <v>1</v>
      </c>
      <c r="AH367" t="s">
        <v>2745</v>
      </c>
      <c r="AI367" t="s">
        <v>3146</v>
      </c>
      <c r="AJ367" t="s">
        <v>1</v>
      </c>
      <c r="AK367">
        <v>9331329634</v>
      </c>
      <c r="AL367" t="s">
        <v>1</v>
      </c>
      <c r="AM367" t="s">
        <v>1</v>
      </c>
      <c r="AN367" t="s">
        <v>1</v>
      </c>
      <c r="AO367" t="s">
        <v>2745</v>
      </c>
      <c r="AP367" t="s">
        <v>1</v>
      </c>
      <c r="AQ367" t="s">
        <v>2</v>
      </c>
      <c r="AR367" t="s">
        <v>3</v>
      </c>
      <c r="AS367" t="s">
        <v>3</v>
      </c>
      <c r="AT367" t="s">
        <v>3</v>
      </c>
      <c r="AU367" t="s">
        <v>3</v>
      </c>
      <c r="AV367" t="s">
        <v>3</v>
      </c>
      <c r="AW367" t="s">
        <v>11</v>
      </c>
      <c r="AX367">
        <f>Tabla1[[#This Row],[precio del paquete]]-Tabla1[[#This Row],[Saldo_Deudor]]</f>
        <v>7000</v>
      </c>
      <c r="AY367">
        <v>5900</v>
      </c>
      <c r="AZ367" t="s">
        <v>1</v>
      </c>
      <c r="BA367" t="s">
        <v>1</v>
      </c>
      <c r="BB367" t="s">
        <v>1</v>
      </c>
      <c r="BC367" t="s">
        <v>1405</v>
      </c>
      <c r="BD367" t="s">
        <v>3251</v>
      </c>
      <c r="BE367" t="s">
        <v>3</v>
      </c>
      <c r="BF367" t="s">
        <v>3</v>
      </c>
      <c r="BG367" t="s">
        <v>3</v>
      </c>
      <c r="BH367" t="s">
        <v>3</v>
      </c>
      <c r="BI367" t="s">
        <v>3</v>
      </c>
      <c r="BJ367" t="s">
        <v>3379</v>
      </c>
      <c r="BK367" t="s">
        <v>3</v>
      </c>
      <c r="BL367" t="s">
        <v>132</v>
      </c>
      <c r="BM367" t="s">
        <v>1</v>
      </c>
      <c r="BN367">
        <f>Tabla1[[#This Row],[precio del paquete]]</f>
        <v>12900</v>
      </c>
      <c r="BO367" t="s">
        <v>1</v>
      </c>
      <c r="BP367" t="s">
        <v>1</v>
      </c>
      <c r="BQ367" t="s">
        <v>1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0</v>
      </c>
      <c r="BX367" t="s">
        <v>1</v>
      </c>
      <c r="BY367" t="s">
        <v>1</v>
      </c>
      <c r="BZ367" t="s">
        <v>1</v>
      </c>
      <c r="CA367" t="s">
        <v>1</v>
      </c>
      <c r="CB367" t="s">
        <v>3382</v>
      </c>
      <c r="CD367" t="str" cm="1">
        <f t="array" aca="1" ref="CD367" ca="1">eConcatenar(A367:CB367,"|")</f>
        <v>rNoWtSV5Ee3Q3m8I|PAR2020-1960|3|IMPERIAL DE LUJO|TABASCO|PARAISO|PARAISO|2020-09-12|12900|0|200|50|0|0|0|0|0|0|0|0|0|0|0||0|0|0|MADRIGAL|GARCIA|DANIEL|SOLTERO|X|X|CARRETERA VECINAL PARAISO - COMALCALCO|RANCHERIA MOCTEZUMA|X|9331329634|X|X|X|CARRETERA VECINAL PARAISO - COMALCALCO|X|LUNES|x|x|x|x|x|DOMICILIO |7000|5900|X|X|X|2022-02-15|2022-02-22|x|x|x|x|x|LMVFBKKJKSMXN4L|x|HOMBRE|X|12900|X|X|X|X|X|X|X|X|CARDENAS|X|X|X|X|FINAL</v>
      </c>
    </row>
    <row r="368" spans="1:82" x14ac:dyDescent="0.25">
      <c r="A368" t="s">
        <v>843</v>
      </c>
      <c r="B368" t="s">
        <v>844</v>
      </c>
      <c r="C368">
        <v>3</v>
      </c>
      <c r="D368" t="s">
        <v>1372</v>
      </c>
      <c r="E368" t="s">
        <v>1380</v>
      </c>
      <c r="F368" t="s">
        <v>1385</v>
      </c>
      <c r="G368" t="s">
        <v>1385</v>
      </c>
      <c r="H368" t="s">
        <v>1534</v>
      </c>
      <c r="I368">
        <v>12900</v>
      </c>
      <c r="J368">
        <v>0</v>
      </c>
      <c r="K368">
        <v>100</v>
      </c>
      <c r="L368">
        <v>50</v>
      </c>
      <c r="M368">
        <v>1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Y368">
        <v>0</v>
      </c>
      <c r="Z368">
        <v>0</v>
      </c>
      <c r="AA368">
        <v>0</v>
      </c>
      <c r="AB368" t="s">
        <v>1699</v>
      </c>
      <c r="AC368" t="s">
        <v>1758</v>
      </c>
      <c r="AD368" t="s">
        <v>2181</v>
      </c>
      <c r="AE368" t="s">
        <v>4</v>
      </c>
      <c r="AF368" t="s">
        <v>1</v>
      </c>
      <c r="AG368" t="s">
        <v>1</v>
      </c>
      <c r="AH368" t="s">
        <v>2749</v>
      </c>
      <c r="AI368" t="s">
        <v>3147</v>
      </c>
      <c r="AJ368" t="s">
        <v>1</v>
      </c>
      <c r="AK368">
        <v>9331350840</v>
      </c>
      <c r="AL368" t="s">
        <v>1</v>
      </c>
      <c r="AM368" t="s">
        <v>1</v>
      </c>
      <c r="AN368" t="s">
        <v>1</v>
      </c>
      <c r="AO368" t="s">
        <v>2749</v>
      </c>
      <c r="AP368" t="s">
        <v>1</v>
      </c>
      <c r="AQ368" t="s">
        <v>2</v>
      </c>
      <c r="AR368" t="s">
        <v>3</v>
      </c>
      <c r="AS368" t="s">
        <v>3</v>
      </c>
      <c r="AT368" t="s">
        <v>3</v>
      </c>
      <c r="AU368" t="s">
        <v>3</v>
      </c>
      <c r="AV368" t="s">
        <v>3</v>
      </c>
      <c r="AW368" t="s">
        <v>11</v>
      </c>
      <c r="AX368">
        <f>Tabla1[[#This Row],[precio del paquete]]-Tabla1[[#This Row],[Saldo_Deudor]]</f>
        <v>4900</v>
      </c>
      <c r="AY368">
        <v>8000</v>
      </c>
      <c r="AZ368" t="s">
        <v>1</v>
      </c>
      <c r="BA368" t="s">
        <v>1</v>
      </c>
      <c r="BB368" t="s">
        <v>1</v>
      </c>
      <c r="BC368" t="s">
        <v>1405</v>
      </c>
      <c r="BD368" t="s">
        <v>3251</v>
      </c>
      <c r="BE368" t="s">
        <v>3</v>
      </c>
      <c r="BF368" t="s">
        <v>3</v>
      </c>
      <c r="BG368" t="s">
        <v>3</v>
      </c>
      <c r="BH368" t="s">
        <v>3</v>
      </c>
      <c r="BI368" t="s">
        <v>3</v>
      </c>
      <c r="BJ368" t="s">
        <v>3379</v>
      </c>
      <c r="BK368" t="s">
        <v>3</v>
      </c>
      <c r="BL368" t="s">
        <v>132</v>
      </c>
      <c r="BM368" t="s">
        <v>1</v>
      </c>
      <c r="BN368">
        <f>Tabla1[[#This Row],[precio del paquete]]</f>
        <v>12900</v>
      </c>
      <c r="BO368" t="s">
        <v>1</v>
      </c>
      <c r="BP368" t="s">
        <v>1</v>
      </c>
      <c r="BQ368" t="s">
        <v>1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0</v>
      </c>
      <c r="BX368" t="s">
        <v>1</v>
      </c>
      <c r="BY368" t="s">
        <v>1</v>
      </c>
      <c r="BZ368" t="s">
        <v>1</v>
      </c>
      <c r="CA368" t="s">
        <v>1</v>
      </c>
      <c r="CB368" t="s">
        <v>3382</v>
      </c>
      <c r="CD368" t="str" cm="1">
        <f t="array" aca="1" ref="CD368" ca="1">eConcatenar(A368:CB368,"|")</f>
        <v>eKWEGs9VjEFlEp1W|PAR2020-1324|3|IMPERIAL DE LUJO|TABASCO|PARAISO|PARAISO|2020-07-21|12900|0|100|50|1|0|0|0|0|0|0|0|0|0|0||0|0|0|CORDOVA|ARIAS|RENAN|SOLTERO|X|X|CALLE LOS CORDOVA PEREZ|COLONIA MOCTEZUMA SEGUNDA SECCION|X|9331350840|X|X|X|CALLE LOS CORDOVA PEREZ|X|LUNES|x|x|x|x|x|DOMICILIO |4900|8000|X|X|X|2022-02-15|2022-02-22|x|x|x|x|x|LMVFBKKJKSMXN4L|x|HOMBRE|X|12900|X|X|X|X|X|X|X|X|CARDENAS|X|X|X|X|FINAL</v>
      </c>
    </row>
    <row r="369" spans="1:82" x14ac:dyDescent="0.25">
      <c r="A369" t="s">
        <v>845</v>
      </c>
      <c r="B369" t="s">
        <v>846</v>
      </c>
      <c r="C369">
        <v>3</v>
      </c>
      <c r="D369" t="s">
        <v>1372</v>
      </c>
      <c r="E369" t="s">
        <v>1380</v>
      </c>
      <c r="F369" t="s">
        <v>1385</v>
      </c>
      <c r="G369" t="s">
        <v>1385</v>
      </c>
      <c r="H369" t="s">
        <v>1541</v>
      </c>
      <c r="I369">
        <v>12900</v>
      </c>
      <c r="J369">
        <v>0</v>
      </c>
      <c r="K369">
        <v>100</v>
      </c>
      <c r="L369">
        <v>50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Y369">
        <v>0</v>
      </c>
      <c r="Z369">
        <v>0</v>
      </c>
      <c r="AA369">
        <v>0</v>
      </c>
      <c r="AB369" t="s">
        <v>1812</v>
      </c>
      <c r="AC369" t="s">
        <v>1699</v>
      </c>
      <c r="AD369" t="s">
        <v>1922</v>
      </c>
      <c r="AE369" t="s">
        <v>4</v>
      </c>
      <c r="AF369" t="s">
        <v>1</v>
      </c>
      <c r="AG369" t="s">
        <v>1</v>
      </c>
      <c r="AH369" t="s">
        <v>2745</v>
      </c>
      <c r="AI369" t="s">
        <v>3146</v>
      </c>
      <c r="AJ369" t="s">
        <v>1</v>
      </c>
      <c r="AK369">
        <v>9331683373</v>
      </c>
      <c r="AL369" t="s">
        <v>1</v>
      </c>
      <c r="AM369" t="s">
        <v>1</v>
      </c>
      <c r="AN369" t="s">
        <v>1</v>
      </c>
      <c r="AO369" t="s">
        <v>2745</v>
      </c>
      <c r="AP369" t="s">
        <v>1</v>
      </c>
      <c r="AQ369" t="s">
        <v>2</v>
      </c>
      <c r="AR369" t="s">
        <v>3</v>
      </c>
      <c r="AS369" t="s">
        <v>3</v>
      </c>
      <c r="AT369" t="s">
        <v>3</v>
      </c>
      <c r="AU369" t="s">
        <v>3</v>
      </c>
      <c r="AV369" t="s">
        <v>3</v>
      </c>
      <c r="AW369" t="s">
        <v>11</v>
      </c>
      <c r="AX369">
        <f>Tabla1[[#This Row],[precio del paquete]]-Tabla1[[#This Row],[Saldo_Deudor]]</f>
        <v>7050</v>
      </c>
      <c r="AY369">
        <v>5850</v>
      </c>
      <c r="AZ369" t="s">
        <v>1</v>
      </c>
      <c r="BA369" t="s">
        <v>1</v>
      </c>
      <c r="BB369" t="s">
        <v>1</v>
      </c>
      <c r="BC369" t="s">
        <v>1405</v>
      </c>
      <c r="BD369" t="s">
        <v>3251</v>
      </c>
      <c r="BE369" t="s">
        <v>3</v>
      </c>
      <c r="BF369" t="s">
        <v>3</v>
      </c>
      <c r="BG369" t="s">
        <v>3</v>
      </c>
      <c r="BH369" t="s">
        <v>3</v>
      </c>
      <c r="BI369" t="s">
        <v>3</v>
      </c>
      <c r="BJ369" t="s">
        <v>3379</v>
      </c>
      <c r="BK369" t="s">
        <v>3</v>
      </c>
      <c r="BL369" t="s">
        <v>132</v>
      </c>
      <c r="BM369" t="s">
        <v>1</v>
      </c>
      <c r="BN369">
        <f>Tabla1[[#This Row],[precio del paquete]]</f>
        <v>12900</v>
      </c>
      <c r="BO369" t="s">
        <v>1</v>
      </c>
      <c r="BP369" t="s">
        <v>1</v>
      </c>
      <c r="BQ369" t="s">
        <v>1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0</v>
      </c>
      <c r="BX369" t="s">
        <v>1</v>
      </c>
      <c r="BY369" t="s">
        <v>1</v>
      </c>
      <c r="BZ369" t="s">
        <v>1</v>
      </c>
      <c r="CA369" t="s">
        <v>1</v>
      </c>
      <c r="CB369" t="s">
        <v>3382</v>
      </c>
      <c r="CD369" t="str" cm="1">
        <f t="array" aca="1" ref="CD369" ca="1">eConcatenar(A369:CB369,"|")</f>
        <v>BYM2kfmBhGq8lIY1|PAR2020-1915|3|IMPERIAL DE LUJO|TABASCO|PARAISO|PARAISO|2020-09-05|12900|0|100|50|0|0|0|0|0|0|0|0|0|0|0||0|0|0|SANCHEZ|CORDOVA|GUADALUPE|SOLTERO|X|X|CARRETERA VECINAL PARAISO - COMALCALCO|RANCHERIA MOCTEZUMA|X|9331683373|X|X|X|CARRETERA VECINAL PARAISO - COMALCALCO|X|LUNES|x|x|x|x|x|DOMICILIO |7050|5850|X|X|X|2022-02-15|2022-02-22|x|x|x|x|x|LMVFBKKJKSMXN4L|x|HOMBRE|X|12900|X|X|X|X|X|X|X|X|CARDENAS|X|X|X|X|FINAL</v>
      </c>
    </row>
    <row r="370" spans="1:82" x14ac:dyDescent="0.25">
      <c r="A370" t="s">
        <v>847</v>
      </c>
      <c r="B370" t="s">
        <v>848</v>
      </c>
      <c r="C370">
        <v>3</v>
      </c>
      <c r="D370" t="s">
        <v>1371</v>
      </c>
      <c r="E370" t="s">
        <v>1380</v>
      </c>
      <c r="F370" t="s">
        <v>1385</v>
      </c>
      <c r="G370" t="s">
        <v>1385</v>
      </c>
      <c r="H370" t="s">
        <v>1542</v>
      </c>
      <c r="I370">
        <v>12900</v>
      </c>
      <c r="J370">
        <v>0</v>
      </c>
      <c r="K370">
        <v>200</v>
      </c>
      <c r="L370">
        <v>50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Y370">
        <v>0</v>
      </c>
      <c r="Z370">
        <v>0</v>
      </c>
      <c r="AA370">
        <v>0</v>
      </c>
      <c r="AB370" t="s">
        <v>1725</v>
      </c>
      <c r="AC370" t="s">
        <v>1783</v>
      </c>
      <c r="AD370" t="s">
        <v>2182</v>
      </c>
      <c r="AE370" t="s">
        <v>4</v>
      </c>
      <c r="AF370" t="s">
        <v>1</v>
      </c>
      <c r="AG370" t="s">
        <v>1</v>
      </c>
      <c r="AH370" t="s">
        <v>2750</v>
      </c>
      <c r="AI370" t="s">
        <v>3148</v>
      </c>
      <c r="AJ370" t="s">
        <v>1</v>
      </c>
      <c r="AK370">
        <v>9331375817</v>
      </c>
      <c r="AL370" t="s">
        <v>1</v>
      </c>
      <c r="AM370" t="s">
        <v>1</v>
      </c>
      <c r="AN370" t="s">
        <v>1</v>
      </c>
      <c r="AO370" t="s">
        <v>2750</v>
      </c>
      <c r="AP370" t="s">
        <v>1</v>
      </c>
      <c r="AQ370" t="s">
        <v>2</v>
      </c>
      <c r="AR370" t="s">
        <v>3</v>
      </c>
      <c r="AS370" t="s">
        <v>3</v>
      </c>
      <c r="AT370" t="s">
        <v>3</v>
      </c>
      <c r="AU370" t="s">
        <v>3</v>
      </c>
      <c r="AV370" t="s">
        <v>3</v>
      </c>
      <c r="AW370" t="s">
        <v>11</v>
      </c>
      <c r="AX370">
        <f>Tabla1[[#This Row],[precio del paquete]]-Tabla1[[#This Row],[Saldo_Deudor]]</f>
        <v>7200</v>
      </c>
      <c r="AY370">
        <v>5700</v>
      </c>
      <c r="AZ370" t="s">
        <v>1</v>
      </c>
      <c r="BA370" t="s">
        <v>1</v>
      </c>
      <c r="BB370" t="s">
        <v>1</v>
      </c>
      <c r="BC370" t="s">
        <v>1405</v>
      </c>
      <c r="BD370" t="s">
        <v>3251</v>
      </c>
      <c r="BE370" t="s">
        <v>3</v>
      </c>
      <c r="BF370" t="s">
        <v>3</v>
      </c>
      <c r="BG370" t="s">
        <v>3</v>
      </c>
      <c r="BH370" t="s">
        <v>3</v>
      </c>
      <c r="BI370" t="s">
        <v>3</v>
      </c>
      <c r="BJ370" t="s">
        <v>3379</v>
      </c>
      <c r="BK370" t="s">
        <v>3</v>
      </c>
      <c r="BL370" t="s">
        <v>132</v>
      </c>
      <c r="BM370" t="s">
        <v>1</v>
      </c>
      <c r="BN370">
        <f>Tabla1[[#This Row],[precio del paquete]]</f>
        <v>12900</v>
      </c>
      <c r="BO370" t="s">
        <v>1</v>
      </c>
      <c r="BP370" t="s">
        <v>1</v>
      </c>
      <c r="BQ370" t="s">
        <v>1</v>
      </c>
      <c r="BR370" t="s">
        <v>1</v>
      </c>
      <c r="BS370" t="s">
        <v>1</v>
      </c>
      <c r="BT370" t="s">
        <v>1</v>
      </c>
      <c r="BU370" t="s">
        <v>1</v>
      </c>
      <c r="BV370" t="s">
        <v>1</v>
      </c>
      <c r="BW370" t="s">
        <v>0</v>
      </c>
      <c r="BX370" t="s">
        <v>1</v>
      </c>
      <c r="BY370" t="s">
        <v>1</v>
      </c>
      <c r="BZ370" t="s">
        <v>1</v>
      </c>
      <c r="CA370" t="s">
        <v>1</v>
      </c>
      <c r="CB370" t="s">
        <v>3382</v>
      </c>
      <c r="CD370" t="str" cm="1">
        <f t="array" aca="1" ref="CD370" ca="1">eConcatenar(A370:CB370,"|")</f>
        <v>QwLUI4YrIVMrYtH0|PAR2019-2534|3|ECONOLINE|TABASCO|PARAISO|PARAISO|2019-09-09|12900|0|200|50|1|0|0|0|0|0|0|0|0|0|0||0|0|0|SANTOS|MENDEZ|JOSE ALFREDO|SOLTERO|X|X|CARRETERA PRINCIPAL LAS FLORES|RANCHERIA LAS FLORES|X|9331375817|X|X|X|CARRETERA PRINCIPAL LAS FLORES|X|LUNES|x|x|x|x|x|DOMICILIO |7200|5700|X|X|X|2022-02-15|2022-02-22|x|x|x|x|x|LMVFBKKJKSMXN4L|x|HOMBRE|X|12900|X|X|X|X|X|X|X|X|CARDENAS|X|X|X|X|FINAL</v>
      </c>
    </row>
    <row r="371" spans="1:82" x14ac:dyDescent="0.25">
      <c r="A371" t="s">
        <v>849</v>
      </c>
      <c r="B371" t="s">
        <v>850</v>
      </c>
      <c r="C371">
        <v>3</v>
      </c>
      <c r="D371" t="s">
        <v>1369</v>
      </c>
      <c r="E371" t="s">
        <v>1380</v>
      </c>
      <c r="F371" t="s">
        <v>1385</v>
      </c>
      <c r="G371" t="s">
        <v>1385</v>
      </c>
      <c r="H371" t="s">
        <v>1543</v>
      </c>
      <c r="I371">
        <v>14800</v>
      </c>
      <c r="J371">
        <v>0</v>
      </c>
      <c r="K371">
        <v>200</v>
      </c>
      <c r="L371">
        <v>50</v>
      </c>
      <c r="M371">
        <v>1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Y371">
        <v>0</v>
      </c>
      <c r="Z371">
        <v>0</v>
      </c>
      <c r="AA371">
        <v>0</v>
      </c>
      <c r="AB371" t="s">
        <v>1963</v>
      </c>
      <c r="AC371" t="s">
        <v>1887</v>
      </c>
      <c r="AD371" t="s">
        <v>1764</v>
      </c>
      <c r="AE371" t="s">
        <v>4</v>
      </c>
      <c r="AF371" t="s">
        <v>1</v>
      </c>
      <c r="AG371" t="s">
        <v>1</v>
      </c>
      <c r="AH371" t="s">
        <v>2751</v>
      </c>
      <c r="AI371" t="s">
        <v>3149</v>
      </c>
      <c r="AJ371" t="s">
        <v>1</v>
      </c>
      <c r="AK371">
        <v>9331325062</v>
      </c>
      <c r="AL371" t="s">
        <v>1</v>
      </c>
      <c r="AM371" t="s">
        <v>1</v>
      </c>
      <c r="AN371" t="s">
        <v>1</v>
      </c>
      <c r="AO371" t="s">
        <v>2751</v>
      </c>
      <c r="AP371" t="s">
        <v>1</v>
      </c>
      <c r="AQ371" t="s">
        <v>2</v>
      </c>
      <c r="AR371" t="s">
        <v>3</v>
      </c>
      <c r="AS371" t="s">
        <v>3</v>
      </c>
      <c r="AT371" t="s">
        <v>3</v>
      </c>
      <c r="AU371" t="s">
        <v>3</v>
      </c>
      <c r="AV371" t="s">
        <v>3</v>
      </c>
      <c r="AW371" t="s">
        <v>11</v>
      </c>
      <c r="AX371">
        <f>Tabla1[[#This Row],[precio del paquete]]-Tabla1[[#This Row],[Saldo_Deudor]]</f>
        <v>1800</v>
      </c>
      <c r="AY371">
        <v>13000</v>
      </c>
      <c r="AZ371" t="s">
        <v>1</v>
      </c>
      <c r="BA371" t="s">
        <v>1</v>
      </c>
      <c r="BB371" t="s">
        <v>1</v>
      </c>
      <c r="BC371" t="s">
        <v>1405</v>
      </c>
      <c r="BD371" t="s">
        <v>3251</v>
      </c>
      <c r="BE371" t="s">
        <v>3</v>
      </c>
      <c r="BF371" t="s">
        <v>3</v>
      </c>
      <c r="BG371" t="s">
        <v>3</v>
      </c>
      <c r="BH371" t="s">
        <v>3</v>
      </c>
      <c r="BI371" t="s">
        <v>3</v>
      </c>
      <c r="BJ371" t="s">
        <v>3379</v>
      </c>
      <c r="BK371" t="s">
        <v>3</v>
      </c>
      <c r="BL371" t="s">
        <v>132</v>
      </c>
      <c r="BM371" t="s">
        <v>1</v>
      </c>
      <c r="BN371">
        <f>Tabla1[[#This Row],[precio del paquete]]</f>
        <v>14800</v>
      </c>
      <c r="BO371" t="s">
        <v>1</v>
      </c>
      <c r="BP371" t="s">
        <v>1</v>
      </c>
      <c r="BQ371" t="s">
        <v>1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0</v>
      </c>
      <c r="BX371" t="s">
        <v>1</v>
      </c>
      <c r="BY371" t="s">
        <v>1</v>
      </c>
      <c r="BZ371" t="s">
        <v>1</v>
      </c>
      <c r="CA371" t="s">
        <v>1</v>
      </c>
      <c r="CB371" t="s">
        <v>3382</v>
      </c>
      <c r="CD371" t="str" cm="1">
        <f t="array" aca="1" ref="CD371" ca="1">eConcatenar(A371:CB371,"|")</f>
        <v>VBDpcUlWYGsJndjN|PAR2021-3350|3|MEMORIAL|TABASCO|PARAISO|PARAISO|2021-10-23|14800|0|200|50|1|0|0|0|0|0|0|0|0|0|0||0|0|0|HERRERA|GALLEGOS|PEDRO|SOLTERO|X|X|FRENTE A LA ESCUELA PRIMARIA GABINO BARRERA|RANCHERIA FRANCISCO I MADERO SEGUNDA SECCION|X|9331325062|X|X|X|FRENTE A LA ESCUELA PRIMARIA GABINO BARRERA|X|LUNES|x|x|x|x|x|DOMICILIO |1800|13000|X|X|X|2022-02-15|2022-02-22|x|x|x|x|x|LMVFBKKJKSMXN4L|x|HOMBRE|X|14800|X|X|X|X|X|X|X|X|CARDENAS|X|X|X|X|FINAL</v>
      </c>
    </row>
    <row r="372" spans="1:82" x14ac:dyDescent="0.25">
      <c r="A372" t="s">
        <v>851</v>
      </c>
      <c r="B372" t="s">
        <v>852</v>
      </c>
      <c r="C372">
        <v>3</v>
      </c>
      <c r="D372" t="s">
        <v>1372</v>
      </c>
      <c r="E372" t="s">
        <v>1380</v>
      </c>
      <c r="F372" t="s">
        <v>1385</v>
      </c>
      <c r="G372" t="s">
        <v>1385</v>
      </c>
      <c r="H372" t="s">
        <v>1544</v>
      </c>
      <c r="I372">
        <v>12900</v>
      </c>
      <c r="J372">
        <v>0</v>
      </c>
      <c r="K372">
        <v>100</v>
      </c>
      <c r="L372">
        <v>50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Y372">
        <v>0</v>
      </c>
      <c r="Z372">
        <v>0</v>
      </c>
      <c r="AA372">
        <v>0</v>
      </c>
      <c r="AB372" t="s">
        <v>2183</v>
      </c>
      <c r="AC372" t="s">
        <v>1713</v>
      </c>
      <c r="AD372" t="s">
        <v>2031</v>
      </c>
      <c r="AE372" t="s">
        <v>4</v>
      </c>
      <c r="AF372" t="s">
        <v>1</v>
      </c>
      <c r="AG372" t="s">
        <v>1</v>
      </c>
      <c r="AH372" t="s">
        <v>2752</v>
      </c>
      <c r="AI372" t="s">
        <v>3150</v>
      </c>
      <c r="AJ372" t="s">
        <v>1</v>
      </c>
      <c r="AK372">
        <v>9331394012</v>
      </c>
      <c r="AL372" t="s">
        <v>1</v>
      </c>
      <c r="AM372" t="s">
        <v>1</v>
      </c>
      <c r="AN372" t="s">
        <v>1</v>
      </c>
      <c r="AO372" t="s">
        <v>2752</v>
      </c>
      <c r="AP372" t="s">
        <v>1</v>
      </c>
      <c r="AQ372" t="s">
        <v>2</v>
      </c>
      <c r="AR372" t="s">
        <v>3</v>
      </c>
      <c r="AS372" t="s">
        <v>3</v>
      </c>
      <c r="AT372" t="s">
        <v>3</v>
      </c>
      <c r="AU372" t="s">
        <v>3</v>
      </c>
      <c r="AV372" t="s">
        <v>3</v>
      </c>
      <c r="AW372" t="s">
        <v>11</v>
      </c>
      <c r="AX372">
        <f>Tabla1[[#This Row],[precio del paquete]]-Tabla1[[#This Row],[Saldo_Deudor]]</f>
        <v>6450</v>
      </c>
      <c r="AY372">
        <v>6450</v>
      </c>
      <c r="AZ372" t="s">
        <v>1</v>
      </c>
      <c r="BA372" t="s">
        <v>1</v>
      </c>
      <c r="BB372" t="s">
        <v>1</v>
      </c>
      <c r="BC372" t="s">
        <v>1405</v>
      </c>
      <c r="BD372" t="s">
        <v>3251</v>
      </c>
      <c r="BE372" t="s">
        <v>3</v>
      </c>
      <c r="BF372" t="s">
        <v>3</v>
      </c>
      <c r="BG372" t="s">
        <v>3</v>
      </c>
      <c r="BH372" t="s">
        <v>3</v>
      </c>
      <c r="BI372" t="s">
        <v>3</v>
      </c>
      <c r="BJ372" t="s">
        <v>3379</v>
      </c>
      <c r="BK372" t="s">
        <v>3</v>
      </c>
      <c r="BL372" t="s">
        <v>132</v>
      </c>
      <c r="BM372" t="s">
        <v>1</v>
      </c>
      <c r="BN372">
        <f>Tabla1[[#This Row],[precio del paquete]]</f>
        <v>12900</v>
      </c>
      <c r="BO372" t="s">
        <v>1</v>
      </c>
      <c r="BP372" t="s">
        <v>1</v>
      </c>
      <c r="BQ372" t="s">
        <v>1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0</v>
      </c>
      <c r="BX372" t="s">
        <v>1</v>
      </c>
      <c r="BY372" t="s">
        <v>1</v>
      </c>
      <c r="BZ372" t="s">
        <v>1</v>
      </c>
      <c r="CA372" t="s">
        <v>1</v>
      </c>
      <c r="CB372" t="s">
        <v>3382</v>
      </c>
      <c r="CD372" t="str" cm="1">
        <f t="array" aca="1" ref="CD372" ca="1">eConcatenar(A372:CB372,"|")</f>
        <v>plfGiYwitfbkF73Q|PAR2020-1351|3|IMPERIAL DE LUJO|TABASCO|PARAISO|PARAISO|2020-07-25|12900|0|100|50|0|0|0|0|0|0|0|0|0|0|0||0|0|0|COLLADO|DE LA CRUZ|MARIA DEL CARMEN|SOLTERO|X|X|CALLE BENIGNO CARRILLO|COLONIA QUINTIN ARAUZ|X|9331394012|X|X|X|CALLE BENIGNO CARRILLO|X|LUNES|x|x|x|x|x|DOMICILIO |6450|6450|X|X|X|2022-02-15|2022-02-22|x|x|x|x|x|LMVFBKKJKSMXN4L|x|HOMBRE|X|12900|X|X|X|X|X|X|X|X|CARDENAS|X|X|X|X|FINAL</v>
      </c>
    </row>
    <row r="373" spans="1:82" x14ac:dyDescent="0.25">
      <c r="A373" t="s">
        <v>853</v>
      </c>
      <c r="B373" t="s">
        <v>854</v>
      </c>
      <c r="C373">
        <v>3</v>
      </c>
      <c r="D373" t="s">
        <v>1372</v>
      </c>
      <c r="E373" t="s">
        <v>1380</v>
      </c>
      <c r="F373" t="s">
        <v>1385</v>
      </c>
      <c r="G373" t="s">
        <v>1385</v>
      </c>
      <c r="H373" t="s">
        <v>1545</v>
      </c>
      <c r="I373">
        <v>12900</v>
      </c>
      <c r="J373">
        <v>0</v>
      </c>
      <c r="K373">
        <v>100</v>
      </c>
      <c r="L373">
        <v>50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Y373">
        <v>0</v>
      </c>
      <c r="Z373">
        <v>0</v>
      </c>
      <c r="AA373">
        <v>0</v>
      </c>
      <c r="AB373" t="s">
        <v>1776</v>
      </c>
      <c r="AC373" t="s">
        <v>1758</v>
      </c>
      <c r="AD373" t="s">
        <v>1922</v>
      </c>
      <c r="AE373" t="s">
        <v>4</v>
      </c>
      <c r="AF373" t="s">
        <v>1</v>
      </c>
      <c r="AG373" t="s">
        <v>1</v>
      </c>
      <c r="AH373" t="s">
        <v>2753</v>
      </c>
      <c r="AI373" t="s">
        <v>3142</v>
      </c>
      <c r="AJ373" t="s">
        <v>1</v>
      </c>
      <c r="AK373">
        <v>9331152180</v>
      </c>
      <c r="AL373" t="s">
        <v>1</v>
      </c>
      <c r="AM373" t="s">
        <v>1</v>
      </c>
      <c r="AN373" t="s">
        <v>1</v>
      </c>
      <c r="AO373" t="s">
        <v>2753</v>
      </c>
      <c r="AP373" t="s">
        <v>1</v>
      </c>
      <c r="AQ373" t="s">
        <v>2</v>
      </c>
      <c r="AR373" t="s">
        <v>3</v>
      </c>
      <c r="AS373" t="s">
        <v>3</v>
      </c>
      <c r="AT373" t="s">
        <v>3</v>
      </c>
      <c r="AU373" t="s">
        <v>3</v>
      </c>
      <c r="AV373" t="s">
        <v>3</v>
      </c>
      <c r="AW373" t="s">
        <v>11</v>
      </c>
      <c r="AX373">
        <f>Tabla1[[#This Row],[precio del paquete]]-Tabla1[[#This Row],[Saldo_Deudor]]</f>
        <v>6750</v>
      </c>
      <c r="AY373">
        <v>6150</v>
      </c>
      <c r="AZ373" t="s">
        <v>1</v>
      </c>
      <c r="BA373" t="s">
        <v>1</v>
      </c>
      <c r="BB373" t="s">
        <v>1</v>
      </c>
      <c r="BC373" t="s">
        <v>1402</v>
      </c>
      <c r="BD373" t="s">
        <v>1405</v>
      </c>
      <c r="BE373" t="s">
        <v>3</v>
      </c>
      <c r="BF373" t="s">
        <v>3</v>
      </c>
      <c r="BG373" t="s">
        <v>3</v>
      </c>
      <c r="BH373" t="s">
        <v>3</v>
      </c>
      <c r="BI373" t="s">
        <v>3</v>
      </c>
      <c r="BJ373" t="s">
        <v>3379</v>
      </c>
      <c r="BK373" t="s">
        <v>3</v>
      </c>
      <c r="BL373" t="s">
        <v>132</v>
      </c>
      <c r="BM373" t="s">
        <v>1</v>
      </c>
      <c r="BN373">
        <f>Tabla1[[#This Row],[precio del paquete]]</f>
        <v>12900</v>
      </c>
      <c r="BO373" t="s">
        <v>1</v>
      </c>
      <c r="BP373" t="s">
        <v>1</v>
      </c>
      <c r="BQ373" t="s">
        <v>1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0</v>
      </c>
      <c r="BX373" t="s">
        <v>1</v>
      </c>
      <c r="BY373" t="s">
        <v>1</v>
      </c>
      <c r="BZ373" t="s">
        <v>1</v>
      </c>
      <c r="CA373" t="s">
        <v>1</v>
      </c>
      <c r="CB373" t="s">
        <v>3382</v>
      </c>
      <c r="CD373" t="str" cm="1">
        <f t="array" aca="1" ref="CD373" ca="1">eConcatenar(A373:CB373,"|")</f>
        <v>uj77LJHzGA5sDXPt|PAR2020-1373|3|IMPERIAL DE LUJO|TABASCO|PARAISO|PARAISO|2020-07-28|12900|0|100|50|0|0|0|0|0|0|0|0|0|0|0||0|0|0|AVALOS|ARIAS|GUADALUPE|SOLTERO|X|X|CALLE JOSE MARIA MORELOS 415 |COLONIA CENTRO PARAISO|X|9331152180|X|X|X|CALLE JOSE MARIA MORELOS 415 |X|LUNES|x|x|x|x|x|DOMICILIO |6750|6150|X|X|X|2022-02-08|2022-02-15|x|x|x|x|x|LMVFBKKJKSMXN4L|x|HOMBRE|X|12900|X|X|X|X|X|X|X|X|CARDENAS|X|X|X|X|FINAL</v>
      </c>
    </row>
    <row r="374" spans="1:82" x14ac:dyDescent="0.25">
      <c r="A374" t="s">
        <v>855</v>
      </c>
      <c r="B374" t="s">
        <v>856</v>
      </c>
      <c r="C374">
        <v>3</v>
      </c>
      <c r="D374" t="s">
        <v>1372</v>
      </c>
      <c r="E374" t="s">
        <v>1380</v>
      </c>
      <c r="F374" t="s">
        <v>1385</v>
      </c>
      <c r="G374" t="s">
        <v>1385</v>
      </c>
      <c r="H374" t="s">
        <v>1545</v>
      </c>
      <c r="I374">
        <v>12900</v>
      </c>
      <c r="J374">
        <v>0</v>
      </c>
      <c r="K374">
        <v>100</v>
      </c>
      <c r="L374">
        <v>50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Y374">
        <v>0</v>
      </c>
      <c r="Z374">
        <v>0</v>
      </c>
      <c r="AA374">
        <v>0</v>
      </c>
      <c r="AB374" t="s">
        <v>1699</v>
      </c>
      <c r="AC374" t="s">
        <v>1814</v>
      </c>
      <c r="AD374" t="s">
        <v>1702</v>
      </c>
      <c r="AE374" t="s">
        <v>4</v>
      </c>
      <c r="AF374" t="s">
        <v>1</v>
      </c>
      <c r="AG374" t="s">
        <v>1</v>
      </c>
      <c r="AH374" t="s">
        <v>2754</v>
      </c>
      <c r="AI374" t="s">
        <v>3142</v>
      </c>
      <c r="AJ374" t="s">
        <v>1</v>
      </c>
      <c r="AK374">
        <v>9331364659</v>
      </c>
      <c r="AL374" t="s">
        <v>1</v>
      </c>
      <c r="AM374" t="s">
        <v>1</v>
      </c>
      <c r="AN374" t="s">
        <v>1</v>
      </c>
      <c r="AO374" t="s">
        <v>2754</v>
      </c>
      <c r="AP374" t="s">
        <v>1</v>
      </c>
      <c r="AQ374" t="s">
        <v>2</v>
      </c>
      <c r="AR374" t="s">
        <v>3</v>
      </c>
      <c r="AS374" t="s">
        <v>3</v>
      </c>
      <c r="AT374" t="s">
        <v>3</v>
      </c>
      <c r="AU374" t="s">
        <v>3</v>
      </c>
      <c r="AV374" t="s">
        <v>3</v>
      </c>
      <c r="AW374" t="s">
        <v>11</v>
      </c>
      <c r="AX374">
        <f>Tabla1[[#This Row],[precio del paquete]]-Tabla1[[#This Row],[Saldo_Deudor]]</f>
        <v>7500</v>
      </c>
      <c r="AY374">
        <v>5400</v>
      </c>
      <c r="AZ374" t="s">
        <v>1</v>
      </c>
      <c r="BA374" t="s">
        <v>1</v>
      </c>
      <c r="BB374" t="s">
        <v>1</v>
      </c>
      <c r="BC374" t="s">
        <v>1402</v>
      </c>
      <c r="BD374" t="s">
        <v>1405</v>
      </c>
      <c r="BE374" t="s">
        <v>3</v>
      </c>
      <c r="BF374" t="s">
        <v>3</v>
      </c>
      <c r="BG374" t="s">
        <v>3</v>
      </c>
      <c r="BH374" t="s">
        <v>3</v>
      </c>
      <c r="BI374" t="s">
        <v>3</v>
      </c>
      <c r="BJ374" t="s">
        <v>3379</v>
      </c>
      <c r="BK374" t="s">
        <v>3</v>
      </c>
      <c r="BL374" t="s">
        <v>132</v>
      </c>
      <c r="BM374" t="s">
        <v>1</v>
      </c>
      <c r="BN374">
        <f>Tabla1[[#This Row],[precio del paquete]]</f>
        <v>12900</v>
      </c>
      <c r="BO374" t="s">
        <v>1</v>
      </c>
      <c r="BP374" t="s">
        <v>1</v>
      </c>
      <c r="BQ374" t="s">
        <v>1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0</v>
      </c>
      <c r="BX374" t="s">
        <v>1</v>
      </c>
      <c r="BY374" t="s">
        <v>1</v>
      </c>
      <c r="BZ374" t="s">
        <v>1</v>
      </c>
      <c r="CA374" t="s">
        <v>1</v>
      </c>
      <c r="CB374" t="s">
        <v>3382</v>
      </c>
      <c r="CD374" t="str" cm="1">
        <f t="array" aca="1" ref="CD374" ca="1">eConcatenar(A374:CB374,"|")</f>
        <v>C2nCVqO8u0yDEknD|PAR2020-1386|3|IMPERIAL DE LUJO|TABASCO|PARAISO|PARAISO|2020-07-28|12900|0|100|50|0|0|0|0|0|0|0|0|0|0|0||0|0|0|CORDOVA|FLORES|ANA MARIA|SOLTERO|X|X|PROLONGACION 5 DE MAYO|COLONIA CENTRO PARAISO|X|9331364659|X|X|X|PROLONGACION 5 DE MAYO|X|LUNES|x|x|x|x|x|DOMICILIO |7500|5400|X|X|X|2022-02-08|2022-02-15|x|x|x|x|x|LMVFBKKJKSMXN4L|x|HOMBRE|X|12900|X|X|X|X|X|X|X|X|CARDENAS|X|X|X|X|FINAL</v>
      </c>
    </row>
    <row r="375" spans="1:82" x14ac:dyDescent="0.25">
      <c r="A375" t="s">
        <v>857</v>
      </c>
      <c r="B375" t="s">
        <v>858</v>
      </c>
      <c r="C375">
        <v>3</v>
      </c>
      <c r="D375" t="s">
        <v>1372</v>
      </c>
      <c r="E375" t="s">
        <v>1380</v>
      </c>
      <c r="F375" t="s">
        <v>1385</v>
      </c>
      <c r="G375" t="s">
        <v>1385</v>
      </c>
      <c r="H375" t="s">
        <v>1545</v>
      </c>
      <c r="I375">
        <v>12900</v>
      </c>
      <c r="J375">
        <v>0</v>
      </c>
      <c r="K375">
        <v>100</v>
      </c>
      <c r="L375">
        <v>50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Y375">
        <v>0</v>
      </c>
      <c r="Z375">
        <v>0</v>
      </c>
      <c r="AA375">
        <v>0</v>
      </c>
      <c r="AB375" t="s">
        <v>1744</v>
      </c>
      <c r="AC375" t="s">
        <v>2184</v>
      </c>
      <c r="AD375" t="s">
        <v>2185</v>
      </c>
      <c r="AE375" t="s">
        <v>4</v>
      </c>
      <c r="AF375" t="s">
        <v>1</v>
      </c>
      <c r="AG375" t="s">
        <v>1</v>
      </c>
      <c r="AH375" t="s">
        <v>2754</v>
      </c>
      <c r="AI375" t="s">
        <v>3143</v>
      </c>
      <c r="AJ375" t="s">
        <v>1</v>
      </c>
      <c r="AK375">
        <v>9331377361</v>
      </c>
      <c r="AL375" t="s">
        <v>1</v>
      </c>
      <c r="AM375" t="s">
        <v>1</v>
      </c>
      <c r="AN375" t="s">
        <v>1</v>
      </c>
      <c r="AO375" t="s">
        <v>2754</v>
      </c>
      <c r="AP375" t="s">
        <v>1</v>
      </c>
      <c r="AQ375" t="s">
        <v>2</v>
      </c>
      <c r="AR375" t="s">
        <v>3</v>
      </c>
      <c r="AS375" t="s">
        <v>3</v>
      </c>
      <c r="AT375" t="s">
        <v>3</v>
      </c>
      <c r="AU375" t="s">
        <v>3</v>
      </c>
      <c r="AV375" t="s">
        <v>3</v>
      </c>
      <c r="AW375" t="s">
        <v>11</v>
      </c>
      <c r="AX375">
        <f>Tabla1[[#This Row],[precio del paquete]]-Tabla1[[#This Row],[Saldo_Deudor]]</f>
        <v>7600</v>
      </c>
      <c r="AY375">
        <v>5300</v>
      </c>
      <c r="AZ375" t="s">
        <v>1</v>
      </c>
      <c r="BA375" t="s">
        <v>1</v>
      </c>
      <c r="BB375" t="s">
        <v>1</v>
      </c>
      <c r="BC375" t="s">
        <v>1402</v>
      </c>
      <c r="BD375" t="s">
        <v>1405</v>
      </c>
      <c r="BE375" t="s">
        <v>3</v>
      </c>
      <c r="BF375" t="s">
        <v>3</v>
      </c>
      <c r="BG375" t="s">
        <v>3</v>
      </c>
      <c r="BH375" t="s">
        <v>3</v>
      </c>
      <c r="BI375" t="s">
        <v>3</v>
      </c>
      <c r="BJ375" t="s">
        <v>3379</v>
      </c>
      <c r="BK375" t="s">
        <v>3</v>
      </c>
      <c r="BL375" t="s">
        <v>132</v>
      </c>
      <c r="BM375" t="s">
        <v>1</v>
      </c>
      <c r="BN375">
        <f>Tabla1[[#This Row],[precio del paquete]]</f>
        <v>12900</v>
      </c>
      <c r="BO375" t="s">
        <v>1</v>
      </c>
      <c r="BP375" t="s">
        <v>1</v>
      </c>
      <c r="BQ375" t="s">
        <v>1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0</v>
      </c>
      <c r="BX375" t="s">
        <v>1</v>
      </c>
      <c r="BY375" t="s">
        <v>1</v>
      </c>
      <c r="BZ375" t="s">
        <v>1</v>
      </c>
      <c r="CA375" t="s">
        <v>1</v>
      </c>
      <c r="CB375" t="s">
        <v>3382</v>
      </c>
      <c r="CD375" t="str" cm="1">
        <f t="array" aca="1" ref="CD375" ca="1">eConcatenar(A375:CB375,"|")</f>
        <v>7RxCJGplLVJdK5rD|PAR2020-1385|3|IMPERIAL DE LUJO|TABASCO|PARAISO|PARAISO|2020-07-28|12900|0|100|50|0|0|0|0|0|0|0|0|0|0|0||0|0|0|PEREZ|MAGAÑA|LIGIA DEL CARMEN|SOLTERO|X|X|PROLONGACION 5 DE MAYO|COLONIA EL LIMON|X|9331377361|X|X|X|PROLONGACION 5 DE MAYO|X|LUNES|x|x|x|x|x|DOMICILIO |7600|5300|X|X|X|2022-02-08|2022-02-15|x|x|x|x|x|LMVFBKKJKSMXN4L|x|HOMBRE|X|12900|X|X|X|X|X|X|X|X|CARDENAS|X|X|X|X|FINAL</v>
      </c>
    </row>
    <row r="376" spans="1:82" x14ac:dyDescent="0.25">
      <c r="A376" t="s">
        <v>859</v>
      </c>
      <c r="B376" t="s">
        <v>860</v>
      </c>
      <c r="C376">
        <v>3</v>
      </c>
      <c r="D376" t="s">
        <v>1372</v>
      </c>
      <c r="E376" t="s">
        <v>1380</v>
      </c>
      <c r="F376" t="s">
        <v>1385</v>
      </c>
      <c r="G376" t="s">
        <v>1385</v>
      </c>
      <c r="H376" t="s">
        <v>1546</v>
      </c>
      <c r="I376">
        <v>12900</v>
      </c>
      <c r="J376">
        <v>0</v>
      </c>
      <c r="K376">
        <v>100</v>
      </c>
      <c r="L376">
        <v>50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Y376">
        <v>0</v>
      </c>
      <c r="Z376">
        <v>0</v>
      </c>
      <c r="AA376">
        <v>0</v>
      </c>
      <c r="AB376" t="s">
        <v>2186</v>
      </c>
      <c r="AC376" t="s">
        <v>2187</v>
      </c>
      <c r="AD376" t="s">
        <v>2188</v>
      </c>
      <c r="AE376" t="s">
        <v>4</v>
      </c>
      <c r="AF376" t="s">
        <v>1</v>
      </c>
      <c r="AG376" t="s">
        <v>1</v>
      </c>
      <c r="AH376" t="s">
        <v>2745</v>
      </c>
      <c r="AI376" t="s">
        <v>3145</v>
      </c>
      <c r="AJ376" t="s">
        <v>1</v>
      </c>
      <c r="AK376">
        <v>93314894</v>
      </c>
      <c r="AL376" t="s">
        <v>1</v>
      </c>
      <c r="AM376" t="s">
        <v>1</v>
      </c>
      <c r="AN376" t="s">
        <v>1</v>
      </c>
      <c r="AO376" t="s">
        <v>2745</v>
      </c>
      <c r="AP376" t="s">
        <v>1</v>
      </c>
      <c r="AQ376" t="s">
        <v>2</v>
      </c>
      <c r="AR376" t="s">
        <v>3</v>
      </c>
      <c r="AS376" t="s">
        <v>3</v>
      </c>
      <c r="AT376" t="s">
        <v>3</v>
      </c>
      <c r="AU376" t="s">
        <v>3</v>
      </c>
      <c r="AV376" t="s">
        <v>3</v>
      </c>
      <c r="AW376" t="s">
        <v>11</v>
      </c>
      <c r="AX376">
        <f>Tabla1[[#This Row],[precio del paquete]]-Tabla1[[#This Row],[Saldo_Deudor]]</f>
        <v>4800</v>
      </c>
      <c r="AY376">
        <v>8100</v>
      </c>
      <c r="AZ376" t="s">
        <v>1</v>
      </c>
      <c r="BA376" t="s">
        <v>1</v>
      </c>
      <c r="BB376" t="s">
        <v>1</v>
      </c>
      <c r="BC376" t="s">
        <v>1402</v>
      </c>
      <c r="BD376" t="s">
        <v>1405</v>
      </c>
      <c r="BE376" t="s">
        <v>3</v>
      </c>
      <c r="BF376" t="s">
        <v>3</v>
      </c>
      <c r="BG376" t="s">
        <v>3</v>
      </c>
      <c r="BH376" t="s">
        <v>3</v>
      </c>
      <c r="BI376" t="s">
        <v>3</v>
      </c>
      <c r="BJ376" t="s">
        <v>3379</v>
      </c>
      <c r="BK376" t="s">
        <v>3</v>
      </c>
      <c r="BL376" t="s">
        <v>132</v>
      </c>
      <c r="BM376" t="s">
        <v>1</v>
      </c>
      <c r="BN376">
        <f>Tabla1[[#This Row],[precio del paquete]]</f>
        <v>12900</v>
      </c>
      <c r="BO376" t="s">
        <v>1</v>
      </c>
      <c r="BP376" t="s">
        <v>1</v>
      </c>
      <c r="BQ376" t="s">
        <v>1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0</v>
      </c>
      <c r="BX376" t="s">
        <v>1</v>
      </c>
      <c r="BY376" t="s">
        <v>1</v>
      </c>
      <c r="BZ376" t="s">
        <v>1</v>
      </c>
      <c r="CA376" t="s">
        <v>1</v>
      </c>
      <c r="CB376" t="s">
        <v>3382</v>
      </c>
      <c r="CD376" t="str" cm="1">
        <f t="array" aca="1" ref="CD376" ca="1">eConcatenar(A376:CB376,"|")</f>
        <v>3Ki2qU4V6G3YF0d7|PAR2020-2100|3|IMPERIAL DE LUJO|TABASCO|PARAISO|PARAISO|2020-09-18|12900|0|100|50|0|0|0|0|0|0|0|0|0|0|0||0|0|0|ARIZA|ALARCOM|ADRIANA|SOLTERO|X|X|CARRETERA VECINAL PARAISO - COMALCALCO|RANCHERIA MOCTEZUMA PRIMERA SECCION|X|93314894|X|X|X|CARRETERA VECINAL PARAISO - COMALCALCO|X|LUNES|x|x|x|x|x|DOMICILIO |4800|8100|X|X|X|2022-02-08|2022-02-15|x|x|x|x|x|LMVFBKKJKSMXN4L|x|HOMBRE|X|12900|X|X|X|X|X|X|X|X|CARDENAS|X|X|X|X|FINAL</v>
      </c>
    </row>
    <row r="377" spans="1:82" x14ac:dyDescent="0.25">
      <c r="A377" t="s">
        <v>861</v>
      </c>
      <c r="B377" t="s">
        <v>862</v>
      </c>
      <c r="C377">
        <v>3</v>
      </c>
      <c r="D377" t="s">
        <v>1372</v>
      </c>
      <c r="E377" t="s">
        <v>1380</v>
      </c>
      <c r="F377" t="s">
        <v>1385</v>
      </c>
      <c r="G377" t="s">
        <v>1385</v>
      </c>
      <c r="H377" t="s">
        <v>1547</v>
      </c>
      <c r="I377">
        <v>12900</v>
      </c>
      <c r="J377">
        <v>0</v>
      </c>
      <c r="K377">
        <v>100</v>
      </c>
      <c r="L377">
        <v>50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Y377">
        <v>0</v>
      </c>
      <c r="Z377">
        <v>0</v>
      </c>
      <c r="AA377">
        <v>0</v>
      </c>
      <c r="AB377" t="s">
        <v>1725</v>
      </c>
      <c r="AC377" t="s">
        <v>1783</v>
      </c>
      <c r="AD377" t="s">
        <v>2189</v>
      </c>
      <c r="AE377" t="s">
        <v>4</v>
      </c>
      <c r="AF377" t="s">
        <v>1</v>
      </c>
      <c r="AG377" t="s">
        <v>1</v>
      </c>
      <c r="AH377" t="s">
        <v>2755</v>
      </c>
      <c r="AI377" t="s">
        <v>3151</v>
      </c>
      <c r="AJ377" t="s">
        <v>1</v>
      </c>
      <c r="AK377">
        <v>9335938858</v>
      </c>
      <c r="AL377" t="s">
        <v>1</v>
      </c>
      <c r="AM377" t="s">
        <v>1</v>
      </c>
      <c r="AN377" t="s">
        <v>1</v>
      </c>
      <c r="AO377" t="s">
        <v>2755</v>
      </c>
      <c r="AP377" t="s">
        <v>1</v>
      </c>
      <c r="AQ377" t="s">
        <v>2</v>
      </c>
      <c r="AR377" t="s">
        <v>3</v>
      </c>
      <c r="AS377" t="s">
        <v>3</v>
      </c>
      <c r="AT377" t="s">
        <v>3</v>
      </c>
      <c r="AU377" t="s">
        <v>3</v>
      </c>
      <c r="AV377" t="s">
        <v>3</v>
      </c>
      <c r="AW377" t="s">
        <v>11</v>
      </c>
      <c r="AX377">
        <f>Tabla1[[#This Row],[precio del paquete]]-Tabla1[[#This Row],[Saldo_Deudor]]</f>
        <v>8050</v>
      </c>
      <c r="AY377">
        <v>4850</v>
      </c>
      <c r="AZ377" t="s">
        <v>1</v>
      </c>
      <c r="BA377" t="s">
        <v>1</v>
      </c>
      <c r="BB377" t="s">
        <v>1</v>
      </c>
      <c r="BC377" t="s">
        <v>1397</v>
      </c>
      <c r="BD377" t="s">
        <v>3255</v>
      </c>
      <c r="BE377" t="s">
        <v>3</v>
      </c>
      <c r="BF377" t="s">
        <v>3</v>
      </c>
      <c r="BG377" t="s">
        <v>3</v>
      </c>
      <c r="BH377" t="s">
        <v>3</v>
      </c>
      <c r="BI377" t="s">
        <v>3</v>
      </c>
      <c r="BJ377" t="s">
        <v>3379</v>
      </c>
      <c r="BK377" t="s">
        <v>3</v>
      </c>
      <c r="BL377" t="s">
        <v>132</v>
      </c>
      <c r="BM377" t="s">
        <v>1</v>
      </c>
      <c r="BN377">
        <f>Tabla1[[#This Row],[precio del paquete]]</f>
        <v>12900</v>
      </c>
      <c r="BO377" t="s">
        <v>1</v>
      </c>
      <c r="BP377" t="s">
        <v>1</v>
      </c>
      <c r="BQ377" t="s">
        <v>1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0</v>
      </c>
      <c r="BX377" t="s">
        <v>1</v>
      </c>
      <c r="BY377" t="s">
        <v>1</v>
      </c>
      <c r="BZ377" t="s">
        <v>1</v>
      </c>
      <c r="CA377" t="s">
        <v>1</v>
      </c>
      <c r="CB377" t="s">
        <v>3382</v>
      </c>
      <c r="CD377" t="str" cm="1">
        <f t="array" aca="1" ref="CD377" ca="1">eConcatenar(A377:CB377,"|")</f>
        <v>UtJqU5TgYrSMCTVS|PAR2020-1117|3|IMPERIAL DE LUJO|TABASCO|PARAISO|PARAISO|2020-07-04|12900|0|100|50|0|0|0|0|0|0|0|0|0|0|0||0|0|0|SANTOS|MENDEZ|LEIDY|SOLTERO|X|X|EN LA ENTRADA DEL ESCRIBANO|RANCHERIA LAS FLORES PRIMERA SECCION|X|9335938858|X|X|X|EN LA ENTRADA DEL ESCRIBANO|X|LUNES|x|x|x|x|x|DOMICILIO |8050|4850|X|X|X|2022-02-07|2022-02-14|x|x|x|x|x|LMVFBKKJKSMXN4L|x|HOMBRE|X|12900|X|X|X|X|X|X|X|X|CARDENAS|X|X|X|X|FINAL</v>
      </c>
    </row>
    <row r="378" spans="1:82" x14ac:dyDescent="0.25">
      <c r="A378" t="s">
        <v>863</v>
      </c>
      <c r="B378" t="s">
        <v>864</v>
      </c>
      <c r="C378">
        <v>3</v>
      </c>
      <c r="D378" t="s">
        <v>1369</v>
      </c>
      <c r="E378" t="s">
        <v>1380</v>
      </c>
      <c r="F378" t="s">
        <v>1385</v>
      </c>
      <c r="G378" t="s">
        <v>1385</v>
      </c>
      <c r="H378" t="s">
        <v>1543</v>
      </c>
      <c r="I378">
        <v>14800</v>
      </c>
      <c r="J378">
        <v>0</v>
      </c>
      <c r="K378">
        <v>100</v>
      </c>
      <c r="L378">
        <v>50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Y378">
        <v>0</v>
      </c>
      <c r="Z378">
        <v>0</v>
      </c>
      <c r="AA378">
        <v>0</v>
      </c>
      <c r="AB378" t="s">
        <v>1758</v>
      </c>
      <c r="AC378" t="s">
        <v>1987</v>
      </c>
      <c r="AD378" t="s">
        <v>2190</v>
      </c>
      <c r="AE378" t="s">
        <v>4</v>
      </c>
      <c r="AF378" t="s">
        <v>1</v>
      </c>
      <c r="AG378" t="s">
        <v>1</v>
      </c>
      <c r="AH378" t="s">
        <v>2756</v>
      </c>
      <c r="AI378" t="s">
        <v>3152</v>
      </c>
      <c r="AJ378" t="s">
        <v>1</v>
      </c>
      <c r="AK378">
        <v>9331375659</v>
      </c>
      <c r="AL378" t="s">
        <v>1</v>
      </c>
      <c r="AM378" t="s">
        <v>1</v>
      </c>
      <c r="AN378" t="s">
        <v>1</v>
      </c>
      <c r="AO378" t="s">
        <v>2756</v>
      </c>
      <c r="AP378" t="s">
        <v>1</v>
      </c>
      <c r="AQ378" t="s">
        <v>2</v>
      </c>
      <c r="AR378" t="s">
        <v>3</v>
      </c>
      <c r="AS378" t="s">
        <v>3</v>
      </c>
      <c r="AT378" t="s">
        <v>3</v>
      </c>
      <c r="AU378" t="s">
        <v>3</v>
      </c>
      <c r="AV378" t="s">
        <v>3</v>
      </c>
      <c r="AW378" t="s">
        <v>11</v>
      </c>
      <c r="AX378">
        <f>Tabla1[[#This Row],[precio del paquete]]-Tabla1[[#This Row],[Saldo_Deudor]]</f>
        <v>950</v>
      </c>
      <c r="AY378">
        <v>13850</v>
      </c>
      <c r="AZ378" t="s">
        <v>1</v>
      </c>
      <c r="BA378" t="s">
        <v>1</v>
      </c>
      <c r="BB378" t="s">
        <v>1</v>
      </c>
      <c r="BC378" t="s">
        <v>1389</v>
      </c>
      <c r="BD378" t="s">
        <v>1402</v>
      </c>
      <c r="BE378" t="s">
        <v>3</v>
      </c>
      <c r="BF378" t="s">
        <v>3</v>
      </c>
      <c r="BG378" t="s">
        <v>3</v>
      </c>
      <c r="BH378" t="s">
        <v>3</v>
      </c>
      <c r="BI378" t="s">
        <v>3</v>
      </c>
      <c r="BJ378" t="s">
        <v>3379</v>
      </c>
      <c r="BK378" t="s">
        <v>3</v>
      </c>
      <c r="BL378" t="s">
        <v>132</v>
      </c>
      <c r="BM378" t="s">
        <v>1</v>
      </c>
      <c r="BN378">
        <f>Tabla1[[#This Row],[precio del paquete]]</f>
        <v>14800</v>
      </c>
      <c r="BO378" t="s">
        <v>1</v>
      </c>
      <c r="BP378" t="s">
        <v>1</v>
      </c>
      <c r="BQ378" t="s">
        <v>1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0</v>
      </c>
      <c r="BX378" t="s">
        <v>1</v>
      </c>
      <c r="BY378" t="s">
        <v>1</v>
      </c>
      <c r="BZ378" t="s">
        <v>1</v>
      </c>
      <c r="CA378" t="s">
        <v>1</v>
      </c>
      <c r="CB378" t="s">
        <v>3382</v>
      </c>
      <c r="CD378" t="str" cm="1">
        <f t="array" aca="1" ref="CD378" ca="1">eConcatenar(A378:CB378,"|")</f>
        <v>ZELAmjI16uh9tZ9t|PAR2021-3351|3|MEMORIAL|TABASCO|PARAISO|PARAISO|2021-10-23|14800|0|100|50|0|0|0|0|0|0|0|0|0|0|0||0|0|0|ARIAS|CHABLE|DELFIO|SOLTERO|X|X|CARRETERA A LAS FLORES SIN NUMERO|RANCHERIA EL ESCRIBANO|X|9331375659|X|X|X|CARRETERA A LAS FLORES SIN NUMERO|X|LUNES|x|x|x|x|x|DOMICILIO |950|13850|X|X|X|2022-02-01|2022-02-08|x|x|x|x|x|LMVFBKKJKSMXN4L|x|HOMBRE|X|14800|X|X|X|X|X|X|X|X|CARDENAS|X|X|X|X|FINAL</v>
      </c>
    </row>
    <row r="379" spans="1:82" x14ac:dyDescent="0.25">
      <c r="A379" t="s">
        <v>865</v>
      </c>
      <c r="B379" t="s">
        <v>866</v>
      </c>
      <c r="C379">
        <v>3</v>
      </c>
      <c r="D379" t="s">
        <v>1372</v>
      </c>
      <c r="E379" t="s">
        <v>1380</v>
      </c>
      <c r="F379" t="s">
        <v>1385</v>
      </c>
      <c r="G379" t="s">
        <v>1385</v>
      </c>
      <c r="H379" t="s">
        <v>1533</v>
      </c>
      <c r="I379">
        <v>12900</v>
      </c>
      <c r="J379">
        <v>0</v>
      </c>
      <c r="K379">
        <v>100</v>
      </c>
      <c r="L379">
        <v>50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Y379">
        <v>0</v>
      </c>
      <c r="Z379">
        <v>0</v>
      </c>
      <c r="AA379">
        <v>0</v>
      </c>
      <c r="AB379" t="s">
        <v>2092</v>
      </c>
      <c r="AC379" t="s">
        <v>1814</v>
      </c>
      <c r="AD379" t="s">
        <v>2191</v>
      </c>
      <c r="AE379" t="s">
        <v>4</v>
      </c>
      <c r="AF379" t="s">
        <v>1</v>
      </c>
      <c r="AG379" t="s">
        <v>1</v>
      </c>
      <c r="AH379" t="s">
        <v>2757</v>
      </c>
      <c r="AI379" t="s">
        <v>3153</v>
      </c>
      <c r="AJ379" t="s">
        <v>1</v>
      </c>
      <c r="AK379">
        <v>9331734145</v>
      </c>
      <c r="AL379" t="s">
        <v>1</v>
      </c>
      <c r="AM379" t="s">
        <v>1</v>
      </c>
      <c r="AN379" t="s">
        <v>1</v>
      </c>
      <c r="AO379" t="s">
        <v>2757</v>
      </c>
      <c r="AP379" t="s">
        <v>1</v>
      </c>
      <c r="AQ379" t="s">
        <v>2</v>
      </c>
      <c r="AR379" t="s">
        <v>3</v>
      </c>
      <c r="AS379" t="s">
        <v>3</v>
      </c>
      <c r="AT379" t="s">
        <v>3</v>
      </c>
      <c r="AU379" t="s">
        <v>3</v>
      </c>
      <c r="AV379" t="s">
        <v>3</v>
      </c>
      <c r="AW379" t="s">
        <v>11</v>
      </c>
      <c r="AX379">
        <f>Tabla1[[#This Row],[precio del paquete]]-Tabla1[[#This Row],[Saldo_Deudor]]</f>
        <v>8450</v>
      </c>
      <c r="AY379">
        <v>4450</v>
      </c>
      <c r="AZ379" t="s">
        <v>1</v>
      </c>
      <c r="BA379" t="s">
        <v>1</v>
      </c>
      <c r="BB379" t="s">
        <v>1</v>
      </c>
      <c r="BC379" t="s">
        <v>3259</v>
      </c>
      <c r="BD379" t="s">
        <v>1403</v>
      </c>
      <c r="BE379" t="s">
        <v>3</v>
      </c>
      <c r="BF379" t="s">
        <v>3</v>
      </c>
      <c r="BG379" t="s">
        <v>3</v>
      </c>
      <c r="BH379" t="s">
        <v>3</v>
      </c>
      <c r="BI379" t="s">
        <v>3</v>
      </c>
      <c r="BJ379" t="s">
        <v>3379</v>
      </c>
      <c r="BK379" t="s">
        <v>3</v>
      </c>
      <c r="BL379" t="s">
        <v>132</v>
      </c>
      <c r="BM379" t="s">
        <v>1</v>
      </c>
      <c r="BN379">
        <f>Tabla1[[#This Row],[precio del paquete]]</f>
        <v>12900</v>
      </c>
      <c r="BO379" t="s">
        <v>1</v>
      </c>
      <c r="BP379" t="s">
        <v>1</v>
      </c>
      <c r="BQ379" t="s">
        <v>1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0</v>
      </c>
      <c r="BX379" t="s">
        <v>1</v>
      </c>
      <c r="BY379" t="s">
        <v>1</v>
      </c>
      <c r="BZ379" t="s">
        <v>1</v>
      </c>
      <c r="CA379" t="s">
        <v>1</v>
      </c>
      <c r="CB379" t="s">
        <v>3382</v>
      </c>
      <c r="CD379" t="str" cm="1">
        <f t="array" aca="1" ref="CD379" ca="1">eConcatenar(A379:CB379,"|")</f>
        <v>rZ2HcAuT302MqLO0|PAR2020-1597|3|IMPERIAL DE LUJO|TABASCO|PARAISO|PARAISO|2020-08-20|12900|0|100|50|0|0|0|0|0|0|0|0|0|0|0||0|0|0|PEREGRINO|FLORES|MARIA EMMA|SOLTERO|X|X|ENTRADA EL CAMPAMENTO|RANCHERIA LAS FLORES SEGUNDA SECCION|X|9331734145|X|X|X|ENTRADA EL CAMPAMENTO|X|LUNES|x|x|x|x|x|DOMICILIO |8450|4450|X|X|X|2022-01-03|2022-01-10|x|x|x|x|x|LMVFBKKJKSMXN4L|x|HOMBRE|X|12900|X|X|X|X|X|X|X|X|CARDENAS|X|X|X|X|FINAL</v>
      </c>
    </row>
    <row r="380" spans="1:82" x14ac:dyDescent="0.25">
      <c r="A380" t="s">
        <v>867</v>
      </c>
      <c r="B380" t="s">
        <v>868</v>
      </c>
      <c r="C380">
        <v>3</v>
      </c>
      <c r="D380" t="s">
        <v>1372</v>
      </c>
      <c r="E380" t="s">
        <v>1380</v>
      </c>
      <c r="F380" t="s">
        <v>1385</v>
      </c>
      <c r="G380" t="s">
        <v>1385</v>
      </c>
      <c r="H380" t="s">
        <v>1548</v>
      </c>
      <c r="I380">
        <v>12900</v>
      </c>
      <c r="J380">
        <v>0</v>
      </c>
      <c r="K380">
        <v>100</v>
      </c>
      <c r="L380">
        <v>50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Y380">
        <v>0</v>
      </c>
      <c r="Z380">
        <v>0</v>
      </c>
      <c r="AA380">
        <v>0</v>
      </c>
      <c r="AB380" t="s">
        <v>1693</v>
      </c>
      <c r="AC380" t="s">
        <v>2002</v>
      </c>
      <c r="AD380" t="s">
        <v>2192</v>
      </c>
      <c r="AE380" t="s">
        <v>4</v>
      </c>
      <c r="AF380" t="s">
        <v>1</v>
      </c>
      <c r="AG380" t="s">
        <v>1</v>
      </c>
      <c r="AH380" t="s">
        <v>2758</v>
      </c>
      <c r="AI380" t="s">
        <v>3153</v>
      </c>
      <c r="AJ380" t="s">
        <v>1</v>
      </c>
      <c r="AK380">
        <v>9331325361</v>
      </c>
      <c r="AL380" t="s">
        <v>1</v>
      </c>
      <c r="AM380" t="s">
        <v>1</v>
      </c>
      <c r="AN380" t="s">
        <v>1</v>
      </c>
      <c r="AO380" t="s">
        <v>2758</v>
      </c>
      <c r="AP380" t="s">
        <v>1</v>
      </c>
      <c r="AQ380" t="s">
        <v>2</v>
      </c>
      <c r="AR380" t="s">
        <v>3</v>
      </c>
      <c r="AS380" t="s">
        <v>3</v>
      </c>
      <c r="AT380" t="s">
        <v>3</v>
      </c>
      <c r="AU380" t="s">
        <v>3</v>
      </c>
      <c r="AV380" t="s">
        <v>3</v>
      </c>
      <c r="AW380" t="s">
        <v>11</v>
      </c>
      <c r="AX380">
        <f>Tabla1[[#This Row],[precio del paquete]]-Tabla1[[#This Row],[Saldo_Deudor]]</f>
        <v>5100</v>
      </c>
      <c r="AY380">
        <v>7800</v>
      </c>
      <c r="AZ380" t="s">
        <v>1</v>
      </c>
      <c r="BA380" t="s">
        <v>1</v>
      </c>
      <c r="BB380" t="s">
        <v>1</v>
      </c>
      <c r="BC380" t="s">
        <v>1397</v>
      </c>
      <c r="BD380" t="s">
        <v>3255</v>
      </c>
      <c r="BE380" t="s">
        <v>3</v>
      </c>
      <c r="BF380" t="s">
        <v>3</v>
      </c>
      <c r="BG380" t="s">
        <v>3</v>
      </c>
      <c r="BH380" t="s">
        <v>3</v>
      </c>
      <c r="BI380" t="s">
        <v>3</v>
      </c>
      <c r="BJ380" t="s">
        <v>3379</v>
      </c>
      <c r="BK380" t="s">
        <v>3</v>
      </c>
      <c r="BL380" t="s">
        <v>132</v>
      </c>
      <c r="BM380" t="s">
        <v>1</v>
      </c>
      <c r="BN380">
        <f>Tabla1[[#This Row],[precio del paquete]]</f>
        <v>12900</v>
      </c>
      <c r="BO380" t="s">
        <v>1</v>
      </c>
      <c r="BP380" t="s">
        <v>1</v>
      </c>
      <c r="BQ380" t="s">
        <v>1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0</v>
      </c>
      <c r="BX380" t="s">
        <v>1</v>
      </c>
      <c r="BY380" t="s">
        <v>1</v>
      </c>
      <c r="BZ380" t="s">
        <v>1</v>
      </c>
      <c r="CA380" t="s">
        <v>1</v>
      </c>
      <c r="CB380" t="s">
        <v>3382</v>
      </c>
      <c r="CD380" t="str" cm="1">
        <f t="array" aca="1" ref="CD380" ca="1">eConcatenar(A380:CB380,"|")</f>
        <v>SqFvH9FyqfIwpafu|PAR2021-0739|3|IMPERIAL DE LUJO|TABASCO|PARAISO|PARAISO|2021-02-24|12900|0|100|50|0|0|0|0|0|0|0|0|0|0|0||0|0|0|RODRIGUEZ|ANGULO|MARIA SANTOS|SOLTERO|X|X|ATRÁS DEL KINDER|RANCHERIA LAS FLORES SEGUNDA SECCION|X|9331325361|X|X|X|ATRÁS DEL KINDER|X|LUNES|x|x|x|x|x|DOMICILIO |5100|7800|X|X|X|2022-02-07|2022-02-14|x|x|x|x|x|LMVFBKKJKSMXN4L|x|HOMBRE|X|12900|X|X|X|X|X|X|X|X|CARDENAS|X|X|X|X|FINAL</v>
      </c>
    </row>
    <row r="381" spans="1:82" x14ac:dyDescent="0.25">
      <c r="A381" t="s">
        <v>869</v>
      </c>
      <c r="B381" t="s">
        <v>870</v>
      </c>
      <c r="C381">
        <v>3</v>
      </c>
      <c r="D381" t="s">
        <v>1372</v>
      </c>
      <c r="E381" t="s">
        <v>1380</v>
      </c>
      <c r="F381" t="s">
        <v>1385</v>
      </c>
      <c r="G381" t="s">
        <v>1385</v>
      </c>
      <c r="H381" t="s">
        <v>1549</v>
      </c>
      <c r="I381">
        <v>12900</v>
      </c>
      <c r="J381">
        <v>0</v>
      </c>
      <c r="K381">
        <v>150</v>
      </c>
      <c r="L381">
        <v>50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Y381">
        <v>0</v>
      </c>
      <c r="Z381">
        <v>0</v>
      </c>
      <c r="AA381">
        <v>0</v>
      </c>
      <c r="AB381" t="s">
        <v>1699</v>
      </c>
      <c r="AC381" t="s">
        <v>1713</v>
      </c>
      <c r="AD381" t="s">
        <v>2022</v>
      </c>
      <c r="AE381" t="s">
        <v>4</v>
      </c>
      <c r="AF381" t="s">
        <v>1</v>
      </c>
      <c r="AG381" t="s">
        <v>1</v>
      </c>
      <c r="AH381" t="s">
        <v>2759</v>
      </c>
      <c r="AI381" t="s">
        <v>3154</v>
      </c>
      <c r="AJ381" t="s">
        <v>1</v>
      </c>
      <c r="AK381">
        <v>9333296366</v>
      </c>
      <c r="AL381" t="s">
        <v>1</v>
      </c>
      <c r="AM381" t="s">
        <v>1</v>
      </c>
      <c r="AN381" t="s">
        <v>1</v>
      </c>
      <c r="AO381" t="s">
        <v>2759</v>
      </c>
      <c r="AP381" t="s">
        <v>1</v>
      </c>
      <c r="AQ381" t="s">
        <v>2</v>
      </c>
      <c r="AR381" t="s">
        <v>3</v>
      </c>
      <c r="AS381" t="s">
        <v>3</v>
      </c>
      <c r="AT381" t="s">
        <v>3</v>
      </c>
      <c r="AU381" t="s">
        <v>3</v>
      </c>
      <c r="AV381" t="s">
        <v>3</v>
      </c>
      <c r="AW381" t="s">
        <v>11</v>
      </c>
      <c r="AX381">
        <f>Tabla1[[#This Row],[precio del paquete]]-Tabla1[[#This Row],[Saldo_Deudor]]</f>
        <v>3600</v>
      </c>
      <c r="AY381">
        <v>9300</v>
      </c>
      <c r="AZ381" t="s">
        <v>1</v>
      </c>
      <c r="BA381" t="s">
        <v>1</v>
      </c>
      <c r="BB381" t="s">
        <v>1</v>
      </c>
      <c r="BC381" t="s">
        <v>1397</v>
      </c>
      <c r="BD381" t="s">
        <v>3255</v>
      </c>
      <c r="BE381" t="s">
        <v>3</v>
      </c>
      <c r="BF381" t="s">
        <v>3</v>
      </c>
      <c r="BG381" t="s">
        <v>3</v>
      </c>
      <c r="BH381" t="s">
        <v>3</v>
      </c>
      <c r="BI381" t="s">
        <v>3</v>
      </c>
      <c r="BJ381" t="s">
        <v>3379</v>
      </c>
      <c r="BK381" t="s">
        <v>3</v>
      </c>
      <c r="BL381" t="s">
        <v>132</v>
      </c>
      <c r="BM381" t="s">
        <v>1</v>
      </c>
      <c r="BN381">
        <f>Tabla1[[#This Row],[precio del paquete]]</f>
        <v>12900</v>
      </c>
      <c r="BO381" t="s">
        <v>1</v>
      </c>
      <c r="BP381" t="s">
        <v>1</v>
      </c>
      <c r="BQ381" t="s">
        <v>1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0</v>
      </c>
      <c r="BX381" t="s">
        <v>1</v>
      </c>
      <c r="BY381" t="s">
        <v>1</v>
      </c>
      <c r="BZ381" t="s">
        <v>1</v>
      </c>
      <c r="CA381" t="s">
        <v>1</v>
      </c>
      <c r="CB381" t="s">
        <v>3382</v>
      </c>
      <c r="CD381" t="str" cm="1">
        <f t="array" aca="1" ref="CD381" ca="1">eConcatenar(A381:CB381,"|")</f>
        <v>6RcuwSRRBlw1CdLK|PAR2020-1779|3|IMPERIAL DE LUJO|TABASCO|PARAISO|PARAISO|2020-09-02|12900|0|150|50|0|0|0|0|0|0|0|0|0|0|0||0|0|0|CORDOVA|DE LA CRUZ|ISIDRO|SOLTERO|X|X|ENTRADA A UN COSTADO DE CASA AMARILLA|RANCHERIA LAS FLORES TERCERA SECCION|X|9333296366|X|X|X|ENTRADA A UN COSTADO DE CASA AMARILLA|X|LUNES|x|x|x|x|x|DOMICILIO |3600|9300|X|X|X|2022-02-07|2022-02-14|x|x|x|x|x|LMVFBKKJKSMXN4L|x|HOMBRE|X|12900|X|X|X|X|X|X|X|X|CARDENAS|X|X|X|X|FINAL</v>
      </c>
    </row>
    <row r="382" spans="1:82" x14ac:dyDescent="0.25">
      <c r="A382" t="s">
        <v>871</v>
      </c>
      <c r="B382" t="s">
        <v>872</v>
      </c>
      <c r="C382">
        <v>3</v>
      </c>
      <c r="D382" t="s">
        <v>1372</v>
      </c>
      <c r="E382" t="s">
        <v>1380</v>
      </c>
      <c r="F382" t="s">
        <v>1385</v>
      </c>
      <c r="G382" t="s">
        <v>1385</v>
      </c>
      <c r="H382" t="s">
        <v>1550</v>
      </c>
      <c r="I382">
        <v>12900</v>
      </c>
      <c r="J382">
        <v>0</v>
      </c>
      <c r="K382">
        <v>200</v>
      </c>
      <c r="L382">
        <v>50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Y382">
        <v>0</v>
      </c>
      <c r="Z382">
        <v>0</v>
      </c>
      <c r="AA382">
        <v>0</v>
      </c>
      <c r="AB382" t="s">
        <v>2193</v>
      </c>
      <c r="AC382" t="s">
        <v>2194</v>
      </c>
      <c r="AD382" t="s">
        <v>2195</v>
      </c>
      <c r="AE382" t="s">
        <v>4</v>
      </c>
      <c r="AF382" t="s">
        <v>1</v>
      </c>
      <c r="AG382" t="s">
        <v>1</v>
      </c>
      <c r="AH382" t="s">
        <v>2760</v>
      </c>
      <c r="AI382" t="s">
        <v>3142</v>
      </c>
      <c r="AJ382" t="s">
        <v>1</v>
      </c>
      <c r="AK382">
        <v>9335937037</v>
      </c>
      <c r="AL382" t="s">
        <v>1</v>
      </c>
      <c r="AM382" t="s">
        <v>1</v>
      </c>
      <c r="AN382" t="s">
        <v>1</v>
      </c>
      <c r="AO382" t="s">
        <v>2760</v>
      </c>
      <c r="AP382" t="s">
        <v>1</v>
      </c>
      <c r="AQ382" t="s">
        <v>2</v>
      </c>
      <c r="AR382" t="s">
        <v>3</v>
      </c>
      <c r="AS382" t="s">
        <v>3</v>
      </c>
      <c r="AT382" t="s">
        <v>3</v>
      </c>
      <c r="AU382" t="s">
        <v>3</v>
      </c>
      <c r="AV382" t="s">
        <v>3</v>
      </c>
      <c r="AW382" t="s">
        <v>11</v>
      </c>
      <c r="AX382">
        <f>Tabla1[[#This Row],[precio del paquete]]-Tabla1[[#This Row],[Saldo_Deudor]]</f>
        <v>8800</v>
      </c>
      <c r="AY382">
        <v>4100</v>
      </c>
      <c r="AZ382" t="s">
        <v>1</v>
      </c>
      <c r="BA382" t="s">
        <v>1</v>
      </c>
      <c r="BB382" t="s">
        <v>1</v>
      </c>
      <c r="BC382" t="s">
        <v>1402</v>
      </c>
      <c r="BD382" t="s">
        <v>1405</v>
      </c>
      <c r="BE382" t="s">
        <v>3</v>
      </c>
      <c r="BF382" t="s">
        <v>3</v>
      </c>
      <c r="BG382" t="s">
        <v>3</v>
      </c>
      <c r="BH382" t="s">
        <v>3</v>
      </c>
      <c r="BI382" t="s">
        <v>3</v>
      </c>
      <c r="BJ382" t="s">
        <v>3379</v>
      </c>
      <c r="BK382" t="s">
        <v>3</v>
      </c>
      <c r="BL382" t="s">
        <v>132</v>
      </c>
      <c r="BM382" t="s">
        <v>1</v>
      </c>
      <c r="BN382">
        <f>Tabla1[[#This Row],[precio del paquete]]</f>
        <v>12900</v>
      </c>
      <c r="BO382" t="s">
        <v>1</v>
      </c>
      <c r="BP382" t="s">
        <v>1</v>
      </c>
      <c r="BQ382" t="s">
        <v>1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0</v>
      </c>
      <c r="BX382" t="s">
        <v>1</v>
      </c>
      <c r="BY382" t="s">
        <v>1</v>
      </c>
      <c r="BZ382" t="s">
        <v>1</v>
      </c>
      <c r="CA382" t="s">
        <v>1</v>
      </c>
      <c r="CB382" t="s">
        <v>3382</v>
      </c>
      <c r="CD382" t="str" cm="1">
        <f t="array" aca="1" ref="CD382" ca="1">eConcatenar(A382:CB382,"|")</f>
        <v>XTU2cWLcH2cmh52t|PAR2020-1335|3|IMPERIAL DE LUJO|TABASCO|PARAISO|PARAISO|2020-07-22|12900|0|200|50|0|0|0|0|0|0|0|0|0|0|0||0|0|0|CAMPUS|LECANO|CARLOS RENE|SOLTERO|X|X|CALLE GUTIERREZ ZAMORA SIN NUMERO|COLONIA CENTRO PARAISO|X|9335937037|X|X|X|CALLE GUTIERREZ ZAMORA SIN NUMERO|X|LUNES|x|x|x|x|x|DOMICILIO |8800|4100|X|X|X|2022-02-08|2022-02-15|x|x|x|x|x|LMVFBKKJKSMXN4L|x|HOMBRE|X|12900|X|X|X|X|X|X|X|X|CARDENAS|X|X|X|X|FINAL</v>
      </c>
    </row>
    <row r="383" spans="1:82" x14ac:dyDescent="0.25">
      <c r="A383" t="s">
        <v>873</v>
      </c>
      <c r="B383" t="s">
        <v>874</v>
      </c>
      <c r="C383">
        <v>3</v>
      </c>
      <c r="D383" t="s">
        <v>1371</v>
      </c>
      <c r="E383" t="s">
        <v>1380</v>
      </c>
      <c r="F383" t="s">
        <v>1385</v>
      </c>
      <c r="G383" t="s">
        <v>1385</v>
      </c>
      <c r="H383" t="s">
        <v>1551</v>
      </c>
      <c r="I383">
        <v>12900</v>
      </c>
      <c r="J383">
        <v>0</v>
      </c>
      <c r="K383">
        <v>200</v>
      </c>
      <c r="L383">
        <v>50</v>
      </c>
      <c r="M383">
        <v>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Y383">
        <v>0</v>
      </c>
      <c r="Z383">
        <v>0</v>
      </c>
      <c r="AA383">
        <v>0</v>
      </c>
      <c r="AB383" t="s">
        <v>2002</v>
      </c>
      <c r="AC383" t="s">
        <v>2196</v>
      </c>
      <c r="AD383" t="s">
        <v>2197</v>
      </c>
      <c r="AE383" t="s">
        <v>4</v>
      </c>
      <c r="AF383" t="s">
        <v>1</v>
      </c>
      <c r="AG383" t="s">
        <v>1</v>
      </c>
      <c r="AH383" t="s">
        <v>2761</v>
      </c>
      <c r="AI383" t="s">
        <v>3150</v>
      </c>
      <c r="AJ383" t="s">
        <v>1</v>
      </c>
      <c r="AK383">
        <v>9331340173</v>
      </c>
      <c r="AL383" t="s">
        <v>1</v>
      </c>
      <c r="AM383" t="s">
        <v>1</v>
      </c>
      <c r="AN383" t="s">
        <v>1</v>
      </c>
      <c r="AO383" t="s">
        <v>2761</v>
      </c>
      <c r="AP383" t="s">
        <v>1</v>
      </c>
      <c r="AQ383" t="s">
        <v>2</v>
      </c>
      <c r="AR383" t="s">
        <v>3</v>
      </c>
      <c r="AS383" t="s">
        <v>3</v>
      </c>
      <c r="AT383" t="s">
        <v>3</v>
      </c>
      <c r="AU383" t="s">
        <v>3</v>
      </c>
      <c r="AV383" t="s">
        <v>3</v>
      </c>
      <c r="AW383" t="s">
        <v>11</v>
      </c>
      <c r="AX383">
        <f>Tabla1[[#This Row],[precio del paquete]]-Tabla1[[#This Row],[Saldo_Deudor]]</f>
        <v>7900</v>
      </c>
      <c r="AY383">
        <v>5000</v>
      </c>
      <c r="AZ383" t="s">
        <v>1</v>
      </c>
      <c r="BA383" t="s">
        <v>1</v>
      </c>
      <c r="BB383" t="s">
        <v>1</v>
      </c>
      <c r="BC383" t="s">
        <v>3259</v>
      </c>
      <c r="BD383" t="s">
        <v>1403</v>
      </c>
      <c r="BE383" t="s">
        <v>3</v>
      </c>
      <c r="BF383" t="s">
        <v>3</v>
      </c>
      <c r="BG383" t="s">
        <v>3</v>
      </c>
      <c r="BH383" t="s">
        <v>3</v>
      </c>
      <c r="BI383" t="s">
        <v>3</v>
      </c>
      <c r="BJ383" t="s">
        <v>3379</v>
      </c>
      <c r="BK383" t="s">
        <v>3</v>
      </c>
      <c r="BL383" t="s">
        <v>132</v>
      </c>
      <c r="BM383" t="s">
        <v>1</v>
      </c>
      <c r="BN383">
        <f>Tabla1[[#This Row],[precio del paquete]]</f>
        <v>12900</v>
      </c>
      <c r="BO383" t="s">
        <v>1</v>
      </c>
      <c r="BP383" t="s">
        <v>1</v>
      </c>
      <c r="BQ383" t="s">
        <v>1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0</v>
      </c>
      <c r="BX383" t="s">
        <v>1</v>
      </c>
      <c r="BY383" t="s">
        <v>1</v>
      </c>
      <c r="BZ383" t="s">
        <v>1</v>
      </c>
      <c r="CA383" t="s">
        <v>1</v>
      </c>
      <c r="CB383" t="s">
        <v>3382</v>
      </c>
      <c r="CD383" t="str" cm="1">
        <f t="array" aca="1" ref="CD383" ca="1">eConcatenar(A383:CB383,"|")</f>
        <v>eFDeeTSjNqNnSjV6|PAR2020-1353|3|ECONOLINE|TABASCO|PARAISO|PARAISO|2020-07-15|12900|0|200|50|1|0|0|0|0|0|0|0|0|0|0||0|0|0|ANGULO|CARRILLO|EGLAMOGA|SOLTERO|X|X|ENTRADA SANTA CRUZ|COLONIA QUINTIN ARAUZ|X|9331340173|X|X|X|ENTRADA SANTA CRUZ|X|LUNES|x|x|x|x|x|DOMICILIO |7900|5000|X|X|X|2022-01-03|2022-01-10|x|x|x|x|x|LMVFBKKJKSMXN4L|x|HOMBRE|X|12900|X|X|X|X|X|X|X|X|CARDENAS|X|X|X|X|FINAL</v>
      </c>
    </row>
    <row r="384" spans="1:82" s="5" customFormat="1" x14ac:dyDescent="0.25">
      <c r="A384" t="s">
        <v>875</v>
      </c>
      <c r="B384" t="s">
        <v>876</v>
      </c>
      <c r="C384">
        <v>3</v>
      </c>
      <c r="D384" t="s">
        <v>1372</v>
      </c>
      <c r="E384" t="s">
        <v>1380</v>
      </c>
      <c r="F384" t="s">
        <v>1385</v>
      </c>
      <c r="G384" t="s">
        <v>1385</v>
      </c>
      <c r="H384" t="s">
        <v>1545</v>
      </c>
      <c r="I384">
        <v>12900</v>
      </c>
      <c r="J384">
        <v>0</v>
      </c>
      <c r="K384">
        <v>200</v>
      </c>
      <c r="L384">
        <v>50</v>
      </c>
      <c r="M384">
        <v>1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/>
      <c r="Y384">
        <v>0</v>
      </c>
      <c r="Z384">
        <v>0</v>
      </c>
      <c r="AA384">
        <v>0</v>
      </c>
      <c r="AB384" t="s">
        <v>2198</v>
      </c>
      <c r="AC384" t="s">
        <v>2199</v>
      </c>
      <c r="AD384" t="s">
        <v>2066</v>
      </c>
      <c r="AE384" t="s">
        <v>4</v>
      </c>
      <c r="AF384" t="s">
        <v>1</v>
      </c>
      <c r="AG384" t="s">
        <v>1</v>
      </c>
      <c r="AH384" t="s">
        <v>2762</v>
      </c>
      <c r="AI384" t="s">
        <v>3142</v>
      </c>
      <c r="AJ384" t="s">
        <v>1</v>
      </c>
      <c r="AK384">
        <v>9331579560</v>
      </c>
      <c r="AL384" t="s">
        <v>1</v>
      </c>
      <c r="AM384" t="s">
        <v>1</v>
      </c>
      <c r="AN384" t="s">
        <v>1</v>
      </c>
      <c r="AO384" t="s">
        <v>2762</v>
      </c>
      <c r="AP384" t="s">
        <v>1</v>
      </c>
      <c r="AQ384" t="s">
        <v>2</v>
      </c>
      <c r="AR384" t="s">
        <v>3</v>
      </c>
      <c r="AS384" t="s">
        <v>3</v>
      </c>
      <c r="AT384" t="s">
        <v>3</v>
      </c>
      <c r="AU384" t="s">
        <v>3</v>
      </c>
      <c r="AV384" t="s">
        <v>3</v>
      </c>
      <c r="AW384" t="s">
        <v>11</v>
      </c>
      <c r="AX384">
        <f>Tabla1[[#This Row],[precio del paquete]]-Tabla1[[#This Row],[Saldo_Deudor]]</f>
        <v>10500</v>
      </c>
      <c r="AY384">
        <v>2400</v>
      </c>
      <c r="AZ384" t="s">
        <v>1</v>
      </c>
      <c r="BA384" t="s">
        <v>1</v>
      </c>
      <c r="BB384" t="s">
        <v>1</v>
      </c>
      <c r="BC384" t="s">
        <v>1402</v>
      </c>
      <c r="BD384" t="s">
        <v>1405</v>
      </c>
      <c r="BE384" t="s">
        <v>3</v>
      </c>
      <c r="BF384" t="s">
        <v>3</v>
      </c>
      <c r="BG384" t="s">
        <v>3</v>
      </c>
      <c r="BH384" t="s">
        <v>3</v>
      </c>
      <c r="BI384" t="s">
        <v>3</v>
      </c>
      <c r="BJ384" t="s">
        <v>3379</v>
      </c>
      <c r="BK384" t="s">
        <v>3</v>
      </c>
      <c r="BL384" t="s">
        <v>132</v>
      </c>
      <c r="BM384" t="s">
        <v>1</v>
      </c>
      <c r="BN384">
        <f>Tabla1[[#This Row],[precio del paquete]]</f>
        <v>12900</v>
      </c>
      <c r="BO384" t="s">
        <v>1</v>
      </c>
      <c r="BP384" t="s">
        <v>1</v>
      </c>
      <c r="BQ384" t="s">
        <v>1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0</v>
      </c>
      <c r="BX384" t="s">
        <v>1</v>
      </c>
      <c r="BY384" t="s">
        <v>1</v>
      </c>
      <c r="BZ384" t="s">
        <v>1</v>
      </c>
      <c r="CA384" t="s">
        <v>1</v>
      </c>
      <c r="CB384" t="s">
        <v>3382</v>
      </c>
      <c r="CD384" s="5" t="str" cm="1">
        <f t="array" aca="1" ref="CD384" ca="1">eConcatenar(A384:CB384,"|")</f>
        <v>o2Pj7QgBbreiewIQ|PAR2020-1382|3|IMPERIAL DE LUJO|TABASCO|PARAISO|PARAISO|2020-07-28|12900|0|200|50|1|0|0|0|0|0|0|0|0|0|0||0|0|0|BARRALES|MELO|ANTONIO|SOLTERO|X|X|CALLE MIGUEL LERDO NUMERO 704|COLONIA CENTRO PARAISO|X|9331579560|X|X|X|CALLE MIGUEL LERDO NUMERO 704|X|LUNES|x|x|x|x|x|DOMICILIO |10500|2400|X|X|X|2022-02-08|2022-02-15|x|x|x|x|x|LMVFBKKJKSMXN4L|x|HOMBRE|X|12900|X|X|X|X|X|X|X|X|CARDENAS|X|X|X|X|FINAL</v>
      </c>
    </row>
    <row r="385" spans="1:82" x14ac:dyDescent="0.25">
      <c r="A385" t="s">
        <v>877</v>
      </c>
      <c r="B385" t="s">
        <v>878</v>
      </c>
      <c r="C385">
        <v>3</v>
      </c>
      <c r="D385" t="s">
        <v>1369</v>
      </c>
      <c r="E385" t="s">
        <v>1380</v>
      </c>
      <c r="F385" t="s">
        <v>1385</v>
      </c>
      <c r="G385" t="s">
        <v>1385</v>
      </c>
      <c r="H385" t="s">
        <v>1536</v>
      </c>
      <c r="I385">
        <v>14800</v>
      </c>
      <c r="J385">
        <v>0</v>
      </c>
      <c r="K385">
        <v>200</v>
      </c>
      <c r="L385">
        <v>50</v>
      </c>
      <c r="M385">
        <v>2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Y385">
        <v>0</v>
      </c>
      <c r="Z385">
        <v>0</v>
      </c>
      <c r="AA385">
        <v>0</v>
      </c>
      <c r="AB385" t="s">
        <v>1744</v>
      </c>
      <c r="AC385" t="s">
        <v>1852</v>
      </c>
      <c r="AD385" t="s">
        <v>2200</v>
      </c>
      <c r="AE385" t="s">
        <v>4</v>
      </c>
      <c r="AF385" t="s">
        <v>1</v>
      </c>
      <c r="AG385" t="s">
        <v>1</v>
      </c>
      <c r="AH385" t="s">
        <v>2763</v>
      </c>
      <c r="AI385" t="s">
        <v>3142</v>
      </c>
      <c r="AJ385" t="s">
        <v>1</v>
      </c>
      <c r="AK385">
        <v>9331109628</v>
      </c>
      <c r="AL385" t="s">
        <v>1</v>
      </c>
      <c r="AM385" t="s">
        <v>1</v>
      </c>
      <c r="AN385" t="s">
        <v>1</v>
      </c>
      <c r="AO385" t="s">
        <v>2763</v>
      </c>
      <c r="AP385" t="s">
        <v>1</v>
      </c>
      <c r="AQ385" t="s">
        <v>2</v>
      </c>
      <c r="AR385" t="s">
        <v>3</v>
      </c>
      <c r="AS385" t="s">
        <v>3</v>
      </c>
      <c r="AT385" t="s">
        <v>3</v>
      </c>
      <c r="AU385" t="s">
        <v>3</v>
      </c>
      <c r="AV385" t="s">
        <v>3</v>
      </c>
      <c r="AW385" t="s">
        <v>11</v>
      </c>
      <c r="AX385">
        <f>Tabla1[[#This Row],[precio del paquete]]-Tabla1[[#This Row],[Saldo_Deudor]]</f>
        <v>12100</v>
      </c>
      <c r="AY385">
        <v>2700</v>
      </c>
      <c r="AZ385" t="s">
        <v>1</v>
      </c>
      <c r="BA385" t="s">
        <v>1</v>
      </c>
      <c r="BB385" t="s">
        <v>1</v>
      </c>
      <c r="BC385" t="s">
        <v>3278</v>
      </c>
      <c r="BD385" t="s">
        <v>3328</v>
      </c>
      <c r="BE385" t="s">
        <v>3</v>
      </c>
      <c r="BF385" t="s">
        <v>3</v>
      </c>
      <c r="BG385" t="s">
        <v>3</v>
      </c>
      <c r="BH385" t="s">
        <v>3</v>
      </c>
      <c r="BI385" t="s">
        <v>3</v>
      </c>
      <c r="BJ385" t="s">
        <v>3379</v>
      </c>
      <c r="BK385" t="s">
        <v>3</v>
      </c>
      <c r="BL385" t="s">
        <v>132</v>
      </c>
      <c r="BM385" t="s">
        <v>1</v>
      </c>
      <c r="BN385">
        <f>Tabla1[[#This Row],[precio del paquete]]</f>
        <v>14800</v>
      </c>
      <c r="BO385" t="s">
        <v>1</v>
      </c>
      <c r="BP385" t="s">
        <v>1</v>
      </c>
      <c r="BQ385" t="s">
        <v>1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0</v>
      </c>
      <c r="BX385" t="s">
        <v>1</v>
      </c>
      <c r="BY385" t="s">
        <v>1</v>
      </c>
      <c r="BZ385" t="s">
        <v>1</v>
      </c>
      <c r="CA385" t="s">
        <v>1</v>
      </c>
      <c r="CB385" t="s">
        <v>3382</v>
      </c>
      <c r="CD385" t="str" cm="1">
        <f t="array" aca="1" ref="CD385" ca="1">eConcatenar(A385:CB385,"|")</f>
        <v>OOc8btrxEwJb8aFb|PAR2020-1393|3|MEMORIAL|TABASCO|PARAISO|PARAISO|2020-07-30|14800|0|200|50|2|0|0|0|0|0|0|0|0|0|0||0|0|0|PEREZ|MADRIGAL|NURIS DEL CARMEN|SOLTERO|X|X|CALLE PRIMERA CERRADA 5 DE MAYO|COLONIA CENTRO PARAISO|X|9331109628|X|X|X|CALLE PRIMERA CERRADA 5 DE MAYO|X|LUNES|x|x|x|x|x|DOMICILIO |12100|2700|X|X|X|2022-11-11|2022-11-18|x|x|x|x|x|LMVFBKKJKSMXN4L|x|HOMBRE|X|14800|X|X|X|X|X|X|X|X|CARDENAS|X|X|X|X|FINAL</v>
      </c>
    </row>
    <row r="386" spans="1:82" x14ac:dyDescent="0.25">
      <c r="A386" t="s">
        <v>879</v>
      </c>
      <c r="B386" t="s">
        <v>880</v>
      </c>
      <c r="C386">
        <v>3</v>
      </c>
      <c r="D386" t="s">
        <v>1369</v>
      </c>
      <c r="E386" t="s">
        <v>1380</v>
      </c>
      <c r="F386" t="s">
        <v>0</v>
      </c>
      <c r="G386" t="s">
        <v>0</v>
      </c>
      <c r="H386" t="s">
        <v>1552</v>
      </c>
      <c r="I386">
        <v>14800</v>
      </c>
      <c r="J386">
        <v>0</v>
      </c>
      <c r="K386">
        <v>50</v>
      </c>
      <c r="L386">
        <v>50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Y386">
        <v>0</v>
      </c>
      <c r="Z386">
        <v>0</v>
      </c>
      <c r="AA386">
        <v>0</v>
      </c>
      <c r="AB386" t="s">
        <v>1731</v>
      </c>
      <c r="AC386" t="s">
        <v>7</v>
      </c>
      <c r="AD386" t="s">
        <v>2201</v>
      </c>
      <c r="AE386" t="s">
        <v>4</v>
      </c>
      <c r="AF386" t="s">
        <v>1</v>
      </c>
      <c r="AG386" t="s">
        <v>1</v>
      </c>
      <c r="AH386" t="s">
        <v>2764</v>
      </c>
      <c r="AI386" t="s">
        <v>3155</v>
      </c>
      <c r="AJ386" t="s">
        <v>1</v>
      </c>
      <c r="AK386">
        <v>9373771106</v>
      </c>
      <c r="AL386" t="s">
        <v>1</v>
      </c>
      <c r="AM386" t="s">
        <v>1</v>
      </c>
      <c r="AN386" t="s">
        <v>1</v>
      </c>
      <c r="AO386" t="s">
        <v>2764</v>
      </c>
      <c r="AP386" t="s">
        <v>1</v>
      </c>
      <c r="AQ386" t="s">
        <v>2</v>
      </c>
      <c r="AR386" t="s">
        <v>3</v>
      </c>
      <c r="AS386" t="s">
        <v>3</v>
      </c>
      <c r="AT386" t="s">
        <v>3</v>
      </c>
      <c r="AU386" t="s">
        <v>3</v>
      </c>
      <c r="AV386" t="s">
        <v>3</v>
      </c>
      <c r="AW386" t="s">
        <v>11</v>
      </c>
      <c r="AX386">
        <f>Tabla1[[#This Row],[precio del paquete]]-Tabla1[[#This Row],[Saldo_Deudor]]</f>
        <v>1750</v>
      </c>
      <c r="AY386">
        <v>13050</v>
      </c>
      <c r="AZ386" t="s">
        <v>1</v>
      </c>
      <c r="BA386" t="s">
        <v>1</v>
      </c>
      <c r="BB386" t="s">
        <v>1</v>
      </c>
      <c r="BC386" t="s">
        <v>3277</v>
      </c>
      <c r="BD386" t="s">
        <v>3327</v>
      </c>
      <c r="BE386" t="s">
        <v>3</v>
      </c>
      <c r="BF386" t="s">
        <v>3</v>
      </c>
      <c r="BG386" t="s">
        <v>3</v>
      </c>
      <c r="BH386" t="s">
        <v>3</v>
      </c>
      <c r="BI386" t="s">
        <v>3</v>
      </c>
      <c r="BJ386" t="s">
        <v>3380</v>
      </c>
      <c r="BK386" t="s">
        <v>3</v>
      </c>
      <c r="BL386" t="s">
        <v>132</v>
      </c>
      <c r="BM386" t="s">
        <v>1</v>
      </c>
      <c r="BN386">
        <f>Tabla1[[#This Row],[precio del paquete]]</f>
        <v>14800</v>
      </c>
      <c r="BO386" t="s">
        <v>1</v>
      </c>
      <c r="BP386" t="s">
        <v>1</v>
      </c>
      <c r="BQ386" t="s">
        <v>1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0</v>
      </c>
      <c r="BX386" t="s">
        <v>1</v>
      </c>
      <c r="BY386" t="s">
        <v>1</v>
      </c>
      <c r="BZ386" t="s">
        <v>1</v>
      </c>
      <c r="CA386" t="s">
        <v>1</v>
      </c>
      <c r="CB386" t="s">
        <v>3382</v>
      </c>
      <c r="CD386" t="str" cm="1">
        <f t="array" aca="1" ref="CD386" ca="1">eConcatenar(A386:CB386,"|")</f>
        <v>wL14k9y0anNYzL6V|CA2021-5467|3|MEMORIAL|TABASCO|CARDENAS|CARDENAS|2021-09-23|14800|0|50|50|0|0|0|0|0|0|0|0|0|0|0||0|0|0|GARCIA|LOPEZ|LEOPOLDO|SOLTERO|X|X|CALLE 8 NUMERO 139|POBLADO C-27 GREGORIO MENDEZ|X|9373771106|X|X|X|CALLE 8 NUMERO 139|X|LUNES|x|x|x|x|x|DOMICILIO |1750|13050|X|X|X|2022-02-17|2022-02-24|x|x|x|x|x|XUMGJ9LE8RXKR9U|x|HOMBRE|X|14800|X|X|X|X|X|X|X|X|CARDENAS|X|X|X|X|FINAL</v>
      </c>
    </row>
    <row r="387" spans="1:82" x14ac:dyDescent="0.25">
      <c r="A387" t="s">
        <v>881</v>
      </c>
      <c r="B387" t="s">
        <v>882</v>
      </c>
      <c r="C387">
        <v>3</v>
      </c>
      <c r="D387" t="s">
        <v>1369</v>
      </c>
      <c r="E387" t="s">
        <v>1380</v>
      </c>
      <c r="F387" t="s">
        <v>0</v>
      </c>
      <c r="G387" t="s">
        <v>0</v>
      </c>
      <c r="H387" t="s">
        <v>1553</v>
      </c>
      <c r="I387">
        <v>14800</v>
      </c>
      <c r="J387">
        <v>0</v>
      </c>
      <c r="K387">
        <v>100</v>
      </c>
      <c r="L387">
        <v>50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Y387">
        <v>0</v>
      </c>
      <c r="Z387">
        <v>0</v>
      </c>
      <c r="AA387">
        <v>0</v>
      </c>
      <c r="AB387" t="s">
        <v>1731</v>
      </c>
      <c r="AC387" t="s">
        <v>2202</v>
      </c>
      <c r="AD387" t="s">
        <v>1993</v>
      </c>
      <c r="AE387" t="s">
        <v>4</v>
      </c>
      <c r="AF387" t="s">
        <v>1</v>
      </c>
      <c r="AG387" t="s">
        <v>1</v>
      </c>
      <c r="AH387" t="s">
        <v>2765</v>
      </c>
      <c r="AI387" t="s">
        <v>3156</v>
      </c>
      <c r="AJ387" t="s">
        <v>1</v>
      </c>
      <c r="AK387">
        <v>9371201973</v>
      </c>
      <c r="AL387" t="s">
        <v>1</v>
      </c>
      <c r="AM387" t="s">
        <v>1</v>
      </c>
      <c r="AN387" t="s">
        <v>1</v>
      </c>
      <c r="AO387" t="s">
        <v>2765</v>
      </c>
      <c r="AP387" t="s">
        <v>1</v>
      </c>
      <c r="AQ387" t="s">
        <v>2</v>
      </c>
      <c r="AR387" t="s">
        <v>3</v>
      </c>
      <c r="AS387" t="s">
        <v>3</v>
      </c>
      <c r="AT387" t="s">
        <v>3</v>
      </c>
      <c r="AU387" t="s">
        <v>3</v>
      </c>
      <c r="AV387" t="s">
        <v>3</v>
      </c>
      <c r="AW387" t="s">
        <v>11</v>
      </c>
      <c r="AX387">
        <f>Tabla1[[#This Row],[precio del paquete]]-Tabla1[[#This Row],[Saldo_Deudor]]</f>
        <v>1100</v>
      </c>
      <c r="AY387">
        <v>13700</v>
      </c>
      <c r="AZ387" t="s">
        <v>1</v>
      </c>
      <c r="BA387" t="s">
        <v>1</v>
      </c>
      <c r="BB387" t="s">
        <v>1</v>
      </c>
      <c r="BC387" t="s">
        <v>3277</v>
      </c>
      <c r="BD387" t="s">
        <v>3327</v>
      </c>
      <c r="BE387" t="s">
        <v>3</v>
      </c>
      <c r="BF387" t="s">
        <v>3</v>
      </c>
      <c r="BG387" t="s">
        <v>3</v>
      </c>
      <c r="BH387" t="s">
        <v>3</v>
      </c>
      <c r="BI387" t="s">
        <v>3</v>
      </c>
      <c r="BJ387" t="s">
        <v>3380</v>
      </c>
      <c r="BK387" t="s">
        <v>3</v>
      </c>
      <c r="BL387" t="s">
        <v>132</v>
      </c>
      <c r="BM387" t="s">
        <v>1</v>
      </c>
      <c r="BN387">
        <f>Tabla1[[#This Row],[precio del paquete]]</f>
        <v>14800</v>
      </c>
      <c r="BO387" t="s">
        <v>1</v>
      </c>
      <c r="BP387" t="s">
        <v>1</v>
      </c>
      <c r="BQ387" t="s">
        <v>1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0</v>
      </c>
      <c r="BX387" t="s">
        <v>1</v>
      </c>
      <c r="BY387" t="s">
        <v>1</v>
      </c>
      <c r="BZ387" t="s">
        <v>1</v>
      </c>
      <c r="CA387" t="s">
        <v>1</v>
      </c>
      <c r="CB387" t="s">
        <v>3382</v>
      </c>
      <c r="CD387" t="str" cm="1">
        <f t="array" aca="1" ref="CD387" ca="1">eConcatenar(A387:CB387,"|")</f>
        <v>SPaS0Qip05PCpkcA|CAR2021-7476|3|MEMORIAL|TABASCO|CARDENAS|CARDENAS|2021-12-06|14800|0|100|50|0|0|0|0|0|0|0|0|0|0|0||0|0|0|GARCIA|YSIDRO|GLORIA|SOLTERO|X|X|CALLE 7 NUMERO 196|POBLADO C-33 VEINTE DE NOVIEMBRE|X|9371201973|X|X|X|CALLE 7 NUMERO 196|X|LUNES|x|x|x|x|x|DOMICILIO |1100|13700|X|X|X|2022-02-17|2022-02-24|x|x|x|x|x|XUMGJ9LE8RXKR9U|x|HOMBRE|X|14800|X|X|X|X|X|X|X|X|CARDENAS|X|X|X|X|FINAL</v>
      </c>
    </row>
    <row r="388" spans="1:82" x14ac:dyDescent="0.25">
      <c r="A388" t="s">
        <v>883</v>
      </c>
      <c r="B388" t="s">
        <v>884</v>
      </c>
      <c r="C388">
        <v>3</v>
      </c>
      <c r="D388" t="s">
        <v>1369</v>
      </c>
      <c r="E388" t="s">
        <v>1380</v>
      </c>
      <c r="F388" t="s">
        <v>0</v>
      </c>
      <c r="G388" t="s">
        <v>0</v>
      </c>
      <c r="H388" t="s">
        <v>1554</v>
      </c>
      <c r="I388">
        <v>14800</v>
      </c>
      <c r="J388">
        <v>0</v>
      </c>
      <c r="K388">
        <v>200</v>
      </c>
      <c r="L388">
        <v>50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Y388">
        <v>0</v>
      </c>
      <c r="Z388">
        <v>0</v>
      </c>
      <c r="AA388">
        <v>0</v>
      </c>
      <c r="AB388" t="s">
        <v>1731</v>
      </c>
      <c r="AC388" t="s">
        <v>1919</v>
      </c>
      <c r="AD388" t="s">
        <v>2203</v>
      </c>
      <c r="AE388" t="s">
        <v>4</v>
      </c>
      <c r="AF388" t="s">
        <v>1</v>
      </c>
      <c r="AG388" t="s">
        <v>1</v>
      </c>
      <c r="AH388" t="s">
        <v>2766</v>
      </c>
      <c r="AI388" t="s">
        <v>3157</v>
      </c>
      <c r="AJ388" t="s">
        <v>1</v>
      </c>
      <c r="AK388">
        <v>9371255513</v>
      </c>
      <c r="AL388" t="s">
        <v>1</v>
      </c>
      <c r="AM388" t="s">
        <v>1</v>
      </c>
      <c r="AN388" t="s">
        <v>1</v>
      </c>
      <c r="AO388" t="s">
        <v>2766</v>
      </c>
      <c r="AP388" t="s">
        <v>1</v>
      </c>
      <c r="AQ388" t="s">
        <v>2</v>
      </c>
      <c r="AR388" t="s">
        <v>3</v>
      </c>
      <c r="AS388" t="s">
        <v>3</v>
      </c>
      <c r="AT388" t="s">
        <v>3</v>
      </c>
      <c r="AU388" t="s">
        <v>3</v>
      </c>
      <c r="AV388" t="s">
        <v>3</v>
      </c>
      <c r="AW388" t="s">
        <v>11</v>
      </c>
      <c r="AX388">
        <f>Tabla1[[#This Row],[precio del paquete]]-Tabla1[[#This Row],[Saldo_Deudor]]</f>
        <v>1300</v>
      </c>
      <c r="AY388">
        <v>13500</v>
      </c>
      <c r="AZ388" t="s">
        <v>1</v>
      </c>
      <c r="BA388" t="s">
        <v>1</v>
      </c>
      <c r="BB388" t="s">
        <v>1</v>
      </c>
      <c r="BC388" t="s">
        <v>3277</v>
      </c>
      <c r="BD388" t="s">
        <v>3327</v>
      </c>
      <c r="BE388" t="s">
        <v>3</v>
      </c>
      <c r="BF388" t="s">
        <v>3</v>
      </c>
      <c r="BG388" t="s">
        <v>3</v>
      </c>
      <c r="BH388" t="s">
        <v>3</v>
      </c>
      <c r="BI388" t="s">
        <v>3</v>
      </c>
      <c r="BJ388" t="s">
        <v>3380</v>
      </c>
      <c r="BK388" t="s">
        <v>3</v>
      </c>
      <c r="BL388" t="s">
        <v>132</v>
      </c>
      <c r="BM388" t="s">
        <v>1</v>
      </c>
      <c r="BN388">
        <f>Tabla1[[#This Row],[precio del paquete]]</f>
        <v>14800</v>
      </c>
      <c r="BO388" t="s">
        <v>1</v>
      </c>
      <c r="BP388" t="s">
        <v>1</v>
      </c>
      <c r="BQ388" t="s">
        <v>1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0</v>
      </c>
      <c r="BX388" t="s">
        <v>1</v>
      </c>
      <c r="BY388" t="s">
        <v>1</v>
      </c>
      <c r="BZ388" t="s">
        <v>1</v>
      </c>
      <c r="CA388" t="s">
        <v>1</v>
      </c>
      <c r="CB388" t="s">
        <v>3382</v>
      </c>
      <c r="CD388" t="str" cm="1">
        <f t="array" aca="1" ref="CD388" ca="1">eConcatenar(A388:CB388,"|")</f>
        <v>ycwxxtXf6KS4aPdD|CAR2021-5852|3|MEMORIAL|TABASCO|CARDENAS|CARDENAS|2021-10-05|14800|0|200|50|0|0|0|0|0|0|0|0|0|0|0||0|0|0|GARCIA|RAMIREZ|JOSE ASUNCION|SOLTERO|X|X|CARRETERA VECINAL SIN NUMERO|RANCHERIA ARROYO HONDO SEGUNDA SECCION SANTA TERESA|X|9371255513|X|X|X|CARRETERA VECINAL SIN NUMERO|X|LUNES|x|x|x|x|x|DOMICILIO |1300|13500|X|X|X|2022-02-17|2022-02-24|x|x|x|x|x|XUMGJ9LE8RXKR9U|x|HOMBRE|X|14800|X|X|X|X|X|X|X|X|CARDENAS|X|X|X|X|FINAL</v>
      </c>
    </row>
    <row r="389" spans="1:82" x14ac:dyDescent="0.25">
      <c r="A389" t="s">
        <v>885</v>
      </c>
      <c r="B389" t="s">
        <v>886</v>
      </c>
      <c r="C389">
        <v>3</v>
      </c>
      <c r="D389" t="s">
        <v>1369</v>
      </c>
      <c r="E389" t="s">
        <v>1380</v>
      </c>
      <c r="F389" t="s">
        <v>0</v>
      </c>
      <c r="G389" t="s">
        <v>0</v>
      </c>
      <c r="H389" t="s">
        <v>1554</v>
      </c>
      <c r="I389">
        <v>14800</v>
      </c>
      <c r="J389">
        <v>0</v>
      </c>
      <c r="K389">
        <v>100</v>
      </c>
      <c r="L389">
        <v>50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Y389">
        <v>0</v>
      </c>
      <c r="Z389">
        <v>0</v>
      </c>
      <c r="AA389">
        <v>0</v>
      </c>
      <c r="AB389" t="s">
        <v>1774</v>
      </c>
      <c r="AC389" t="s">
        <v>1707</v>
      </c>
      <c r="AD389" t="s">
        <v>2204</v>
      </c>
      <c r="AE389" t="s">
        <v>4</v>
      </c>
      <c r="AF389" t="s">
        <v>1</v>
      </c>
      <c r="AG389" t="s">
        <v>1</v>
      </c>
      <c r="AH389" t="s">
        <v>2767</v>
      </c>
      <c r="AI389" t="s">
        <v>3158</v>
      </c>
      <c r="AJ389" t="s">
        <v>1</v>
      </c>
      <c r="AK389">
        <v>9372299508</v>
      </c>
      <c r="AL389" t="s">
        <v>1</v>
      </c>
      <c r="AM389" t="s">
        <v>1</v>
      </c>
      <c r="AN389" t="s">
        <v>1</v>
      </c>
      <c r="AO389" t="s">
        <v>2767</v>
      </c>
      <c r="AP389" t="s">
        <v>1</v>
      </c>
      <c r="AQ389" t="s">
        <v>2</v>
      </c>
      <c r="AR389" t="s">
        <v>3</v>
      </c>
      <c r="AS389" t="s">
        <v>3</v>
      </c>
      <c r="AT389" t="s">
        <v>3</v>
      </c>
      <c r="AU389" t="s">
        <v>3</v>
      </c>
      <c r="AV389" t="s">
        <v>3</v>
      </c>
      <c r="AW389" t="s">
        <v>11</v>
      </c>
      <c r="AX389">
        <f>Tabla1[[#This Row],[precio del paquete]]-Tabla1[[#This Row],[Saldo_Deudor]]</f>
        <v>1100</v>
      </c>
      <c r="AY389">
        <v>13700</v>
      </c>
      <c r="AZ389" t="s">
        <v>1</v>
      </c>
      <c r="BA389" t="s">
        <v>1</v>
      </c>
      <c r="BB389" t="s">
        <v>1</v>
      </c>
      <c r="BC389" t="s">
        <v>3277</v>
      </c>
      <c r="BD389" t="s">
        <v>3327</v>
      </c>
      <c r="BE389" t="s">
        <v>3</v>
      </c>
      <c r="BF389" t="s">
        <v>3</v>
      </c>
      <c r="BG389" t="s">
        <v>3</v>
      </c>
      <c r="BH389" t="s">
        <v>3</v>
      </c>
      <c r="BI389" t="s">
        <v>3</v>
      </c>
      <c r="BJ389" t="s">
        <v>3380</v>
      </c>
      <c r="BK389" t="s">
        <v>3</v>
      </c>
      <c r="BL389" t="s">
        <v>132</v>
      </c>
      <c r="BM389" t="s">
        <v>1</v>
      </c>
      <c r="BN389">
        <f>Tabla1[[#This Row],[precio del paquete]]</f>
        <v>14800</v>
      </c>
      <c r="BO389" t="s">
        <v>1</v>
      </c>
      <c r="BP389" t="s">
        <v>1</v>
      </c>
      <c r="BQ389" t="s">
        <v>1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0</v>
      </c>
      <c r="BX389" t="s">
        <v>1</v>
      </c>
      <c r="BY389" t="s">
        <v>1</v>
      </c>
      <c r="BZ389" t="s">
        <v>1</v>
      </c>
      <c r="CA389" t="s">
        <v>1</v>
      </c>
      <c r="CB389" t="s">
        <v>3382</v>
      </c>
      <c r="CD389" t="str" cm="1">
        <f t="array" aca="1" ref="CD389" ca="1">eConcatenar(A389:CB389,"|")</f>
        <v>OZxwqisMPOdytF4K|CAR2021-5854|3|MEMORIAL|TABASCO|CARDENAS|CARDENAS|2021-10-05|14800|0|100|50|0|0|0|0|0|0|0|0|0|0|0||0|0|0|GONZALEZ|OLAN|MARIA DE JESUS|SOLTERO|X|X|CALLE LOS BROCA SIN NUMERO|RANCHERIA ARROYO HONDO PRIMERA SECCION|X|9372299508|X|X|X|CALLE LOS BROCA SIN NUMERO|X|LUNES|x|x|x|x|x|DOMICILIO |1100|13700|X|X|X|2022-02-17|2022-02-24|x|x|x|x|x|XUMGJ9LE8RXKR9U|x|HOMBRE|X|14800|X|X|X|X|X|X|X|X|CARDENAS|X|X|X|X|FINAL</v>
      </c>
    </row>
    <row r="390" spans="1:82" x14ac:dyDescent="0.25">
      <c r="A390" t="s">
        <v>887</v>
      </c>
      <c r="B390" t="s">
        <v>888</v>
      </c>
      <c r="C390">
        <v>3</v>
      </c>
      <c r="D390" t="s">
        <v>1369</v>
      </c>
      <c r="E390" t="s">
        <v>1380</v>
      </c>
      <c r="F390" t="s">
        <v>0</v>
      </c>
      <c r="G390" t="s">
        <v>0</v>
      </c>
      <c r="H390" t="s">
        <v>1555</v>
      </c>
      <c r="I390">
        <v>14800</v>
      </c>
      <c r="J390">
        <v>0</v>
      </c>
      <c r="K390">
        <v>50</v>
      </c>
      <c r="L390">
        <v>50</v>
      </c>
      <c r="M390">
        <v>1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Y390">
        <v>0</v>
      </c>
      <c r="Z390">
        <v>0</v>
      </c>
      <c r="AA390">
        <v>0</v>
      </c>
      <c r="AB390" t="s">
        <v>2205</v>
      </c>
      <c r="AC390" t="s">
        <v>1919</v>
      </c>
      <c r="AD390" t="s">
        <v>2031</v>
      </c>
      <c r="AE390" t="s">
        <v>4</v>
      </c>
      <c r="AF390" t="s">
        <v>1</v>
      </c>
      <c r="AG390" t="s">
        <v>1</v>
      </c>
      <c r="AH390" t="s">
        <v>2465</v>
      </c>
      <c r="AI390" t="s">
        <v>3159</v>
      </c>
      <c r="AJ390" t="s">
        <v>1</v>
      </c>
      <c r="AK390">
        <v>9372306896</v>
      </c>
      <c r="AL390" t="s">
        <v>1</v>
      </c>
      <c r="AM390" t="s">
        <v>1</v>
      </c>
      <c r="AN390" t="s">
        <v>1</v>
      </c>
      <c r="AO390" t="s">
        <v>2465</v>
      </c>
      <c r="AP390" t="s">
        <v>1</v>
      </c>
      <c r="AQ390" t="s">
        <v>2</v>
      </c>
      <c r="AR390" t="s">
        <v>3</v>
      </c>
      <c r="AS390" t="s">
        <v>3</v>
      </c>
      <c r="AT390" t="s">
        <v>3</v>
      </c>
      <c r="AU390" t="s">
        <v>3</v>
      </c>
      <c r="AV390" t="s">
        <v>3</v>
      </c>
      <c r="AW390" t="s">
        <v>11</v>
      </c>
      <c r="AX390">
        <f>Tabla1[[#This Row],[precio del paquete]]-Tabla1[[#This Row],[Saldo_Deudor]]</f>
        <v>6700</v>
      </c>
      <c r="AY390">
        <v>8100</v>
      </c>
      <c r="AZ390" t="s">
        <v>1</v>
      </c>
      <c r="BA390" t="s">
        <v>1</v>
      </c>
      <c r="BB390" t="s">
        <v>1</v>
      </c>
      <c r="BC390" t="s">
        <v>3279</v>
      </c>
      <c r="BD390" t="s">
        <v>3329</v>
      </c>
      <c r="BE390" t="s">
        <v>3</v>
      </c>
      <c r="BF390" t="s">
        <v>3</v>
      </c>
      <c r="BG390" t="s">
        <v>3</v>
      </c>
      <c r="BH390" t="s">
        <v>3</v>
      </c>
      <c r="BI390" t="s">
        <v>3</v>
      </c>
      <c r="BJ390" t="s">
        <v>3380</v>
      </c>
      <c r="BK390" t="s">
        <v>3</v>
      </c>
      <c r="BL390" t="s">
        <v>132</v>
      </c>
      <c r="BM390" t="s">
        <v>1</v>
      </c>
      <c r="BN390">
        <f>Tabla1[[#This Row],[precio del paquete]]</f>
        <v>14800</v>
      </c>
      <c r="BO390" t="s">
        <v>1</v>
      </c>
      <c r="BP390" t="s">
        <v>1</v>
      </c>
      <c r="BQ390" t="s">
        <v>1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0</v>
      </c>
      <c r="BX390" t="s">
        <v>1</v>
      </c>
      <c r="BY390" t="s">
        <v>1</v>
      </c>
      <c r="BZ390" t="s">
        <v>1</v>
      </c>
      <c r="CA390" t="s">
        <v>1</v>
      </c>
      <c r="CB390" t="s">
        <v>3382</v>
      </c>
      <c r="CD390" t="str" cm="1">
        <f t="array" aca="1" ref="CD390" ca="1">eConcatenar(A390:CB390,"|")</f>
        <v>Z6kF4RXAn01udXST|CAR2021-5691|3|MEMORIAL|TABASCO|CARDENAS|CARDENAS|2021-09-30|14800|0|50|50|1|0|0|0|0|0|0|0|0|0|0||0|0|0|LARA|RAMIREZ|MARIA DEL CARMEN|SOLTERO|X|X|CARRETERA PRINCIPAL SIN NUMERO|EJIDO ZAPOTAL SEGUNDA SECCION|X|9372306896|X|X|X|CARRETERA PRINCIPAL SIN NUMERO|X|LUNES|x|x|x|x|x|DOMICILIO |6700|8100|X|X|X|2022-12-17|2022-12-24|x|x|x|x|x|XUMGJ9LE8RXKR9U|x|HOMBRE|X|14800|X|X|X|X|X|X|X|X|CARDENAS|X|X|X|X|FINAL</v>
      </c>
    </row>
    <row r="391" spans="1:82" x14ac:dyDescent="0.25">
      <c r="A391" t="s">
        <v>889</v>
      </c>
      <c r="B391" t="s">
        <v>890</v>
      </c>
      <c r="C391">
        <v>3</v>
      </c>
      <c r="D391" t="s">
        <v>1369</v>
      </c>
      <c r="E391" t="s">
        <v>1380</v>
      </c>
      <c r="F391" t="s">
        <v>0</v>
      </c>
      <c r="G391" t="s">
        <v>0</v>
      </c>
      <c r="H391" t="s">
        <v>1556</v>
      </c>
      <c r="I391">
        <v>14800</v>
      </c>
      <c r="J391">
        <v>0</v>
      </c>
      <c r="K391">
        <v>200</v>
      </c>
      <c r="L391">
        <v>50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Y391">
        <v>0</v>
      </c>
      <c r="Z391">
        <v>0</v>
      </c>
      <c r="AA391">
        <v>0</v>
      </c>
      <c r="AB391" t="s">
        <v>7</v>
      </c>
      <c r="AC391" t="s">
        <v>1699</v>
      </c>
      <c r="AD391" t="s">
        <v>2206</v>
      </c>
      <c r="AE391" t="s">
        <v>4</v>
      </c>
      <c r="AF391" t="s">
        <v>1</v>
      </c>
      <c r="AG391" t="s">
        <v>1</v>
      </c>
      <c r="AH391" t="s">
        <v>2768</v>
      </c>
      <c r="AI391" t="s">
        <v>3157</v>
      </c>
      <c r="AJ391" t="s">
        <v>1</v>
      </c>
      <c r="AK391">
        <v>9371285293</v>
      </c>
      <c r="AL391" t="s">
        <v>1</v>
      </c>
      <c r="AM391" t="s">
        <v>1</v>
      </c>
      <c r="AN391" t="s">
        <v>1</v>
      </c>
      <c r="AO391" t="s">
        <v>2768</v>
      </c>
      <c r="AP391" t="s">
        <v>1</v>
      </c>
      <c r="AQ391" t="s">
        <v>2</v>
      </c>
      <c r="AR391" t="s">
        <v>3</v>
      </c>
      <c r="AS391" t="s">
        <v>3</v>
      </c>
      <c r="AT391" t="s">
        <v>3</v>
      </c>
      <c r="AU391" t="s">
        <v>3</v>
      </c>
      <c r="AV391" t="s">
        <v>3</v>
      </c>
      <c r="AW391" t="s">
        <v>11</v>
      </c>
      <c r="AX391">
        <f>Tabla1[[#This Row],[precio del paquete]]-Tabla1[[#This Row],[Saldo_Deudor]]</f>
        <v>900</v>
      </c>
      <c r="AY391">
        <v>13900</v>
      </c>
      <c r="AZ391" t="s">
        <v>1</v>
      </c>
      <c r="BA391" t="s">
        <v>1</v>
      </c>
      <c r="BB391" t="s">
        <v>1</v>
      </c>
      <c r="BC391" t="s">
        <v>3277</v>
      </c>
      <c r="BD391" t="s">
        <v>3327</v>
      </c>
      <c r="BE391" t="s">
        <v>3</v>
      </c>
      <c r="BF391" t="s">
        <v>3</v>
      </c>
      <c r="BG391" t="s">
        <v>3</v>
      </c>
      <c r="BH391" t="s">
        <v>3</v>
      </c>
      <c r="BI391" t="s">
        <v>3</v>
      </c>
      <c r="BJ391" t="s">
        <v>3380</v>
      </c>
      <c r="BK391" t="s">
        <v>3</v>
      </c>
      <c r="BL391" t="s">
        <v>132</v>
      </c>
      <c r="BM391" t="s">
        <v>1</v>
      </c>
      <c r="BN391">
        <f>Tabla1[[#This Row],[precio del paquete]]</f>
        <v>14800</v>
      </c>
      <c r="BO391" t="s">
        <v>1</v>
      </c>
      <c r="BP391" t="s">
        <v>1</v>
      </c>
      <c r="BQ391" t="s">
        <v>1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0</v>
      </c>
      <c r="BX391" t="s">
        <v>1</v>
      </c>
      <c r="BY391" t="s">
        <v>1</v>
      </c>
      <c r="BZ391" t="s">
        <v>1</v>
      </c>
      <c r="CA391" t="s">
        <v>1</v>
      </c>
      <c r="CB391" t="s">
        <v>3382</v>
      </c>
      <c r="CD391" t="str" cm="1">
        <f t="array" aca="1" ref="CD391" ca="1">eConcatenar(A391:CB391,"|")</f>
        <v>aRApTyUQBIbLzgAC|CAR2021-6447|3|MEMORIAL|TABASCO|CARDENAS|CARDENAS|2021-10-27|14800|0|200|50|0|0|0|0|0|0|0|0|0|0|0||0|0|0|LOPEZ|CORDOVA|ADAN|SOLTERO|X|X|ENTRADA DE SANDOVAL O EL PASO HACIA LA COLINA|RANCHERIA ARROYO HONDO SEGUNDA SECCION SANTA TERESA|X|9371285293|X|X|X|ENTRADA DE SANDOVAL O EL PASO HACIA LA COLINA|X|LUNES|x|x|x|x|x|DOMICILIO |900|13900|X|X|X|2022-02-17|2022-02-24|x|x|x|x|x|XUMGJ9LE8RXKR9U|x|HOMBRE|X|14800|X|X|X|X|X|X|X|X|CARDENAS|X|X|X|X|FINAL</v>
      </c>
    </row>
    <row r="392" spans="1:82" x14ac:dyDescent="0.25">
      <c r="A392" t="s">
        <v>891</v>
      </c>
      <c r="B392" t="s">
        <v>892</v>
      </c>
      <c r="C392">
        <v>3</v>
      </c>
      <c r="D392" t="s">
        <v>1369</v>
      </c>
      <c r="E392" t="s">
        <v>1380</v>
      </c>
      <c r="F392" t="s">
        <v>0</v>
      </c>
      <c r="G392" t="s">
        <v>0</v>
      </c>
      <c r="H392" t="s">
        <v>1557</v>
      </c>
      <c r="I392">
        <v>14800</v>
      </c>
      <c r="J392">
        <v>0</v>
      </c>
      <c r="K392">
        <v>100</v>
      </c>
      <c r="L392">
        <v>50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Y392">
        <v>0</v>
      </c>
      <c r="Z392">
        <v>0</v>
      </c>
      <c r="AA392">
        <v>0</v>
      </c>
      <c r="AB392" t="s">
        <v>1748</v>
      </c>
      <c r="AC392" t="s">
        <v>1744</v>
      </c>
      <c r="AD392" t="s">
        <v>2207</v>
      </c>
      <c r="AE392" t="s">
        <v>4</v>
      </c>
      <c r="AF392" t="s">
        <v>1</v>
      </c>
      <c r="AG392" t="s">
        <v>1</v>
      </c>
      <c r="AH392" t="s">
        <v>2769</v>
      </c>
      <c r="AI392" t="s">
        <v>3160</v>
      </c>
      <c r="AJ392" t="s">
        <v>1</v>
      </c>
      <c r="AK392">
        <v>9371710516</v>
      </c>
      <c r="AL392" t="s">
        <v>1</v>
      </c>
      <c r="AM392" t="s">
        <v>1</v>
      </c>
      <c r="AN392" t="s">
        <v>1</v>
      </c>
      <c r="AO392" t="s">
        <v>2769</v>
      </c>
      <c r="AP392" t="s">
        <v>1</v>
      </c>
      <c r="AQ392" t="s">
        <v>2</v>
      </c>
      <c r="AR392" t="s">
        <v>3</v>
      </c>
      <c r="AS392" t="s">
        <v>3</v>
      </c>
      <c r="AT392" t="s">
        <v>3</v>
      </c>
      <c r="AU392" t="s">
        <v>3</v>
      </c>
      <c r="AV392" t="s">
        <v>3</v>
      </c>
      <c r="AW392" t="s">
        <v>11</v>
      </c>
      <c r="AX392">
        <f>Tabla1[[#This Row],[precio del paquete]]-Tabla1[[#This Row],[Saldo_Deudor]]</f>
        <v>800</v>
      </c>
      <c r="AY392">
        <v>14000</v>
      </c>
      <c r="AZ392" t="s">
        <v>1</v>
      </c>
      <c r="BA392" t="s">
        <v>1</v>
      </c>
      <c r="BB392" t="s">
        <v>1</v>
      </c>
      <c r="BC392" t="s">
        <v>3277</v>
      </c>
      <c r="BD392" t="s">
        <v>3327</v>
      </c>
      <c r="BE392" t="s">
        <v>3</v>
      </c>
      <c r="BF392" t="s">
        <v>3</v>
      </c>
      <c r="BG392" t="s">
        <v>3</v>
      </c>
      <c r="BH392" t="s">
        <v>3</v>
      </c>
      <c r="BI392" t="s">
        <v>3</v>
      </c>
      <c r="BJ392" t="s">
        <v>3380</v>
      </c>
      <c r="BK392" t="s">
        <v>3</v>
      </c>
      <c r="BL392" t="s">
        <v>132</v>
      </c>
      <c r="BM392" t="s">
        <v>1</v>
      </c>
      <c r="BN392">
        <f>Tabla1[[#This Row],[precio del paquete]]</f>
        <v>14800</v>
      </c>
      <c r="BO392" t="s">
        <v>1</v>
      </c>
      <c r="BP392" t="s">
        <v>1</v>
      </c>
      <c r="BQ392" t="s">
        <v>1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0</v>
      </c>
      <c r="BX392" t="s">
        <v>1</v>
      </c>
      <c r="BY392" t="s">
        <v>1</v>
      </c>
      <c r="BZ392" t="s">
        <v>1</v>
      </c>
      <c r="CA392" t="s">
        <v>1</v>
      </c>
      <c r="CB392" t="s">
        <v>3382</v>
      </c>
      <c r="CD392" t="str" cm="1">
        <f t="array" aca="1" ref="CD392" ca="1">eConcatenar(A392:CB392,"|")</f>
        <v>jarWF70Ge0plnVPO|CAR2021-7518|3|MEMORIAL|TABASCO|CARDENAS|CARDENAS|2021-12-10|14800|0|100|50|0|0|0|0|0|0|0|0|0|0|0||0|0|0|JIMENEZ|PEREZ|HILDA|SOLTERO|X|X|CALLE SANTA TERESA|RANCHERIA ARROYO HONDO|X|9371710516|X|X|X|CALLE SANTA TERESA|X|LUNES|x|x|x|x|x|DOMICILIO |800|14000|X|X|X|2022-02-17|2022-02-24|x|x|x|x|x|XUMGJ9LE8RXKR9U|x|HOMBRE|X|14800|X|X|X|X|X|X|X|X|CARDENAS|X|X|X|X|FINAL</v>
      </c>
    </row>
    <row r="393" spans="1:82" x14ac:dyDescent="0.25">
      <c r="A393" t="s">
        <v>893</v>
      </c>
      <c r="B393" t="s">
        <v>894</v>
      </c>
      <c r="C393">
        <v>3</v>
      </c>
      <c r="D393" t="s">
        <v>1369</v>
      </c>
      <c r="E393" t="s">
        <v>1380</v>
      </c>
      <c r="F393" t="s">
        <v>0</v>
      </c>
      <c r="G393" t="s">
        <v>0</v>
      </c>
      <c r="H393" t="s">
        <v>1558</v>
      </c>
      <c r="I393">
        <v>14800</v>
      </c>
      <c r="J393">
        <v>0</v>
      </c>
      <c r="K393">
        <v>200</v>
      </c>
      <c r="L393">
        <v>50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Y393">
        <v>0</v>
      </c>
      <c r="Z393">
        <v>0</v>
      </c>
      <c r="AA393">
        <v>0</v>
      </c>
      <c r="AB393" t="s">
        <v>1741</v>
      </c>
      <c r="AC393" t="s">
        <v>1743</v>
      </c>
      <c r="AD393" t="s">
        <v>2208</v>
      </c>
      <c r="AE393" t="s">
        <v>4</v>
      </c>
      <c r="AF393" t="s">
        <v>1</v>
      </c>
      <c r="AG393" t="s">
        <v>1</v>
      </c>
      <c r="AH393" t="s">
        <v>2770</v>
      </c>
      <c r="AI393" t="s">
        <v>3157</v>
      </c>
      <c r="AJ393" t="s">
        <v>1</v>
      </c>
      <c r="AK393">
        <v>9371712092</v>
      </c>
      <c r="AL393" t="s">
        <v>1</v>
      </c>
      <c r="AM393" t="s">
        <v>1</v>
      </c>
      <c r="AN393" t="s">
        <v>1</v>
      </c>
      <c r="AO393" t="s">
        <v>2770</v>
      </c>
      <c r="AP393" t="s">
        <v>1</v>
      </c>
      <c r="AQ393" t="s">
        <v>2</v>
      </c>
      <c r="AR393" t="s">
        <v>3</v>
      </c>
      <c r="AS393" t="s">
        <v>3</v>
      </c>
      <c r="AT393" t="s">
        <v>3</v>
      </c>
      <c r="AU393" t="s">
        <v>3</v>
      </c>
      <c r="AV393" t="s">
        <v>3</v>
      </c>
      <c r="AW393" t="s">
        <v>11</v>
      </c>
      <c r="AX393">
        <f>Tabla1[[#This Row],[precio del paquete]]-Tabla1[[#This Row],[Saldo_Deudor]]</f>
        <v>400</v>
      </c>
      <c r="AY393">
        <v>14400</v>
      </c>
      <c r="AZ393" t="s">
        <v>1</v>
      </c>
      <c r="BA393" t="s">
        <v>1</v>
      </c>
      <c r="BB393" t="s">
        <v>1</v>
      </c>
      <c r="BC393" t="s">
        <v>1394</v>
      </c>
      <c r="BD393" t="s">
        <v>1400</v>
      </c>
      <c r="BE393" t="s">
        <v>3</v>
      </c>
      <c r="BF393" t="s">
        <v>3</v>
      </c>
      <c r="BG393" t="s">
        <v>3</v>
      </c>
      <c r="BH393" t="s">
        <v>3</v>
      </c>
      <c r="BI393" t="s">
        <v>3</v>
      </c>
      <c r="BJ393" t="s">
        <v>3380</v>
      </c>
      <c r="BK393" t="s">
        <v>3</v>
      </c>
      <c r="BL393" t="s">
        <v>132</v>
      </c>
      <c r="BM393" t="s">
        <v>1</v>
      </c>
      <c r="BN393">
        <f>Tabla1[[#This Row],[precio del paquete]]</f>
        <v>14800</v>
      </c>
      <c r="BO393" t="s">
        <v>1</v>
      </c>
      <c r="BP393" t="s">
        <v>1</v>
      </c>
      <c r="BQ393" t="s">
        <v>1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0</v>
      </c>
      <c r="BX393" t="s">
        <v>1</v>
      </c>
      <c r="BY393" t="s">
        <v>1</v>
      </c>
      <c r="BZ393" t="s">
        <v>1</v>
      </c>
      <c r="CA393" t="s">
        <v>1</v>
      </c>
      <c r="CB393" t="s">
        <v>3382</v>
      </c>
      <c r="CD393" t="str" cm="1">
        <f t="array" aca="1" ref="CD393" ca="1">eConcatenar(A393:CB393,"|")</f>
        <v>hbZwWQ1m8BdGwXJk|CAR2021-6292|3|MEMORIAL|TABASCO|CARDENAS|CARDENAS|2021-10-22|14800|0|200|50|0|0|0|0|0|0|0|0|0|0|0||0|0|0|CARRETA|DIAZ|MARIBELLY|SOLTERO|X|X|CALLE EL ROSARIO NUMERO 255|RANCHERIA ARROYO HONDO SEGUNDA SECCION SANTA TERESA|X|9371712092|X|X|X|CALLE EL ROSARIO NUMERO 255|X|LUNES|x|x|x|x|x|DOMICILIO |400|14400|X|X|X|2022-02-03|2022-02-10|x|x|x|x|x|XUMGJ9LE8RXKR9U|x|HOMBRE|X|14800|X|X|X|X|X|X|X|X|CARDENAS|X|X|X|X|FINAL</v>
      </c>
    </row>
    <row r="394" spans="1:82" x14ac:dyDescent="0.25">
      <c r="A394" t="s">
        <v>895</v>
      </c>
      <c r="B394" t="s">
        <v>896</v>
      </c>
      <c r="C394">
        <v>3</v>
      </c>
      <c r="D394" t="s">
        <v>1372</v>
      </c>
      <c r="E394" t="s">
        <v>1380</v>
      </c>
      <c r="F394" t="s">
        <v>0</v>
      </c>
      <c r="G394" t="s">
        <v>0</v>
      </c>
      <c r="H394" t="s">
        <v>1559</v>
      </c>
      <c r="I394">
        <v>12900</v>
      </c>
      <c r="J394">
        <v>0</v>
      </c>
      <c r="K394">
        <v>100</v>
      </c>
      <c r="L394">
        <v>50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Y394">
        <v>0</v>
      </c>
      <c r="Z394">
        <v>0</v>
      </c>
      <c r="AA394">
        <v>0</v>
      </c>
      <c r="AB394" t="s">
        <v>1809</v>
      </c>
      <c r="AC394" t="s">
        <v>2209</v>
      </c>
      <c r="AD394" t="s">
        <v>2050</v>
      </c>
      <c r="AE394" t="s">
        <v>4</v>
      </c>
      <c r="AF394" t="s">
        <v>1</v>
      </c>
      <c r="AG394" t="s">
        <v>1</v>
      </c>
      <c r="AH394" t="s">
        <v>2771</v>
      </c>
      <c r="AI394" t="s">
        <v>3058</v>
      </c>
      <c r="AJ394" t="s">
        <v>1</v>
      </c>
      <c r="AK394">
        <v>9372709258</v>
      </c>
      <c r="AL394" t="s">
        <v>1</v>
      </c>
      <c r="AM394" t="s">
        <v>1</v>
      </c>
      <c r="AN394" t="s">
        <v>1</v>
      </c>
      <c r="AO394" t="s">
        <v>2771</v>
      </c>
      <c r="AP394" t="s">
        <v>1</v>
      </c>
      <c r="AQ394" t="s">
        <v>2</v>
      </c>
      <c r="AR394" t="s">
        <v>3</v>
      </c>
      <c r="AS394" t="s">
        <v>3</v>
      </c>
      <c r="AT394" t="s">
        <v>3</v>
      </c>
      <c r="AU394" t="s">
        <v>3</v>
      </c>
      <c r="AV394" t="s">
        <v>3</v>
      </c>
      <c r="AW394" t="s">
        <v>11</v>
      </c>
      <c r="AX394">
        <f>Tabla1[[#This Row],[precio del paquete]]-Tabla1[[#This Row],[Saldo_Deudor]]</f>
        <v>6400</v>
      </c>
      <c r="AY394">
        <v>6500</v>
      </c>
      <c r="AZ394" t="s">
        <v>1</v>
      </c>
      <c r="BA394" t="s">
        <v>1</v>
      </c>
      <c r="BB394" t="s">
        <v>1</v>
      </c>
      <c r="BC394" t="s">
        <v>1394</v>
      </c>
      <c r="BD394" t="s">
        <v>1400</v>
      </c>
      <c r="BE394" t="s">
        <v>3</v>
      </c>
      <c r="BF394" t="s">
        <v>3</v>
      </c>
      <c r="BG394" t="s">
        <v>3</v>
      </c>
      <c r="BH394" t="s">
        <v>3</v>
      </c>
      <c r="BI394" t="s">
        <v>3</v>
      </c>
      <c r="BJ394" t="s">
        <v>3380</v>
      </c>
      <c r="BK394" t="s">
        <v>3</v>
      </c>
      <c r="BL394" t="s">
        <v>132</v>
      </c>
      <c r="BM394" t="s">
        <v>1</v>
      </c>
      <c r="BN394">
        <f>Tabla1[[#This Row],[precio del paquete]]</f>
        <v>12900</v>
      </c>
      <c r="BO394" t="s">
        <v>1</v>
      </c>
      <c r="BP394" t="s">
        <v>1</v>
      </c>
      <c r="BQ394" t="s">
        <v>1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0</v>
      </c>
      <c r="BX394" t="s">
        <v>1</v>
      </c>
      <c r="BY394" t="s">
        <v>1</v>
      </c>
      <c r="BZ394" t="s">
        <v>1</v>
      </c>
      <c r="CA394" t="s">
        <v>1</v>
      </c>
      <c r="CB394" t="s">
        <v>3382</v>
      </c>
      <c r="CD394" t="str" cm="1">
        <f t="array" aca="1" ref="CD394" ca="1">eConcatenar(A394:CB394,"|")</f>
        <v>5BRppjZLpH4jLGRN|CAR2020-3695|3|IMPERIAL DE LUJO|TABASCO|CARDENAS|CARDENAS|2020-10-06|12900|0|100|50|0|0|0|0|0|0|0|0|0|0|0||0|0|0|GUZMAN|HIPOLITO|ESMERALDA|SOLTERO|X|X|CALLE JULIAN MONTEJO SIN NUMERO|COLONIA GUADALUPE VICTORIA|X|9372709258|X|X|X|CALLE JULIAN MONTEJO SIN NUMERO|X|LUNES|x|x|x|x|x|DOMICILIO |6400|6500|X|X|X|2022-02-03|2022-02-10|x|x|x|x|x|XUMGJ9LE8RXKR9U|x|HOMBRE|X|12900|X|X|X|X|X|X|X|X|CARDENAS|X|X|X|X|FINAL</v>
      </c>
    </row>
    <row r="395" spans="1:82" x14ac:dyDescent="0.25">
      <c r="A395" t="s">
        <v>897</v>
      </c>
      <c r="B395" t="s">
        <v>898</v>
      </c>
      <c r="C395">
        <v>3</v>
      </c>
      <c r="D395" t="s">
        <v>1369</v>
      </c>
      <c r="E395" t="s">
        <v>1380</v>
      </c>
      <c r="F395" t="s">
        <v>0</v>
      </c>
      <c r="G395" t="s">
        <v>0</v>
      </c>
      <c r="H395" t="s">
        <v>1501</v>
      </c>
      <c r="I395">
        <v>14800</v>
      </c>
      <c r="J395">
        <v>0</v>
      </c>
      <c r="K395">
        <v>100</v>
      </c>
      <c r="L395">
        <v>50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Y395">
        <v>0</v>
      </c>
      <c r="Z395">
        <v>0</v>
      </c>
      <c r="AA395">
        <v>0</v>
      </c>
      <c r="AB395" t="s">
        <v>1769</v>
      </c>
      <c r="AC395" t="s">
        <v>1744</v>
      </c>
      <c r="AD395" t="s">
        <v>2210</v>
      </c>
      <c r="AE395" t="s">
        <v>4</v>
      </c>
      <c r="AF395" t="s">
        <v>1</v>
      </c>
      <c r="AG395" t="s">
        <v>1</v>
      </c>
      <c r="AH395" t="s">
        <v>2465</v>
      </c>
      <c r="AI395" t="s">
        <v>3158</v>
      </c>
      <c r="AJ395" t="s">
        <v>1</v>
      </c>
      <c r="AK395">
        <v>9371700727</v>
      </c>
      <c r="AL395" t="s">
        <v>1</v>
      </c>
      <c r="AM395" t="s">
        <v>1</v>
      </c>
      <c r="AN395" t="s">
        <v>1</v>
      </c>
      <c r="AO395" t="s">
        <v>2465</v>
      </c>
      <c r="AP395" t="s">
        <v>1</v>
      </c>
      <c r="AQ395" t="s">
        <v>2</v>
      </c>
      <c r="AR395" t="s">
        <v>3</v>
      </c>
      <c r="AS395" t="s">
        <v>3</v>
      </c>
      <c r="AT395" t="s">
        <v>3</v>
      </c>
      <c r="AU395" t="s">
        <v>3</v>
      </c>
      <c r="AV395" t="s">
        <v>3</v>
      </c>
      <c r="AW395" t="s">
        <v>11</v>
      </c>
      <c r="AX395">
        <f>Tabla1[[#This Row],[precio del paquete]]-Tabla1[[#This Row],[Saldo_Deudor]]</f>
        <v>900</v>
      </c>
      <c r="AY395">
        <v>13900</v>
      </c>
      <c r="AZ395" t="s">
        <v>1</v>
      </c>
      <c r="BA395" t="s">
        <v>1</v>
      </c>
      <c r="BB395" t="s">
        <v>1</v>
      </c>
      <c r="BC395" t="s">
        <v>1394</v>
      </c>
      <c r="BD395" t="s">
        <v>1400</v>
      </c>
      <c r="BE395" t="s">
        <v>3</v>
      </c>
      <c r="BF395" t="s">
        <v>3</v>
      </c>
      <c r="BG395" t="s">
        <v>3</v>
      </c>
      <c r="BH395" t="s">
        <v>3</v>
      </c>
      <c r="BI395" t="s">
        <v>3</v>
      </c>
      <c r="BJ395" t="s">
        <v>3380</v>
      </c>
      <c r="BK395" t="s">
        <v>3</v>
      </c>
      <c r="BL395" t="s">
        <v>132</v>
      </c>
      <c r="BM395" t="s">
        <v>1</v>
      </c>
      <c r="BN395">
        <f>Tabla1[[#This Row],[precio del paquete]]</f>
        <v>14800</v>
      </c>
      <c r="BO395" t="s">
        <v>1</v>
      </c>
      <c r="BP395" t="s">
        <v>1</v>
      </c>
      <c r="BQ395" t="s">
        <v>1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0</v>
      </c>
      <c r="BX395" t="s">
        <v>1</v>
      </c>
      <c r="BY395" t="s">
        <v>1</v>
      </c>
      <c r="BZ395" t="s">
        <v>1</v>
      </c>
      <c r="CA395" t="s">
        <v>1</v>
      </c>
      <c r="CB395" t="s">
        <v>3382</v>
      </c>
      <c r="CD395" t="str" cm="1">
        <f t="array" aca="1" ref="CD395" ca="1">eConcatenar(A395:CB395,"|")</f>
        <v>J2xRUNSUrO4A7zLY|CAR2021-5896|3|MEMORIAL|TABASCO|CARDENAS|CARDENAS|2021-10-07|14800|0|100|50|0|0|0|0|0|0|0|0|0|0|0||0|0|0|TORRES|PEREZ|GRACIELA|SOLTERO|X|X|CARRETERA PRINCIPAL SIN NUMERO|RANCHERIA ARROYO HONDO PRIMERA SECCION|X|9371700727|X|X|X|CARRETERA PRINCIPAL SIN NUMERO|X|LUNES|x|x|x|x|x|DOMICILIO |900|13900|X|X|X|2022-02-03|2022-02-10|x|x|x|x|x|XUMGJ9LE8RXKR9U|x|HOMBRE|X|14800|X|X|X|X|X|X|X|X|CARDENAS|X|X|X|X|FINAL</v>
      </c>
    </row>
    <row r="396" spans="1:82" x14ac:dyDescent="0.25">
      <c r="A396" t="s">
        <v>899</v>
      </c>
      <c r="B396" t="s">
        <v>900</v>
      </c>
      <c r="C396">
        <v>3</v>
      </c>
      <c r="D396" t="s">
        <v>1369</v>
      </c>
      <c r="E396" t="s">
        <v>1380</v>
      </c>
      <c r="F396" t="s">
        <v>0</v>
      </c>
      <c r="G396" t="s">
        <v>0</v>
      </c>
      <c r="H396" t="s">
        <v>1556</v>
      </c>
      <c r="I396">
        <v>14800</v>
      </c>
      <c r="J396">
        <v>0</v>
      </c>
      <c r="K396">
        <v>200</v>
      </c>
      <c r="L396">
        <v>50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Y396">
        <v>0</v>
      </c>
      <c r="Z396">
        <v>0</v>
      </c>
      <c r="AA396">
        <v>0</v>
      </c>
      <c r="AB396" t="s">
        <v>7</v>
      </c>
      <c r="AC396" t="s">
        <v>1731</v>
      </c>
      <c r="AD396" t="s">
        <v>1764</v>
      </c>
      <c r="AE396" t="s">
        <v>4</v>
      </c>
      <c r="AF396" t="s">
        <v>1</v>
      </c>
      <c r="AG396" t="s">
        <v>1</v>
      </c>
      <c r="AH396" t="s">
        <v>2772</v>
      </c>
      <c r="AI396" t="s">
        <v>3158</v>
      </c>
      <c r="AJ396" t="s">
        <v>1</v>
      </c>
      <c r="AK396">
        <v>9371674250</v>
      </c>
      <c r="AL396" t="s">
        <v>1</v>
      </c>
      <c r="AM396" t="s">
        <v>1</v>
      </c>
      <c r="AN396" t="s">
        <v>1</v>
      </c>
      <c r="AO396" t="s">
        <v>2772</v>
      </c>
      <c r="AP396" t="s">
        <v>1</v>
      </c>
      <c r="AQ396" t="s">
        <v>2</v>
      </c>
      <c r="AR396" t="s">
        <v>3</v>
      </c>
      <c r="AS396" t="s">
        <v>3</v>
      </c>
      <c r="AT396" t="s">
        <v>3</v>
      </c>
      <c r="AU396" t="s">
        <v>3</v>
      </c>
      <c r="AV396" t="s">
        <v>3</v>
      </c>
      <c r="AW396" t="s">
        <v>11</v>
      </c>
      <c r="AX396">
        <f>Tabla1[[#This Row],[precio del paquete]]-Tabla1[[#This Row],[Saldo_Deudor]]</f>
        <v>1000</v>
      </c>
      <c r="AY396">
        <v>13800</v>
      </c>
      <c r="AZ396" t="s">
        <v>1</v>
      </c>
      <c r="BA396" t="s">
        <v>1</v>
      </c>
      <c r="BB396" t="s">
        <v>1</v>
      </c>
      <c r="BC396" t="s">
        <v>1400</v>
      </c>
      <c r="BD396" t="s">
        <v>3277</v>
      </c>
      <c r="BE396" t="s">
        <v>3</v>
      </c>
      <c r="BF396" t="s">
        <v>3</v>
      </c>
      <c r="BG396" t="s">
        <v>3</v>
      </c>
      <c r="BH396" t="s">
        <v>3</v>
      </c>
      <c r="BI396" t="s">
        <v>3</v>
      </c>
      <c r="BJ396" t="s">
        <v>3380</v>
      </c>
      <c r="BK396" t="s">
        <v>3</v>
      </c>
      <c r="BL396" t="s">
        <v>132</v>
      </c>
      <c r="BM396" t="s">
        <v>1</v>
      </c>
      <c r="BN396">
        <f>Tabla1[[#This Row],[precio del paquete]]</f>
        <v>14800</v>
      </c>
      <c r="BO396" t="s">
        <v>1</v>
      </c>
      <c r="BP396" t="s">
        <v>1</v>
      </c>
      <c r="BQ396" t="s">
        <v>1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0</v>
      </c>
      <c r="BX396" t="s">
        <v>1</v>
      </c>
      <c r="BY396" t="s">
        <v>1</v>
      </c>
      <c r="BZ396" t="s">
        <v>1</v>
      </c>
      <c r="CA396" t="s">
        <v>1</v>
      </c>
      <c r="CB396" t="s">
        <v>3382</v>
      </c>
      <c r="CD396" t="str" cm="1">
        <f t="array" aca="1" ref="CD396" ca="1">eConcatenar(A396:CB396,"|")</f>
        <v>W4ADOwicseY6Zxu7|CAR2021-6448|3|MEMORIAL|TABASCO|CARDENAS|CARDENAS|2021-10-27|14800|0|200|50|0|0|0|0|0|0|0|0|0|0|0||0|0|0|LOPEZ|GARCIA|PEDRO|SOLTERO|X|X|CALLE ENTRADA DEL PASO O SANDOVAL SIN NUMERO|RANCHERIA ARROYO HONDO PRIMERA SECCION|X|9371674250|X|X|X|CALLE ENTRADA DEL PASO O SANDOVAL SIN NUMERO|X|LUNES|x|x|x|x|x|DOMICILIO |1000|13800|X|X|X|2022-02-10|2022-02-17|x|x|x|x|x|XUMGJ9LE8RXKR9U|x|HOMBRE|X|14800|X|X|X|X|X|X|X|X|CARDENAS|X|X|X|X|FINAL</v>
      </c>
    </row>
    <row r="397" spans="1:82" x14ac:dyDescent="0.25">
      <c r="A397" t="s">
        <v>901</v>
      </c>
      <c r="B397" t="s">
        <v>902</v>
      </c>
      <c r="C397">
        <v>3</v>
      </c>
      <c r="D397" t="s">
        <v>1369</v>
      </c>
      <c r="E397" t="s">
        <v>1380</v>
      </c>
      <c r="F397" t="s">
        <v>0</v>
      </c>
      <c r="G397" t="s">
        <v>0</v>
      </c>
      <c r="H397" t="s">
        <v>1554</v>
      </c>
      <c r="I397">
        <v>14800</v>
      </c>
      <c r="J397">
        <v>0</v>
      </c>
      <c r="K397">
        <v>100</v>
      </c>
      <c r="L397">
        <v>50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Y397">
        <v>0</v>
      </c>
      <c r="Z397">
        <v>0</v>
      </c>
      <c r="AA397">
        <v>0</v>
      </c>
      <c r="AB397" t="s">
        <v>1774</v>
      </c>
      <c r="AC397" t="s">
        <v>1707</v>
      </c>
      <c r="AD397" t="s">
        <v>2031</v>
      </c>
      <c r="AE397" t="s">
        <v>4</v>
      </c>
      <c r="AF397" t="s">
        <v>1</v>
      </c>
      <c r="AG397" t="s">
        <v>1</v>
      </c>
      <c r="AH397" t="s">
        <v>2773</v>
      </c>
      <c r="AI397" t="s">
        <v>3158</v>
      </c>
      <c r="AJ397" t="s">
        <v>1</v>
      </c>
      <c r="AK397">
        <v>9371106978</v>
      </c>
      <c r="AL397" t="s">
        <v>1</v>
      </c>
      <c r="AM397" t="s">
        <v>1</v>
      </c>
      <c r="AN397" t="s">
        <v>1</v>
      </c>
      <c r="AO397" t="s">
        <v>2773</v>
      </c>
      <c r="AP397" t="s">
        <v>1</v>
      </c>
      <c r="AQ397" t="s">
        <v>2</v>
      </c>
      <c r="AR397" t="s">
        <v>3</v>
      </c>
      <c r="AS397" t="s">
        <v>3</v>
      </c>
      <c r="AT397" t="s">
        <v>3</v>
      </c>
      <c r="AU397" t="s">
        <v>3</v>
      </c>
      <c r="AV397" t="s">
        <v>3</v>
      </c>
      <c r="AW397" t="s">
        <v>11</v>
      </c>
      <c r="AX397">
        <f>Tabla1[[#This Row],[precio del paquete]]-Tabla1[[#This Row],[Saldo_Deudor]]</f>
        <v>1100</v>
      </c>
      <c r="AY397">
        <v>13700</v>
      </c>
      <c r="AZ397" t="s">
        <v>1</v>
      </c>
      <c r="BA397" t="s">
        <v>1</v>
      </c>
      <c r="BB397" t="s">
        <v>1</v>
      </c>
      <c r="BC397" t="s">
        <v>1394</v>
      </c>
      <c r="BD397" t="s">
        <v>1400</v>
      </c>
      <c r="BE397" t="s">
        <v>3</v>
      </c>
      <c r="BF397" t="s">
        <v>3</v>
      </c>
      <c r="BG397" t="s">
        <v>3</v>
      </c>
      <c r="BH397" t="s">
        <v>3</v>
      </c>
      <c r="BI397" t="s">
        <v>3</v>
      </c>
      <c r="BJ397" t="s">
        <v>3380</v>
      </c>
      <c r="BK397" t="s">
        <v>3</v>
      </c>
      <c r="BL397" t="s">
        <v>132</v>
      </c>
      <c r="BM397" t="s">
        <v>1</v>
      </c>
      <c r="BN397">
        <f>Tabla1[[#This Row],[precio del paquete]]</f>
        <v>14800</v>
      </c>
      <c r="BO397" t="s">
        <v>1</v>
      </c>
      <c r="BP397" t="s">
        <v>1</v>
      </c>
      <c r="BQ397" t="s">
        <v>1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0</v>
      </c>
      <c r="BX397" t="s">
        <v>1</v>
      </c>
      <c r="BY397" t="s">
        <v>1</v>
      </c>
      <c r="BZ397" t="s">
        <v>1</v>
      </c>
      <c r="CA397" t="s">
        <v>1</v>
      </c>
      <c r="CB397" t="s">
        <v>3382</v>
      </c>
      <c r="CD397" t="str" cm="1">
        <f t="array" aca="1" ref="CD397" ca="1">eConcatenar(A397:CB397,"|")</f>
        <v>esN1BcVrlgFTzRg4|CAR2021-5853|3|MEMORIAL|TABASCO|CARDENAS|CARDENAS|2021-10-05|14800|0|100|50|0|0|0|0|0|0|0|0|0|0|0||0|0|0|GONZALEZ|OLAN|MARIA DEL CARMEN|SOLTERO|X|X|CALLE LA ESPERANZA|RANCHERIA ARROYO HONDO PRIMERA SECCION|X|9371106978|X|X|X|CALLE LA ESPERANZA|X|LUNES|x|x|x|x|x|DOMICILIO |1100|13700|X|X|X|2022-02-03|2022-02-10|x|x|x|x|x|XUMGJ9LE8RXKR9U|x|HOMBRE|X|14800|X|X|X|X|X|X|X|X|CARDENAS|X|X|X|X|FINAL</v>
      </c>
    </row>
    <row r="398" spans="1:82" x14ac:dyDescent="0.25">
      <c r="A398" t="s">
        <v>903</v>
      </c>
      <c r="B398" t="s">
        <v>904</v>
      </c>
      <c r="C398">
        <v>3</v>
      </c>
      <c r="D398" t="s">
        <v>1369</v>
      </c>
      <c r="E398" t="s">
        <v>1380</v>
      </c>
      <c r="F398" t="s">
        <v>0</v>
      </c>
      <c r="G398" t="s">
        <v>0</v>
      </c>
      <c r="H398" t="s">
        <v>1553</v>
      </c>
      <c r="I398">
        <v>14800</v>
      </c>
      <c r="J398">
        <v>0</v>
      </c>
      <c r="K398">
        <v>100</v>
      </c>
      <c r="L398">
        <v>50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Y398">
        <v>0</v>
      </c>
      <c r="Z398">
        <v>0</v>
      </c>
      <c r="AA398">
        <v>0</v>
      </c>
      <c r="AB398" t="s">
        <v>7</v>
      </c>
      <c r="AC398" t="s">
        <v>1748</v>
      </c>
      <c r="AD398" t="s">
        <v>2211</v>
      </c>
      <c r="AE398" t="s">
        <v>4</v>
      </c>
      <c r="AF398" t="s">
        <v>1</v>
      </c>
      <c r="AG398" t="s">
        <v>1</v>
      </c>
      <c r="AH398" t="s">
        <v>2774</v>
      </c>
      <c r="AI398" t="s">
        <v>3156</v>
      </c>
      <c r="AJ398" t="s">
        <v>1</v>
      </c>
      <c r="AK398">
        <v>9371652667</v>
      </c>
      <c r="AL398" t="s">
        <v>1</v>
      </c>
      <c r="AM398" t="s">
        <v>1</v>
      </c>
      <c r="AN398" t="s">
        <v>1</v>
      </c>
      <c r="AO398" t="s">
        <v>2774</v>
      </c>
      <c r="AP398" t="s">
        <v>1</v>
      </c>
      <c r="AQ398" t="s">
        <v>2</v>
      </c>
      <c r="AR398" t="s">
        <v>3</v>
      </c>
      <c r="AS398" t="s">
        <v>3</v>
      </c>
      <c r="AT398" t="s">
        <v>3</v>
      </c>
      <c r="AU398" t="s">
        <v>3</v>
      </c>
      <c r="AV398" t="s">
        <v>3</v>
      </c>
      <c r="AW398" t="s">
        <v>11</v>
      </c>
      <c r="AX398">
        <f>Tabla1[[#This Row],[precio del paquete]]-Tabla1[[#This Row],[Saldo_Deudor]]</f>
        <v>300</v>
      </c>
      <c r="AY398">
        <v>14500</v>
      </c>
      <c r="AZ398" t="s">
        <v>1</v>
      </c>
      <c r="BA398" t="s">
        <v>1</v>
      </c>
      <c r="BB398" t="s">
        <v>1</v>
      </c>
      <c r="BC398" t="s">
        <v>3280</v>
      </c>
      <c r="BD398" t="s">
        <v>3288</v>
      </c>
      <c r="BE398" t="s">
        <v>3</v>
      </c>
      <c r="BF398" t="s">
        <v>3</v>
      </c>
      <c r="BG398" t="s">
        <v>3</v>
      </c>
      <c r="BH398" t="s">
        <v>3</v>
      </c>
      <c r="BI398" t="s">
        <v>3</v>
      </c>
      <c r="BJ398" t="s">
        <v>3380</v>
      </c>
      <c r="BK398" t="s">
        <v>3</v>
      </c>
      <c r="BL398" t="s">
        <v>132</v>
      </c>
      <c r="BM398" t="s">
        <v>1</v>
      </c>
      <c r="BN398">
        <f>Tabla1[[#This Row],[precio del paquete]]</f>
        <v>14800</v>
      </c>
      <c r="BO398" t="s">
        <v>1</v>
      </c>
      <c r="BP398" t="s">
        <v>1</v>
      </c>
      <c r="BQ398" t="s">
        <v>1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0</v>
      </c>
      <c r="BX398" t="s">
        <v>1</v>
      </c>
      <c r="BY398" t="s">
        <v>1</v>
      </c>
      <c r="BZ398" t="s">
        <v>1</v>
      </c>
      <c r="CA398" t="s">
        <v>1</v>
      </c>
      <c r="CB398" t="s">
        <v>3382</v>
      </c>
      <c r="CD398" t="str" cm="1">
        <f t="array" aca="1" ref="CD398" ca="1">eConcatenar(A398:CB398,"|")</f>
        <v>gNBU1ccH5JmRfCFs|CAR2021-7465|3|MEMORIAL|TABASCO|CARDENAS|CARDENAS|2021-12-06|14800|0|100|50|0|0|0|0|0|0|0|0|0|0|0||0|0|0|LOPEZ|JIMENEZ|HAVACUC|SOLTERO|X|X|CALLE 7 CASA NUMERO 188|POBLADO C-33 VEINTE DE NOVIEMBRE|X|9371652667|X|X|X|CALLE 7 CASA NUMERO 188|X|LUNES|x|x|x|x|x|DOMICILIO |300|14500|X|X|X|2021-12-30|2022-01-06|x|x|x|x|x|XUMGJ9LE8RXKR9U|x|HOMBRE|X|14800|X|X|X|X|X|X|X|X|CARDENAS|X|X|X|X|FINAL</v>
      </c>
    </row>
    <row r="399" spans="1:82" x14ac:dyDescent="0.25">
      <c r="A399" t="s">
        <v>905</v>
      </c>
      <c r="B399" t="s">
        <v>906</v>
      </c>
      <c r="C399">
        <v>3</v>
      </c>
      <c r="D399" t="s">
        <v>1369</v>
      </c>
      <c r="E399" t="s">
        <v>1380</v>
      </c>
      <c r="F399" t="s">
        <v>0</v>
      </c>
      <c r="G399" t="s">
        <v>0</v>
      </c>
      <c r="H399" t="s">
        <v>1560</v>
      </c>
      <c r="I399">
        <v>14800</v>
      </c>
      <c r="J399">
        <v>0</v>
      </c>
      <c r="K399">
        <v>50</v>
      </c>
      <c r="L399">
        <v>50</v>
      </c>
      <c r="M399">
        <v>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Y399">
        <v>0</v>
      </c>
      <c r="Z399">
        <v>0</v>
      </c>
      <c r="AA399">
        <v>0</v>
      </c>
      <c r="AB399" t="s">
        <v>2212</v>
      </c>
      <c r="AC399" t="s">
        <v>2030</v>
      </c>
      <c r="AD399" t="s">
        <v>1996</v>
      </c>
      <c r="AE399" t="s">
        <v>4</v>
      </c>
      <c r="AF399" t="s">
        <v>1</v>
      </c>
      <c r="AG399" t="s">
        <v>1</v>
      </c>
      <c r="AH399" t="s">
        <v>2775</v>
      </c>
      <c r="AI399" t="s">
        <v>3161</v>
      </c>
      <c r="AJ399" t="s">
        <v>1</v>
      </c>
      <c r="AK399">
        <v>9372715666</v>
      </c>
      <c r="AL399" t="s">
        <v>1</v>
      </c>
      <c r="AM399" t="s">
        <v>1</v>
      </c>
      <c r="AN399" t="s">
        <v>1</v>
      </c>
      <c r="AO399" t="s">
        <v>2775</v>
      </c>
      <c r="AP399" t="s">
        <v>1</v>
      </c>
      <c r="AQ399" t="s">
        <v>2</v>
      </c>
      <c r="AR399" t="s">
        <v>3</v>
      </c>
      <c r="AS399" t="s">
        <v>3</v>
      </c>
      <c r="AT399" t="s">
        <v>3</v>
      </c>
      <c r="AU399" t="s">
        <v>3</v>
      </c>
      <c r="AV399" t="s">
        <v>3</v>
      </c>
      <c r="AW399" t="s">
        <v>11</v>
      </c>
      <c r="AX399">
        <f>Tabla1[[#This Row],[precio del paquete]]-Tabla1[[#This Row],[Saldo_Deudor]]</f>
        <v>800</v>
      </c>
      <c r="AY399">
        <v>14000</v>
      </c>
      <c r="AZ399" t="s">
        <v>1</v>
      </c>
      <c r="BA399" t="s">
        <v>1</v>
      </c>
      <c r="BB399" t="s">
        <v>1</v>
      </c>
      <c r="BC399" t="s">
        <v>1390</v>
      </c>
      <c r="BD399" t="s">
        <v>1401</v>
      </c>
      <c r="BE399" t="s">
        <v>3</v>
      </c>
      <c r="BF399" t="s">
        <v>3</v>
      </c>
      <c r="BG399" t="s">
        <v>3</v>
      </c>
      <c r="BH399" t="s">
        <v>3</v>
      </c>
      <c r="BI399" t="s">
        <v>3</v>
      </c>
      <c r="BJ399" t="s">
        <v>3380</v>
      </c>
      <c r="BK399" t="s">
        <v>3</v>
      </c>
      <c r="BL399" t="s">
        <v>132</v>
      </c>
      <c r="BM399" t="s">
        <v>1</v>
      </c>
      <c r="BN399">
        <f>Tabla1[[#This Row],[precio del paquete]]</f>
        <v>14800</v>
      </c>
      <c r="BO399" t="s">
        <v>1</v>
      </c>
      <c r="BP399" t="s">
        <v>1</v>
      </c>
      <c r="BQ399" t="s">
        <v>1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0</v>
      </c>
      <c r="BX399" t="s">
        <v>1</v>
      </c>
      <c r="BY399" t="s">
        <v>1</v>
      </c>
      <c r="BZ399" t="s">
        <v>1</v>
      </c>
      <c r="CA399" t="s">
        <v>1</v>
      </c>
      <c r="CB399" t="s">
        <v>3382</v>
      </c>
      <c r="CD399" t="str" cm="1">
        <f t="array" aca="1" ref="CD399" ca="1">eConcatenar(A399:CB399,"|")</f>
        <v>snhU5JHneeGXuD5R|CAR2021-6218|3|MEMORIAL|TABASCO|CARDENAS|CARDENAS|2021-10-16|14800|0|50|50|1|0|0|0|0|0|0|0|0|0|0||0|0|0|QUIROS|VELAZQUEZ|AMINADAD|SOLTERO|X|X|CALLE 8 NUMERO 237|POBLADO C-14 PLUTARCO ELIAS|X|9372715666|X|X|X|CALLE 8 NUMERO 237|X|LUNES|x|x|x|x|x|DOMICILIO |800|14000|X|X|X|2022-02-02|2022-02-09|x|x|x|x|x|XUMGJ9LE8RXKR9U|x|HOMBRE|X|14800|X|X|X|X|X|X|X|X|CARDENAS|X|X|X|X|FINAL</v>
      </c>
    </row>
    <row r="400" spans="1:82" x14ac:dyDescent="0.25">
      <c r="A400" t="s">
        <v>907</v>
      </c>
      <c r="B400" t="s">
        <v>908</v>
      </c>
      <c r="C400">
        <v>3</v>
      </c>
      <c r="D400" t="s">
        <v>1369</v>
      </c>
      <c r="E400" t="s">
        <v>1380</v>
      </c>
      <c r="F400" t="s">
        <v>0</v>
      </c>
      <c r="G400" t="s">
        <v>0</v>
      </c>
      <c r="H400" t="s">
        <v>1561</v>
      </c>
      <c r="I400">
        <v>14800</v>
      </c>
      <c r="J400">
        <v>0</v>
      </c>
      <c r="K400">
        <v>200</v>
      </c>
      <c r="L400">
        <v>50</v>
      </c>
      <c r="M400">
        <v>1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Y400">
        <v>0</v>
      </c>
      <c r="Z400">
        <v>0</v>
      </c>
      <c r="AA400">
        <v>0</v>
      </c>
      <c r="AB400" t="s">
        <v>1772</v>
      </c>
      <c r="AC400" t="s">
        <v>2213</v>
      </c>
      <c r="AD400" t="s">
        <v>2078</v>
      </c>
      <c r="AE400" t="s">
        <v>4</v>
      </c>
      <c r="AF400" t="s">
        <v>1</v>
      </c>
      <c r="AG400" t="s">
        <v>1</v>
      </c>
      <c r="AH400" t="s">
        <v>2776</v>
      </c>
      <c r="AI400" t="s">
        <v>3157</v>
      </c>
      <c r="AJ400" t="s">
        <v>1</v>
      </c>
      <c r="AK400">
        <v>9373784590</v>
      </c>
      <c r="AL400" t="s">
        <v>1</v>
      </c>
      <c r="AM400" t="s">
        <v>1</v>
      </c>
      <c r="AN400" t="s">
        <v>1</v>
      </c>
      <c r="AO400" t="s">
        <v>2776</v>
      </c>
      <c r="AP400" t="s">
        <v>1</v>
      </c>
      <c r="AQ400" t="s">
        <v>2</v>
      </c>
      <c r="AR400" t="s">
        <v>3</v>
      </c>
      <c r="AS400" t="s">
        <v>3</v>
      </c>
      <c r="AT400" t="s">
        <v>3</v>
      </c>
      <c r="AU400" t="s">
        <v>3</v>
      </c>
      <c r="AV400" t="s">
        <v>3</v>
      </c>
      <c r="AW400" t="s">
        <v>11</v>
      </c>
      <c r="AX400">
        <f>Tabla1[[#This Row],[precio del paquete]]-Tabla1[[#This Row],[Saldo_Deudor]]</f>
        <v>2200</v>
      </c>
      <c r="AY400">
        <v>12600</v>
      </c>
      <c r="AZ400" t="s">
        <v>1</v>
      </c>
      <c r="BA400" t="s">
        <v>1</v>
      </c>
      <c r="BB400" t="s">
        <v>1</v>
      </c>
      <c r="BC400" t="s">
        <v>1394</v>
      </c>
      <c r="BD400" t="s">
        <v>1400</v>
      </c>
      <c r="BE400" t="s">
        <v>3</v>
      </c>
      <c r="BF400" t="s">
        <v>3</v>
      </c>
      <c r="BG400" t="s">
        <v>3</v>
      </c>
      <c r="BH400" t="s">
        <v>3</v>
      </c>
      <c r="BI400" t="s">
        <v>3</v>
      </c>
      <c r="BJ400" t="s">
        <v>3380</v>
      </c>
      <c r="BK400" t="s">
        <v>3</v>
      </c>
      <c r="BL400" t="s">
        <v>132</v>
      </c>
      <c r="BM400" t="s">
        <v>1</v>
      </c>
      <c r="BN400">
        <f>Tabla1[[#This Row],[precio del paquete]]</f>
        <v>14800</v>
      </c>
      <c r="BO400" t="s">
        <v>1</v>
      </c>
      <c r="BP400" t="s">
        <v>1</v>
      </c>
      <c r="BQ400" t="s">
        <v>1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0</v>
      </c>
      <c r="BX400" t="s">
        <v>1</v>
      </c>
      <c r="BY400" t="s">
        <v>1</v>
      </c>
      <c r="BZ400" t="s">
        <v>1</v>
      </c>
      <c r="CA400" t="s">
        <v>1</v>
      </c>
      <c r="CB400" t="s">
        <v>3382</v>
      </c>
      <c r="CD400" t="str" cm="1">
        <f t="array" aca="1" ref="CD400" ca="1">eConcatenar(A400:CB400,"|")</f>
        <v>liWNNIOonFFFBYzk|CAR2021-3200|3|MEMORIAL|TABASCO|CARDENAS|CARDENAS|2021-07-02|14800|0|200|50|1|0|0|0|0|0|0|0|0|0|0||0|0|0|LANDERO|YZQUIERDO|AURORA|SOLTERO|X|X|CARRETERA PRINCIPAL CIRCUITO DEL GOLFO NUMERO 291|RANCHERIA ARROYO HONDO SEGUNDA SECCION SANTA TERESA|X|9373784590|X|X|X|CARRETERA PRINCIPAL CIRCUITO DEL GOLFO NUMERO 291|X|LUNES|x|x|x|x|x|DOMICILIO |2200|12600|X|X|X|2022-02-03|2022-02-10|x|x|x|x|x|XUMGJ9LE8RXKR9U|x|HOMBRE|X|14800|X|X|X|X|X|X|X|X|CARDENAS|X|X|X|X|FINAL</v>
      </c>
    </row>
    <row r="401" spans="1:82" x14ac:dyDescent="0.25">
      <c r="A401" t="s">
        <v>909</v>
      </c>
      <c r="B401" t="s">
        <v>910</v>
      </c>
      <c r="C401">
        <v>3</v>
      </c>
      <c r="D401" t="s">
        <v>1369</v>
      </c>
      <c r="E401" t="s">
        <v>1380</v>
      </c>
      <c r="F401" t="s">
        <v>0</v>
      </c>
      <c r="G401" t="s">
        <v>0</v>
      </c>
      <c r="H401" t="s">
        <v>1562</v>
      </c>
      <c r="I401">
        <v>14800</v>
      </c>
      <c r="J401">
        <v>0</v>
      </c>
      <c r="K401">
        <v>100</v>
      </c>
      <c r="L401">
        <v>50</v>
      </c>
      <c r="M401">
        <v>1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Y401">
        <v>0</v>
      </c>
      <c r="Z401">
        <v>0</v>
      </c>
      <c r="AA401">
        <v>0</v>
      </c>
      <c r="AB401" t="s">
        <v>7</v>
      </c>
      <c r="AC401" t="s">
        <v>2209</v>
      </c>
      <c r="AD401" t="s">
        <v>2214</v>
      </c>
      <c r="AE401" t="s">
        <v>4</v>
      </c>
      <c r="AF401" t="s">
        <v>1</v>
      </c>
      <c r="AG401" t="s">
        <v>1</v>
      </c>
      <c r="AH401" t="s">
        <v>2777</v>
      </c>
      <c r="AI401" t="s">
        <v>3162</v>
      </c>
      <c r="AJ401" t="s">
        <v>1</v>
      </c>
      <c r="AK401">
        <v>9372291944</v>
      </c>
      <c r="AL401" t="s">
        <v>1</v>
      </c>
      <c r="AM401" t="s">
        <v>1</v>
      </c>
      <c r="AN401" t="s">
        <v>1</v>
      </c>
      <c r="AO401" t="s">
        <v>2777</v>
      </c>
      <c r="AP401" t="s">
        <v>1</v>
      </c>
      <c r="AQ401" t="s">
        <v>2</v>
      </c>
      <c r="AR401" t="s">
        <v>3</v>
      </c>
      <c r="AS401" t="s">
        <v>3</v>
      </c>
      <c r="AT401" t="s">
        <v>3</v>
      </c>
      <c r="AU401" t="s">
        <v>3</v>
      </c>
      <c r="AV401" t="s">
        <v>3</v>
      </c>
      <c r="AW401" t="s">
        <v>11</v>
      </c>
      <c r="AX401">
        <f>Tabla1[[#This Row],[precio del paquete]]-Tabla1[[#This Row],[Saldo_Deudor]]</f>
        <v>300</v>
      </c>
      <c r="AY401">
        <v>14500</v>
      </c>
      <c r="AZ401" t="s">
        <v>1</v>
      </c>
      <c r="BA401" t="s">
        <v>1</v>
      </c>
      <c r="BB401" t="s">
        <v>1</v>
      </c>
      <c r="BC401" t="s">
        <v>1394</v>
      </c>
      <c r="BD401" t="s">
        <v>1400</v>
      </c>
      <c r="BE401" t="s">
        <v>3</v>
      </c>
      <c r="BF401" t="s">
        <v>3</v>
      </c>
      <c r="BG401" t="s">
        <v>3</v>
      </c>
      <c r="BH401" t="s">
        <v>3</v>
      </c>
      <c r="BI401" t="s">
        <v>3</v>
      </c>
      <c r="BJ401" t="s">
        <v>3380</v>
      </c>
      <c r="BK401" t="s">
        <v>3</v>
      </c>
      <c r="BL401" t="s">
        <v>132</v>
      </c>
      <c r="BM401" t="s">
        <v>1</v>
      </c>
      <c r="BN401">
        <f>Tabla1[[#This Row],[precio del paquete]]</f>
        <v>14800</v>
      </c>
      <c r="BO401" t="s">
        <v>1</v>
      </c>
      <c r="BP401" t="s">
        <v>1</v>
      </c>
      <c r="BQ401" t="s">
        <v>1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0</v>
      </c>
      <c r="BX401" t="s">
        <v>1</v>
      </c>
      <c r="BY401" t="s">
        <v>1</v>
      </c>
      <c r="BZ401" t="s">
        <v>1</v>
      </c>
      <c r="CA401" t="s">
        <v>1</v>
      </c>
      <c r="CB401" t="s">
        <v>3382</v>
      </c>
      <c r="CD401" t="str" cm="1">
        <f t="array" aca="1" ref="CD401" ca="1">eConcatenar(A401:CB401,"|")</f>
        <v>kV6bURjokrDkq1wP|CAR2021-6806|3|MEMORIAL|TABASCO|CARDENAS|CARDENAS|2021-11-08|14800|0|100|50|1|0|0|0|0|0|0|0|0|0|0||0|0|0|LOPEZ|HIPOLITO|LUIS ENRIQUE|SOLTERO|X|X|CALLE SIETE CASA NUMERO 157|POBLADO C-29 VICENTE GUERRERO|X|9372291944|X|X|X|CALLE SIETE CASA NUMERO 157|X|LUNES|x|x|x|x|x|DOMICILIO |300|14500|X|X|X|2022-02-03|2022-02-10|x|x|x|x|x|XUMGJ9LE8RXKR9U|x|HOMBRE|X|14800|X|X|X|X|X|X|X|X|CARDENAS|X|X|X|X|FINAL</v>
      </c>
    </row>
    <row r="402" spans="1:82" x14ac:dyDescent="0.25">
      <c r="A402" t="s">
        <v>911</v>
      </c>
      <c r="B402" t="s">
        <v>912</v>
      </c>
      <c r="C402">
        <v>3</v>
      </c>
      <c r="D402" t="s">
        <v>1371</v>
      </c>
      <c r="E402" t="s">
        <v>1380</v>
      </c>
      <c r="F402" t="s">
        <v>0</v>
      </c>
      <c r="G402" t="s">
        <v>0</v>
      </c>
      <c r="H402" t="s">
        <v>1563</v>
      </c>
      <c r="I402">
        <v>12900</v>
      </c>
      <c r="J402">
        <v>0</v>
      </c>
      <c r="K402">
        <v>100</v>
      </c>
      <c r="L402">
        <v>50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Y402">
        <v>0</v>
      </c>
      <c r="Z402">
        <v>0</v>
      </c>
      <c r="AA402">
        <v>0</v>
      </c>
      <c r="AB402" t="s">
        <v>1731</v>
      </c>
      <c r="AC402" t="s">
        <v>1812</v>
      </c>
      <c r="AD402" t="s">
        <v>2215</v>
      </c>
      <c r="AE402" t="s">
        <v>4</v>
      </c>
      <c r="AF402" t="s">
        <v>1</v>
      </c>
      <c r="AG402" t="s">
        <v>1</v>
      </c>
      <c r="AH402" t="s">
        <v>2778</v>
      </c>
      <c r="AI402" t="s">
        <v>3163</v>
      </c>
      <c r="AJ402" t="s">
        <v>1</v>
      </c>
      <c r="AK402" t="s">
        <v>1</v>
      </c>
      <c r="AL402" t="s">
        <v>1</v>
      </c>
      <c r="AM402" t="s">
        <v>1</v>
      </c>
      <c r="AN402" t="s">
        <v>1</v>
      </c>
      <c r="AO402" t="s">
        <v>2778</v>
      </c>
      <c r="AP402" t="s">
        <v>1</v>
      </c>
      <c r="AQ402" t="s">
        <v>2</v>
      </c>
      <c r="AR402" t="s">
        <v>3</v>
      </c>
      <c r="AS402" t="s">
        <v>3</v>
      </c>
      <c r="AT402" t="s">
        <v>3</v>
      </c>
      <c r="AU402" t="s">
        <v>3</v>
      </c>
      <c r="AV402" t="s">
        <v>3</v>
      </c>
      <c r="AW402" t="s">
        <v>11</v>
      </c>
      <c r="AX402">
        <f>Tabla1[[#This Row],[precio del paquete]]-Tabla1[[#This Row],[Saldo_Deudor]]</f>
        <v>9425</v>
      </c>
      <c r="AY402">
        <v>3475</v>
      </c>
      <c r="AZ402" t="s">
        <v>1</v>
      </c>
      <c r="BA402" t="s">
        <v>1</v>
      </c>
      <c r="BB402" t="s">
        <v>1</v>
      </c>
      <c r="BC402" t="s">
        <v>3277</v>
      </c>
      <c r="BD402" t="s">
        <v>3327</v>
      </c>
      <c r="BE402" t="s">
        <v>3</v>
      </c>
      <c r="BF402" t="s">
        <v>3</v>
      </c>
      <c r="BG402" t="s">
        <v>3</v>
      </c>
      <c r="BH402" t="s">
        <v>3</v>
      </c>
      <c r="BI402" t="s">
        <v>3</v>
      </c>
      <c r="BJ402" t="s">
        <v>3381</v>
      </c>
      <c r="BK402" t="s">
        <v>3</v>
      </c>
      <c r="BL402" t="s">
        <v>132</v>
      </c>
      <c r="BM402" t="s">
        <v>1</v>
      </c>
      <c r="BN402">
        <f>Tabla1[[#This Row],[precio del paquete]]</f>
        <v>12900</v>
      </c>
      <c r="BO402" t="s">
        <v>1</v>
      </c>
      <c r="BP402" t="s">
        <v>1</v>
      </c>
      <c r="BQ402" t="s">
        <v>1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0</v>
      </c>
      <c r="BX402" t="s">
        <v>1</v>
      </c>
      <c r="BY402" t="s">
        <v>1</v>
      </c>
      <c r="BZ402" t="s">
        <v>1</v>
      </c>
      <c r="CA402" t="s">
        <v>1</v>
      </c>
      <c r="CB402" t="s">
        <v>3382</v>
      </c>
      <c r="CD402" t="str" cm="1">
        <f t="array" aca="1" ref="CD402" ca="1">eConcatenar(A402:CB402,"|")</f>
        <v>QPiUrJ9OVSVv1KMl|CAR2019-1064|3|ECONOLINE|TABASCO|CARDENAS|CARDENAS|2019-04-16|12900|0|100|50|0|0|0|0|0|0|0|0|0|0|0||0|0|0|GARCIA|SANCHEZ|MESALINA|SOLTERO|X|X|CALLE CERRADA EL RETEN|PUERTO ROJO|X|X|X|X|X|CALLE CERRADA EL RETEN|X|LUNES|x|x|x|x|x|DOMICILIO |9425|3475|X|X|X|2022-02-17|2022-02-24|x|x|x|x|x|RJC990KJLQSW15E|x|HOMBRE|X|12900|X|X|X|X|X|X|X|X|CARDENAS|X|X|X|X|FINAL</v>
      </c>
    </row>
    <row r="403" spans="1:82" x14ac:dyDescent="0.25">
      <c r="A403" t="s">
        <v>913</v>
      </c>
      <c r="B403" t="s">
        <v>914</v>
      </c>
      <c r="C403">
        <v>3</v>
      </c>
      <c r="D403" t="s">
        <v>1372</v>
      </c>
      <c r="E403" t="s">
        <v>1380</v>
      </c>
      <c r="F403" t="s">
        <v>0</v>
      </c>
      <c r="G403" t="s">
        <v>0</v>
      </c>
      <c r="H403" t="s">
        <v>1564</v>
      </c>
      <c r="I403">
        <v>12900</v>
      </c>
      <c r="J403">
        <v>0</v>
      </c>
      <c r="K403">
        <v>100</v>
      </c>
      <c r="L403">
        <v>50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Y403">
        <v>0</v>
      </c>
      <c r="Z403">
        <v>0</v>
      </c>
      <c r="AA403">
        <v>0</v>
      </c>
      <c r="AB403" t="s">
        <v>1936</v>
      </c>
      <c r="AC403" t="s">
        <v>1895</v>
      </c>
      <c r="AD403" t="s">
        <v>2012</v>
      </c>
      <c r="AE403" t="s">
        <v>4</v>
      </c>
      <c r="AF403" t="s">
        <v>1</v>
      </c>
      <c r="AG403" t="s">
        <v>1</v>
      </c>
      <c r="AH403" t="s">
        <v>2779</v>
      </c>
      <c r="AI403" t="s">
        <v>3164</v>
      </c>
      <c r="AJ403" t="s">
        <v>1</v>
      </c>
      <c r="AK403">
        <v>9371679945</v>
      </c>
      <c r="AL403" t="s">
        <v>1</v>
      </c>
      <c r="AM403" t="s">
        <v>1</v>
      </c>
      <c r="AN403" t="s">
        <v>1</v>
      </c>
      <c r="AO403" t="s">
        <v>2779</v>
      </c>
      <c r="AP403" t="s">
        <v>1</v>
      </c>
      <c r="AQ403" t="s">
        <v>2</v>
      </c>
      <c r="AR403" t="s">
        <v>3</v>
      </c>
      <c r="AS403" t="s">
        <v>3</v>
      </c>
      <c r="AT403" t="s">
        <v>3</v>
      </c>
      <c r="AU403" t="s">
        <v>3</v>
      </c>
      <c r="AV403" t="s">
        <v>3</v>
      </c>
      <c r="AW403" t="s">
        <v>11</v>
      </c>
      <c r="AX403">
        <f>Tabla1[[#This Row],[precio del paquete]]-Tabla1[[#This Row],[Saldo_Deudor]]</f>
        <v>5900</v>
      </c>
      <c r="AY403">
        <v>7000</v>
      </c>
      <c r="AZ403" t="s">
        <v>1</v>
      </c>
      <c r="BA403" t="s">
        <v>1</v>
      </c>
      <c r="BB403" t="s">
        <v>1</v>
      </c>
      <c r="BC403" t="s">
        <v>3277</v>
      </c>
      <c r="BD403" t="s">
        <v>3327</v>
      </c>
      <c r="BE403" t="s">
        <v>3</v>
      </c>
      <c r="BF403" t="s">
        <v>3</v>
      </c>
      <c r="BG403" t="s">
        <v>3</v>
      </c>
      <c r="BH403" t="s">
        <v>3</v>
      </c>
      <c r="BI403" t="s">
        <v>3</v>
      </c>
      <c r="BJ403" t="s">
        <v>3381</v>
      </c>
      <c r="BK403" t="s">
        <v>3</v>
      </c>
      <c r="BL403" t="s">
        <v>132</v>
      </c>
      <c r="BM403" t="s">
        <v>1</v>
      </c>
      <c r="BN403">
        <f>Tabla1[[#This Row],[precio del paquete]]</f>
        <v>12900</v>
      </c>
      <c r="BO403" t="s">
        <v>1</v>
      </c>
      <c r="BP403" t="s">
        <v>1</v>
      </c>
      <c r="BQ403" t="s">
        <v>1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0</v>
      </c>
      <c r="BX403" t="s">
        <v>1</v>
      </c>
      <c r="BY403" t="s">
        <v>1</v>
      </c>
      <c r="BZ403" t="s">
        <v>1</v>
      </c>
      <c r="CA403" t="s">
        <v>1</v>
      </c>
      <c r="CB403" t="s">
        <v>3382</v>
      </c>
      <c r="CD403" t="str" cm="1">
        <f t="array" aca="1" ref="CD403" ca="1">eConcatenar(A403:CB403,"|")</f>
        <v>XbiBRUK9NeDFPDTY|CAR2021-0444|3|IMPERIAL DE LUJO|TABASCO|CARDENAS|CARDENAS|2021-02-10|12900|0|100|50|0|0|0|0|0|0|0|0|0|0|0||0|0|0|LEYVA|MENA|JOSE CRUZ|SOLTERO|X|X|CAÑALES SEGUNDA ETAPA|FRACCIONAMIENTO CAÑALES SEGUNDA ETAPA|X|9371679945|X|X|X|CAÑALES SEGUNDA ETAPA|X|LUNES|x|x|x|x|x|DOMICILIO |5900|7000|X|X|X|2022-02-17|2022-02-24|x|x|x|x|x|RJC990KJLQSW15E|x|HOMBRE|X|12900|X|X|X|X|X|X|X|X|CARDENAS|X|X|X|X|FINAL</v>
      </c>
    </row>
    <row r="404" spans="1:82" x14ac:dyDescent="0.25">
      <c r="A404" t="s">
        <v>915</v>
      </c>
      <c r="B404" t="s">
        <v>916</v>
      </c>
      <c r="C404">
        <v>3</v>
      </c>
      <c r="D404" t="s">
        <v>1371</v>
      </c>
      <c r="E404" t="s">
        <v>1380</v>
      </c>
      <c r="F404" t="s">
        <v>0</v>
      </c>
      <c r="G404" t="s">
        <v>0</v>
      </c>
      <c r="H404" t="s">
        <v>1565</v>
      </c>
      <c r="I404">
        <v>12900</v>
      </c>
      <c r="J404">
        <v>0</v>
      </c>
      <c r="K404">
        <v>100</v>
      </c>
      <c r="L404">
        <v>50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Y404">
        <v>0</v>
      </c>
      <c r="Z404">
        <v>0</v>
      </c>
      <c r="AA404">
        <v>0</v>
      </c>
      <c r="AB404" t="s">
        <v>1748</v>
      </c>
      <c r="AC404" t="s">
        <v>2216</v>
      </c>
      <c r="AD404" t="s">
        <v>2217</v>
      </c>
      <c r="AE404" t="s">
        <v>4</v>
      </c>
      <c r="AF404" t="s">
        <v>1</v>
      </c>
      <c r="AG404" t="s">
        <v>1</v>
      </c>
      <c r="AH404" t="s">
        <v>2780</v>
      </c>
      <c r="AI404" t="s">
        <v>3086</v>
      </c>
      <c r="AJ404" t="s">
        <v>1</v>
      </c>
      <c r="AK404">
        <v>9371005334</v>
      </c>
      <c r="AL404" t="s">
        <v>1</v>
      </c>
      <c r="AM404" t="s">
        <v>1</v>
      </c>
      <c r="AN404" t="s">
        <v>1</v>
      </c>
      <c r="AO404" t="s">
        <v>2780</v>
      </c>
      <c r="AP404" t="s">
        <v>1</v>
      </c>
      <c r="AQ404" t="s">
        <v>2</v>
      </c>
      <c r="AR404" t="s">
        <v>3</v>
      </c>
      <c r="AS404" t="s">
        <v>3</v>
      </c>
      <c r="AT404" t="s">
        <v>3</v>
      </c>
      <c r="AU404" t="s">
        <v>3</v>
      </c>
      <c r="AV404" t="s">
        <v>3</v>
      </c>
      <c r="AW404" t="s">
        <v>11</v>
      </c>
      <c r="AX404">
        <f>Tabla1[[#This Row],[precio del paquete]]-Tabla1[[#This Row],[Saldo_Deudor]]</f>
        <v>9050</v>
      </c>
      <c r="AY404">
        <v>3850</v>
      </c>
      <c r="AZ404" t="s">
        <v>1</v>
      </c>
      <c r="BA404" t="s">
        <v>1</v>
      </c>
      <c r="BB404" t="s">
        <v>1</v>
      </c>
      <c r="BC404" t="s">
        <v>3277</v>
      </c>
      <c r="BD404" t="s">
        <v>3327</v>
      </c>
      <c r="BE404" t="s">
        <v>3</v>
      </c>
      <c r="BF404" t="s">
        <v>3</v>
      </c>
      <c r="BG404" t="s">
        <v>3</v>
      </c>
      <c r="BH404" t="s">
        <v>3</v>
      </c>
      <c r="BI404" t="s">
        <v>3</v>
      </c>
      <c r="BJ404" t="s">
        <v>3381</v>
      </c>
      <c r="BK404" t="s">
        <v>3</v>
      </c>
      <c r="BL404" t="s">
        <v>132</v>
      </c>
      <c r="BM404" t="s">
        <v>1</v>
      </c>
      <c r="BN404">
        <f>Tabla1[[#This Row],[precio del paquete]]</f>
        <v>12900</v>
      </c>
      <c r="BO404" t="s">
        <v>1</v>
      </c>
      <c r="BP404" t="s">
        <v>1</v>
      </c>
      <c r="BQ404" t="s">
        <v>1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0</v>
      </c>
      <c r="BX404" t="s">
        <v>1</v>
      </c>
      <c r="BY404" t="s">
        <v>1</v>
      </c>
      <c r="BZ404" t="s">
        <v>1</v>
      </c>
      <c r="CA404" t="s">
        <v>1</v>
      </c>
      <c r="CB404" t="s">
        <v>3382</v>
      </c>
      <c r="CD404" t="str" cm="1">
        <f t="array" aca="1" ref="CD404" ca="1">eConcatenar(A404:CB404,"|")</f>
        <v>6KUtqzmm4RCanVCo|CAR2020-1232|3|ECONOLINE|TABASCO|CARDENAS|CARDENAS|2020-06-25|12900|0|100|50|0|0|0|0|0|0|0|0|0|0|0||0|0|0|JIMENEZ|CANUL|ANDREA|SOLTERO|X|X|CALLE LUIS DONALDO COLOSIO|COLONIA CARDENAS CENTRO|X|9371005334|X|X|X|CALLE LUIS DONALDO COLOSIO|X|LUNES|x|x|x|x|x|DOMICILIO |9050|3850|X|X|X|2022-02-17|2022-02-24|x|x|x|x|x|RJC990KJLQSW15E|x|HOMBRE|X|12900|X|X|X|X|X|X|X|X|CARDENAS|X|X|X|X|FINAL</v>
      </c>
    </row>
    <row r="405" spans="1:82" x14ac:dyDescent="0.25">
      <c r="A405" t="s">
        <v>917</v>
      </c>
      <c r="B405" t="s">
        <v>918</v>
      </c>
      <c r="C405">
        <v>3</v>
      </c>
      <c r="D405" t="s">
        <v>1372</v>
      </c>
      <c r="E405" t="s">
        <v>1380</v>
      </c>
      <c r="F405" t="s">
        <v>0</v>
      </c>
      <c r="G405" t="s">
        <v>0</v>
      </c>
      <c r="H405" t="s">
        <v>1566</v>
      </c>
      <c r="I405">
        <v>12900</v>
      </c>
      <c r="J405">
        <v>0</v>
      </c>
      <c r="K405">
        <v>100</v>
      </c>
      <c r="L405">
        <v>50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Y405">
        <v>0</v>
      </c>
      <c r="Z405">
        <v>0</v>
      </c>
      <c r="AA405">
        <v>0</v>
      </c>
      <c r="AB405" t="s">
        <v>1784</v>
      </c>
      <c r="AC405" t="s">
        <v>1748</v>
      </c>
      <c r="AD405" t="s">
        <v>2218</v>
      </c>
      <c r="AE405" t="s">
        <v>4</v>
      </c>
      <c r="AF405" t="s">
        <v>1</v>
      </c>
      <c r="AG405" t="s">
        <v>1</v>
      </c>
      <c r="AH405" t="s">
        <v>2735</v>
      </c>
      <c r="AI405" t="s">
        <v>2803</v>
      </c>
      <c r="AJ405" t="s">
        <v>1</v>
      </c>
      <c r="AK405">
        <v>9371040903</v>
      </c>
      <c r="AL405" t="s">
        <v>1</v>
      </c>
      <c r="AM405" t="s">
        <v>1</v>
      </c>
      <c r="AN405" t="s">
        <v>1</v>
      </c>
      <c r="AO405" t="s">
        <v>2735</v>
      </c>
      <c r="AP405" t="s">
        <v>1</v>
      </c>
      <c r="AQ405" t="s">
        <v>2</v>
      </c>
      <c r="AR405" t="s">
        <v>3</v>
      </c>
      <c r="AS405" t="s">
        <v>3</v>
      </c>
      <c r="AT405" t="s">
        <v>3</v>
      </c>
      <c r="AU405" t="s">
        <v>3</v>
      </c>
      <c r="AV405" t="s">
        <v>3</v>
      </c>
      <c r="AW405" t="s">
        <v>11</v>
      </c>
      <c r="AX405">
        <f>Tabla1[[#This Row],[precio del paquete]]-Tabla1[[#This Row],[Saldo_Deudor]]</f>
        <v>6100</v>
      </c>
      <c r="AY405">
        <v>6800</v>
      </c>
      <c r="AZ405" t="s">
        <v>1</v>
      </c>
      <c r="BA405" t="s">
        <v>1</v>
      </c>
      <c r="BB405" t="s">
        <v>1</v>
      </c>
      <c r="BC405" t="s">
        <v>3277</v>
      </c>
      <c r="BD405" t="s">
        <v>3327</v>
      </c>
      <c r="BE405" t="s">
        <v>3</v>
      </c>
      <c r="BF405" t="s">
        <v>3</v>
      </c>
      <c r="BG405" t="s">
        <v>3</v>
      </c>
      <c r="BH405" t="s">
        <v>3</v>
      </c>
      <c r="BI405" t="s">
        <v>3</v>
      </c>
      <c r="BJ405" t="s">
        <v>3381</v>
      </c>
      <c r="BK405" t="s">
        <v>3</v>
      </c>
      <c r="BL405" t="s">
        <v>132</v>
      </c>
      <c r="BM405" t="s">
        <v>1</v>
      </c>
      <c r="BN405">
        <f>Tabla1[[#This Row],[precio del paquete]]</f>
        <v>12900</v>
      </c>
      <c r="BO405" t="s">
        <v>1</v>
      </c>
      <c r="BP405" t="s">
        <v>1</v>
      </c>
      <c r="BQ405" t="s">
        <v>1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0</v>
      </c>
      <c r="BX405" t="s">
        <v>1</v>
      </c>
      <c r="BY405" t="s">
        <v>1</v>
      </c>
      <c r="BZ405" t="s">
        <v>1</v>
      </c>
      <c r="CA405" t="s">
        <v>1</v>
      </c>
      <c r="CB405" t="s">
        <v>3382</v>
      </c>
      <c r="CD405" t="str" cm="1">
        <f t="array" aca="1" ref="CD405" ca="1">eConcatenar(A405:CB405,"|")</f>
        <v>sZCsNAkzJSzxXFsQ|CAR2021-0473|3|IMPERIAL DE LUJO|TABASCO|CARDENAS|CARDENAS|2021-02-15|12900|0|100|50|0|0|0|0|0|0|0|0|0|0|0||0|0|0|GAMAS|JIMENEZ|CRISTOBAL|SOLTERO|X|X|CALLE PRINCIPAL|COLONIA AGUA SOL|X|9371040903|X|X|X|CALLE PRINCIPAL|X|LUNES|x|x|x|x|x|DOMICILIO |6100|6800|X|X|X|2022-02-17|2022-02-24|x|x|x|x|x|RJC990KJLQSW15E|x|HOMBRE|X|12900|X|X|X|X|X|X|X|X|CARDENAS|X|X|X|X|FINAL</v>
      </c>
    </row>
    <row r="406" spans="1:82" x14ac:dyDescent="0.25">
      <c r="A406" t="s">
        <v>919</v>
      </c>
      <c r="B406" t="s">
        <v>920</v>
      </c>
      <c r="C406">
        <v>3</v>
      </c>
      <c r="D406" t="s">
        <v>1372</v>
      </c>
      <c r="E406" t="s">
        <v>1380</v>
      </c>
      <c r="F406" t="s">
        <v>0</v>
      </c>
      <c r="G406" t="s">
        <v>0</v>
      </c>
      <c r="H406" t="s">
        <v>1484</v>
      </c>
      <c r="I406">
        <v>12900</v>
      </c>
      <c r="J406">
        <v>0</v>
      </c>
      <c r="K406">
        <v>300</v>
      </c>
      <c r="L406">
        <v>50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Y406">
        <v>0</v>
      </c>
      <c r="Z406">
        <v>0</v>
      </c>
      <c r="AA406">
        <v>0</v>
      </c>
      <c r="AB406" t="s">
        <v>1715</v>
      </c>
      <c r="AC406" t="s">
        <v>1707</v>
      </c>
      <c r="AD406" t="s">
        <v>2219</v>
      </c>
      <c r="AE406" t="s">
        <v>4</v>
      </c>
      <c r="AF406" t="s">
        <v>1</v>
      </c>
      <c r="AG406" t="s">
        <v>1</v>
      </c>
      <c r="AH406" t="s">
        <v>2781</v>
      </c>
      <c r="AI406" t="s">
        <v>3165</v>
      </c>
      <c r="AJ406" t="s">
        <v>1</v>
      </c>
      <c r="AK406">
        <v>9371234861</v>
      </c>
      <c r="AL406" t="s">
        <v>1</v>
      </c>
      <c r="AM406" t="s">
        <v>1</v>
      </c>
      <c r="AN406" t="s">
        <v>1</v>
      </c>
      <c r="AO406" t="s">
        <v>2781</v>
      </c>
      <c r="AP406" t="s">
        <v>1</v>
      </c>
      <c r="AQ406" t="s">
        <v>2</v>
      </c>
      <c r="AR406" t="s">
        <v>3</v>
      </c>
      <c r="AS406" t="s">
        <v>3</v>
      </c>
      <c r="AT406" t="s">
        <v>3</v>
      </c>
      <c r="AU406" t="s">
        <v>3</v>
      </c>
      <c r="AV406" t="s">
        <v>3</v>
      </c>
      <c r="AW406" t="s">
        <v>11</v>
      </c>
      <c r="AX406">
        <f>Tabla1[[#This Row],[precio del paquete]]-Tabla1[[#This Row],[Saldo_Deudor]]</f>
        <v>2400</v>
      </c>
      <c r="AY406">
        <v>10500</v>
      </c>
      <c r="AZ406" t="s">
        <v>1</v>
      </c>
      <c r="BA406" t="s">
        <v>1</v>
      </c>
      <c r="BB406" t="s">
        <v>1</v>
      </c>
      <c r="BC406" t="s">
        <v>3277</v>
      </c>
      <c r="BD406" t="s">
        <v>3327</v>
      </c>
      <c r="BE406" t="s">
        <v>3</v>
      </c>
      <c r="BF406" t="s">
        <v>3</v>
      </c>
      <c r="BG406" t="s">
        <v>3</v>
      </c>
      <c r="BH406" t="s">
        <v>3</v>
      </c>
      <c r="BI406" t="s">
        <v>3</v>
      </c>
      <c r="BJ406" t="s">
        <v>3381</v>
      </c>
      <c r="BK406" t="s">
        <v>3</v>
      </c>
      <c r="BL406" t="s">
        <v>132</v>
      </c>
      <c r="BM406" t="s">
        <v>1</v>
      </c>
      <c r="BN406">
        <f>Tabla1[[#This Row],[precio del paquete]]</f>
        <v>12900</v>
      </c>
      <c r="BO406" t="s">
        <v>1</v>
      </c>
      <c r="BP406" t="s">
        <v>1</v>
      </c>
      <c r="BQ406" t="s">
        <v>1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0</v>
      </c>
      <c r="BX406" t="s">
        <v>1</v>
      </c>
      <c r="BY406" t="s">
        <v>1</v>
      </c>
      <c r="BZ406" t="s">
        <v>1</v>
      </c>
      <c r="CA406" t="s">
        <v>1</v>
      </c>
      <c r="CB406" t="s">
        <v>3382</v>
      </c>
      <c r="CD406" t="str" cm="1">
        <f t="array" aca="1" ref="CD406" ca="1">eConcatenar(A406:CB406,"|")</f>
        <v>PY1hs95kLX71wDaf|CAR2021-6227|3|IMPERIAL DE LUJO|TABASCO|CARDENAS|CARDENAS|2021-10-18|12900|0|300|50|0|0|0|0|0|0|0|0|0|0|0||0|0|0|CANO|OLAN|ALFREDO|SOLTERO|X|X|CALLE NICOLASA CANO|COLONIA SANTA MARIA DE GUADALUPE|X|9371234861|X|X|X|CALLE NICOLASA CANO|X|LUNES|x|x|x|x|x|DOMICILIO |2400|10500|X|X|X|2022-02-17|2022-02-24|x|x|x|x|x|RJC990KJLQSW15E|x|HOMBRE|X|12900|X|X|X|X|X|X|X|X|CARDENAS|X|X|X|X|FINAL</v>
      </c>
    </row>
    <row r="407" spans="1:82" x14ac:dyDescent="0.25">
      <c r="A407" t="s">
        <v>921</v>
      </c>
      <c r="B407" t="s">
        <v>922</v>
      </c>
      <c r="C407">
        <v>3</v>
      </c>
      <c r="D407" t="s">
        <v>1371</v>
      </c>
      <c r="E407" t="s">
        <v>1380</v>
      </c>
      <c r="F407" t="s">
        <v>0</v>
      </c>
      <c r="G407" t="s">
        <v>0</v>
      </c>
      <c r="H407" t="s">
        <v>1567</v>
      </c>
      <c r="I407">
        <v>12900</v>
      </c>
      <c r="J407">
        <v>0</v>
      </c>
      <c r="K407">
        <v>100</v>
      </c>
      <c r="L407">
        <v>50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Y407">
        <v>0</v>
      </c>
      <c r="Z407">
        <v>0</v>
      </c>
      <c r="AA407">
        <v>0</v>
      </c>
      <c r="AB407" t="s">
        <v>1703</v>
      </c>
      <c r="AC407" t="s">
        <v>1815</v>
      </c>
      <c r="AD407" t="s">
        <v>2220</v>
      </c>
      <c r="AE407" t="s">
        <v>4</v>
      </c>
      <c r="AF407" t="s">
        <v>1</v>
      </c>
      <c r="AG407" t="s">
        <v>1</v>
      </c>
      <c r="AH407" t="s">
        <v>2782</v>
      </c>
      <c r="AI407" t="s">
        <v>3135</v>
      </c>
      <c r="AJ407" t="s">
        <v>1</v>
      </c>
      <c r="AK407">
        <v>9371190659</v>
      </c>
      <c r="AL407" t="s">
        <v>1</v>
      </c>
      <c r="AM407" t="s">
        <v>1</v>
      </c>
      <c r="AN407" t="s">
        <v>1</v>
      </c>
      <c r="AO407" t="s">
        <v>2782</v>
      </c>
      <c r="AP407" t="s">
        <v>1</v>
      </c>
      <c r="AQ407" t="s">
        <v>2</v>
      </c>
      <c r="AR407" t="s">
        <v>3</v>
      </c>
      <c r="AS407" t="s">
        <v>3</v>
      </c>
      <c r="AT407" t="s">
        <v>3</v>
      </c>
      <c r="AU407" t="s">
        <v>3</v>
      </c>
      <c r="AV407" t="s">
        <v>3</v>
      </c>
      <c r="AW407" t="s">
        <v>11</v>
      </c>
      <c r="AX407">
        <f>Tabla1[[#This Row],[precio del paquete]]-Tabla1[[#This Row],[Saldo_Deudor]]</f>
        <v>10600</v>
      </c>
      <c r="AY407">
        <v>2300</v>
      </c>
      <c r="AZ407" t="s">
        <v>1</v>
      </c>
      <c r="BA407" t="s">
        <v>1</v>
      </c>
      <c r="BB407" t="s">
        <v>1</v>
      </c>
      <c r="BC407" t="s">
        <v>3277</v>
      </c>
      <c r="BD407" t="s">
        <v>3327</v>
      </c>
      <c r="BE407" t="s">
        <v>3</v>
      </c>
      <c r="BF407" t="s">
        <v>3</v>
      </c>
      <c r="BG407" t="s">
        <v>3</v>
      </c>
      <c r="BH407" t="s">
        <v>3</v>
      </c>
      <c r="BI407" t="s">
        <v>3</v>
      </c>
      <c r="BJ407" t="s">
        <v>3381</v>
      </c>
      <c r="BK407" t="s">
        <v>3</v>
      </c>
      <c r="BL407" t="s">
        <v>132</v>
      </c>
      <c r="BM407" t="s">
        <v>1</v>
      </c>
      <c r="BN407">
        <f>Tabla1[[#This Row],[precio del paquete]]</f>
        <v>12900</v>
      </c>
      <c r="BO407" t="s">
        <v>1</v>
      </c>
      <c r="BP407" t="s">
        <v>1</v>
      </c>
      <c r="BQ407" t="s">
        <v>1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0</v>
      </c>
      <c r="BX407" t="s">
        <v>1</v>
      </c>
      <c r="BY407" t="s">
        <v>1</v>
      </c>
      <c r="BZ407" t="s">
        <v>1</v>
      </c>
      <c r="CA407" t="s">
        <v>1</v>
      </c>
      <c r="CB407" t="s">
        <v>3382</v>
      </c>
      <c r="CD407" t="str" cm="1">
        <f t="array" aca="1" ref="CD407" ca="1">eConcatenar(A407:CB407,"|")</f>
        <v>a2WwxOlbhwvcTa5q|CAR2019-3112|3|ECONOLINE|TABASCO|CARDENAS|CARDENAS|2019-10-15|12900|0|100|50|0|0|0|0|0|0|0|0|0|0|0||0|0|0|RAMOS|LEON|HUMBERTO|SOLTERO|X|X|CARRETERA COMALCALCO CARNICERIA EL POTRO|COLONIA MELCHOR OCAMPO|X|9371190659|X|X|X|CARRETERA COMALCALCO CARNICERIA EL POTRO|X|LUNES|x|x|x|x|x|DOMICILIO |10600|2300|X|X|X|2022-02-17|2022-02-24|x|x|x|x|x|RJC990KJLQSW15E|x|HOMBRE|X|12900|X|X|X|X|X|X|X|X|CARDENAS|X|X|X|X|FINAL</v>
      </c>
    </row>
    <row r="408" spans="1:82" x14ac:dyDescent="0.25">
      <c r="A408" t="s">
        <v>923</v>
      </c>
      <c r="B408" t="s">
        <v>924</v>
      </c>
      <c r="C408">
        <v>3</v>
      </c>
      <c r="D408" t="s">
        <v>1371</v>
      </c>
      <c r="E408" t="s">
        <v>1380</v>
      </c>
      <c r="F408" t="s">
        <v>0</v>
      </c>
      <c r="G408" t="s">
        <v>0</v>
      </c>
      <c r="H408" t="s">
        <v>1568</v>
      </c>
      <c r="I408">
        <v>12900</v>
      </c>
      <c r="J408">
        <v>0</v>
      </c>
      <c r="K408">
        <v>100</v>
      </c>
      <c r="L408">
        <v>50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Y408">
        <v>0</v>
      </c>
      <c r="Z408">
        <v>0</v>
      </c>
      <c r="AA408">
        <v>0</v>
      </c>
      <c r="AB408" t="s">
        <v>1906</v>
      </c>
      <c r="AC408" t="s">
        <v>2221</v>
      </c>
      <c r="AD408" t="s">
        <v>2222</v>
      </c>
      <c r="AE408" t="s">
        <v>4</v>
      </c>
      <c r="AF408" t="s">
        <v>1</v>
      </c>
      <c r="AG408" t="s">
        <v>1</v>
      </c>
      <c r="AH408" t="s">
        <v>2783</v>
      </c>
      <c r="AI408" t="s">
        <v>3135</v>
      </c>
      <c r="AJ408" t="s">
        <v>1</v>
      </c>
      <c r="AK408">
        <v>9371279545</v>
      </c>
      <c r="AL408" t="s">
        <v>1</v>
      </c>
      <c r="AM408" t="s">
        <v>1</v>
      </c>
      <c r="AN408" t="s">
        <v>1</v>
      </c>
      <c r="AO408" t="s">
        <v>2783</v>
      </c>
      <c r="AP408" t="s">
        <v>1</v>
      </c>
      <c r="AQ408" t="s">
        <v>2</v>
      </c>
      <c r="AR408" t="s">
        <v>3</v>
      </c>
      <c r="AS408" t="s">
        <v>3</v>
      </c>
      <c r="AT408" t="s">
        <v>3</v>
      </c>
      <c r="AU408" t="s">
        <v>3</v>
      </c>
      <c r="AV408" t="s">
        <v>3</v>
      </c>
      <c r="AW408" t="s">
        <v>11</v>
      </c>
      <c r="AX408">
        <f>Tabla1[[#This Row],[precio del paquete]]-Tabla1[[#This Row],[Saldo_Deudor]]</f>
        <v>4700</v>
      </c>
      <c r="AY408">
        <v>8200</v>
      </c>
      <c r="AZ408" t="s">
        <v>1</v>
      </c>
      <c r="BA408" t="s">
        <v>1</v>
      </c>
      <c r="BB408" t="s">
        <v>1</v>
      </c>
      <c r="BC408" t="s">
        <v>3277</v>
      </c>
      <c r="BD408" t="s">
        <v>3327</v>
      </c>
      <c r="BE408" t="s">
        <v>3</v>
      </c>
      <c r="BF408" t="s">
        <v>3</v>
      </c>
      <c r="BG408" t="s">
        <v>3</v>
      </c>
      <c r="BH408" t="s">
        <v>3</v>
      </c>
      <c r="BI408" t="s">
        <v>3</v>
      </c>
      <c r="BJ408" t="s">
        <v>3381</v>
      </c>
      <c r="BK408" t="s">
        <v>3</v>
      </c>
      <c r="BL408" t="s">
        <v>132</v>
      </c>
      <c r="BM408" t="s">
        <v>1</v>
      </c>
      <c r="BN408">
        <f>Tabla1[[#This Row],[precio del paquete]]</f>
        <v>12900</v>
      </c>
      <c r="BO408" t="s">
        <v>1</v>
      </c>
      <c r="BP408" t="s">
        <v>1</v>
      </c>
      <c r="BQ408" t="s">
        <v>1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0</v>
      </c>
      <c r="BX408" t="s">
        <v>1</v>
      </c>
      <c r="BY408" t="s">
        <v>1</v>
      </c>
      <c r="BZ408" t="s">
        <v>1</v>
      </c>
      <c r="CA408" t="s">
        <v>1</v>
      </c>
      <c r="CB408" t="s">
        <v>3382</v>
      </c>
      <c r="CD408" t="str" cm="1">
        <f t="array" aca="1" ref="CD408" ca="1">eConcatenar(A408:CB408,"|")</f>
        <v>VrN6lHJFpnfmJ86J|CAR2019-0693|3|ECONOLINE|TABASCO|CARDENAS|CARDENAS|2019-03-09|12900|0|100|50|0|0|0|0|0|0|0|0|0|0|0||0|0|0|JERONIMO|URIBE|ANA BERTHA|SOLTERO|X|X|FRENTE A LA COLONIA AGUA SOL|COLONIA MELCHOR OCAMPO|X|9371279545|X|X|X|FRENTE A LA COLONIA AGUA SOL|X|LUNES|x|x|x|x|x|DOMICILIO |4700|8200|X|X|X|2022-02-17|2022-02-24|x|x|x|x|x|RJC990KJLQSW15E|x|HOMBRE|X|12900|X|X|X|X|X|X|X|X|CARDENAS|X|X|X|X|FINAL</v>
      </c>
    </row>
    <row r="409" spans="1:82" x14ac:dyDescent="0.25">
      <c r="A409" t="s">
        <v>925</v>
      </c>
      <c r="B409" t="s">
        <v>926</v>
      </c>
      <c r="C409">
        <v>3</v>
      </c>
      <c r="D409" t="s">
        <v>1371</v>
      </c>
      <c r="E409" t="s">
        <v>1380</v>
      </c>
      <c r="F409" t="s">
        <v>0</v>
      </c>
      <c r="G409" t="s">
        <v>0</v>
      </c>
      <c r="H409" t="s">
        <v>1569</v>
      </c>
      <c r="I409">
        <v>12900</v>
      </c>
      <c r="J409">
        <v>0</v>
      </c>
      <c r="K409">
        <v>100</v>
      </c>
      <c r="L409">
        <v>50</v>
      </c>
      <c r="M409">
        <v>1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Y409">
        <v>0</v>
      </c>
      <c r="Z409">
        <v>0</v>
      </c>
      <c r="AA409">
        <v>0</v>
      </c>
      <c r="AB409" t="s">
        <v>1743</v>
      </c>
      <c r="AC409" t="s">
        <v>1695</v>
      </c>
      <c r="AD409" t="s">
        <v>2082</v>
      </c>
      <c r="AE409" t="s">
        <v>4</v>
      </c>
      <c r="AF409" t="s">
        <v>1</v>
      </c>
      <c r="AG409" t="s">
        <v>1</v>
      </c>
      <c r="AH409" t="s">
        <v>2784</v>
      </c>
      <c r="AI409" t="s">
        <v>3135</v>
      </c>
      <c r="AJ409" t="s">
        <v>1</v>
      </c>
      <c r="AK409">
        <v>9371311650</v>
      </c>
      <c r="AL409" t="s">
        <v>1</v>
      </c>
      <c r="AM409" t="s">
        <v>1</v>
      </c>
      <c r="AN409" t="s">
        <v>1</v>
      </c>
      <c r="AO409" t="s">
        <v>2784</v>
      </c>
      <c r="AP409" t="s">
        <v>1</v>
      </c>
      <c r="AQ409" t="s">
        <v>2</v>
      </c>
      <c r="AR409" t="s">
        <v>3</v>
      </c>
      <c r="AS409" t="s">
        <v>3</v>
      </c>
      <c r="AT409" t="s">
        <v>3</v>
      </c>
      <c r="AU409" t="s">
        <v>3</v>
      </c>
      <c r="AV409" t="s">
        <v>3</v>
      </c>
      <c r="AW409" t="s">
        <v>11</v>
      </c>
      <c r="AX409">
        <f>Tabla1[[#This Row],[precio del paquete]]-Tabla1[[#This Row],[Saldo_Deudor]]</f>
        <v>8300</v>
      </c>
      <c r="AY409">
        <v>4600</v>
      </c>
      <c r="AZ409" t="s">
        <v>1</v>
      </c>
      <c r="BA409" t="s">
        <v>1</v>
      </c>
      <c r="BB409" t="s">
        <v>1</v>
      </c>
      <c r="BC409" t="s">
        <v>3279</v>
      </c>
      <c r="BD409" t="s">
        <v>3329</v>
      </c>
      <c r="BE409" t="s">
        <v>3</v>
      </c>
      <c r="BF409" t="s">
        <v>3</v>
      </c>
      <c r="BG409" t="s">
        <v>3</v>
      </c>
      <c r="BH409" t="s">
        <v>3</v>
      </c>
      <c r="BI409" t="s">
        <v>3</v>
      </c>
      <c r="BJ409" t="s">
        <v>3381</v>
      </c>
      <c r="BK409" t="s">
        <v>3</v>
      </c>
      <c r="BL409" t="s">
        <v>132</v>
      </c>
      <c r="BM409" t="s">
        <v>1</v>
      </c>
      <c r="BN409">
        <f>Tabla1[[#This Row],[precio del paquete]]</f>
        <v>12900</v>
      </c>
      <c r="BO409" t="s">
        <v>1</v>
      </c>
      <c r="BP409" t="s">
        <v>1</v>
      </c>
      <c r="BQ409" t="s">
        <v>1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0</v>
      </c>
      <c r="BX409" t="s">
        <v>1</v>
      </c>
      <c r="BY409" t="s">
        <v>1</v>
      </c>
      <c r="BZ409" t="s">
        <v>1</v>
      </c>
      <c r="CA409" t="s">
        <v>1</v>
      </c>
      <c r="CB409" t="s">
        <v>3382</v>
      </c>
      <c r="CD409" t="str" cm="1">
        <f t="array" aca="1" ref="CD409" ca="1">eConcatenar(A409:CB409,"|")</f>
        <v>rHrINiWj5Plyv4oE|CAR2019-3741|3|ECONOLINE|TABASCO|CARDENAS|CARDENAS|2019-12-14|12900|0|100|50|1|0|0|0|0|0|0|0|0|0|0||0|0|0|DIAZ|MORALES|CONCEPCION|SOLTERO|X|X|SECTOR SAN ANTONIO|COLONIA MELCHOR OCAMPO|X|9371311650|X|X|X|SECTOR SAN ANTONIO|X|LUNES|x|x|x|x|x|DOMICILIO |8300|4600|X|X|X|2022-12-17|2022-12-24|x|x|x|x|x|RJC990KJLQSW15E|x|HOMBRE|X|12900|X|X|X|X|X|X|X|X|CARDENAS|X|X|X|X|FINAL</v>
      </c>
    </row>
    <row r="410" spans="1:82" x14ac:dyDescent="0.25">
      <c r="A410" t="s">
        <v>927</v>
      </c>
      <c r="B410" t="s">
        <v>928</v>
      </c>
      <c r="C410">
        <v>3</v>
      </c>
      <c r="D410" t="s">
        <v>1371</v>
      </c>
      <c r="E410" t="s">
        <v>1380</v>
      </c>
      <c r="F410" t="s">
        <v>0</v>
      </c>
      <c r="G410" t="s">
        <v>0</v>
      </c>
      <c r="H410" t="s">
        <v>1570</v>
      </c>
      <c r="I410">
        <v>12900</v>
      </c>
      <c r="J410">
        <v>0</v>
      </c>
      <c r="K410">
        <v>100</v>
      </c>
      <c r="L410">
        <v>50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Y410">
        <v>0</v>
      </c>
      <c r="Z410">
        <v>0</v>
      </c>
      <c r="AA410">
        <v>0</v>
      </c>
      <c r="AB410" t="s">
        <v>2223</v>
      </c>
      <c r="AC410" t="s">
        <v>7</v>
      </c>
      <c r="AD410" t="s">
        <v>1983</v>
      </c>
      <c r="AE410" t="s">
        <v>4</v>
      </c>
      <c r="AF410" t="s">
        <v>1</v>
      </c>
      <c r="AG410" t="s">
        <v>1</v>
      </c>
      <c r="AH410" t="s">
        <v>2785</v>
      </c>
      <c r="AI410" t="s">
        <v>2787</v>
      </c>
      <c r="AJ410" t="s">
        <v>1</v>
      </c>
      <c r="AK410">
        <v>9371153009</v>
      </c>
      <c r="AL410" t="s">
        <v>1</v>
      </c>
      <c r="AM410" t="s">
        <v>1</v>
      </c>
      <c r="AN410" t="s">
        <v>1</v>
      </c>
      <c r="AO410" t="s">
        <v>2785</v>
      </c>
      <c r="AP410" t="s">
        <v>1</v>
      </c>
      <c r="AQ410" t="s">
        <v>2</v>
      </c>
      <c r="AR410" t="s">
        <v>3</v>
      </c>
      <c r="AS410" t="s">
        <v>3</v>
      </c>
      <c r="AT410" t="s">
        <v>3</v>
      </c>
      <c r="AU410" t="s">
        <v>3</v>
      </c>
      <c r="AV410" t="s">
        <v>3</v>
      </c>
      <c r="AW410" t="s">
        <v>11</v>
      </c>
      <c r="AX410">
        <f>Tabla1[[#This Row],[precio del paquete]]-Tabla1[[#This Row],[Saldo_Deudor]]</f>
        <v>9800</v>
      </c>
      <c r="AY410">
        <v>3100</v>
      </c>
      <c r="AZ410" t="s">
        <v>1</v>
      </c>
      <c r="BA410" t="s">
        <v>1</v>
      </c>
      <c r="BB410" t="s">
        <v>1</v>
      </c>
      <c r="BC410" t="s">
        <v>3277</v>
      </c>
      <c r="BD410" t="s">
        <v>3327</v>
      </c>
      <c r="BE410" t="s">
        <v>3</v>
      </c>
      <c r="BF410" t="s">
        <v>3</v>
      </c>
      <c r="BG410" t="s">
        <v>3</v>
      </c>
      <c r="BH410" t="s">
        <v>3</v>
      </c>
      <c r="BI410" t="s">
        <v>3</v>
      </c>
      <c r="BJ410" t="s">
        <v>3381</v>
      </c>
      <c r="BK410" t="s">
        <v>3</v>
      </c>
      <c r="BL410" t="s">
        <v>132</v>
      </c>
      <c r="BM410" t="s">
        <v>1</v>
      </c>
      <c r="BN410">
        <f>Tabla1[[#This Row],[precio del paquete]]</f>
        <v>12900</v>
      </c>
      <c r="BO410" t="s">
        <v>1</v>
      </c>
      <c r="BP410" t="s">
        <v>1</v>
      </c>
      <c r="BQ410" t="s">
        <v>1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0</v>
      </c>
      <c r="BX410" t="s">
        <v>1</v>
      </c>
      <c r="BY410" t="s">
        <v>1</v>
      </c>
      <c r="BZ410" t="s">
        <v>1</v>
      </c>
      <c r="CA410" t="s">
        <v>1</v>
      </c>
      <c r="CB410" t="s">
        <v>3382</v>
      </c>
      <c r="CD410" t="str" cm="1">
        <f t="array" aca="1" ref="CD410" ca="1">eConcatenar(A410:CB410,"|")</f>
        <v>1Ev9Yt5gVHTGYNLW|CAR2019-1078|3|ECONOLINE|TABASCO|CARDENAS|CARDENAS|2019-04-22|12900|0|100|50|0|0|0|0|0|0|0|0|0|0|0||0|0|0|RAMONA|LOPEZ|MANUELA|SOLTERO|X|X|FRENTE EL TALLER|COLONIA NUEVO PROGRESO|X|9371153009|X|X|X|FRENTE EL TALLER|X|LUNES|x|x|x|x|x|DOMICILIO |9800|3100|X|X|X|2022-02-17|2022-02-24|x|x|x|x|x|RJC990KJLQSW15E|x|HOMBRE|X|12900|X|X|X|X|X|X|X|X|CARDENAS|X|X|X|X|FINAL</v>
      </c>
    </row>
    <row r="411" spans="1:82" x14ac:dyDescent="0.25">
      <c r="A411" t="s">
        <v>929</v>
      </c>
      <c r="B411" t="s">
        <v>930</v>
      </c>
      <c r="C411">
        <v>3</v>
      </c>
      <c r="D411" t="s">
        <v>1369</v>
      </c>
      <c r="E411" t="s">
        <v>1380</v>
      </c>
      <c r="F411" t="s">
        <v>0</v>
      </c>
      <c r="G411" t="s">
        <v>0</v>
      </c>
      <c r="H411" t="s">
        <v>1571</v>
      </c>
      <c r="I411">
        <v>14800</v>
      </c>
      <c r="J411">
        <v>0</v>
      </c>
      <c r="K411">
        <v>100</v>
      </c>
      <c r="L411">
        <v>50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Y411">
        <v>0</v>
      </c>
      <c r="Z411">
        <v>0</v>
      </c>
      <c r="AA411">
        <v>0</v>
      </c>
      <c r="AB411" t="s">
        <v>7</v>
      </c>
      <c r="AC411" t="s">
        <v>2224</v>
      </c>
      <c r="AD411" t="s">
        <v>1757</v>
      </c>
      <c r="AE411" t="s">
        <v>4</v>
      </c>
      <c r="AF411" t="s">
        <v>1</v>
      </c>
      <c r="AG411" t="s">
        <v>1</v>
      </c>
      <c r="AH411" t="s">
        <v>2786</v>
      </c>
      <c r="AI411" t="s">
        <v>2787</v>
      </c>
      <c r="AJ411" t="s">
        <v>1</v>
      </c>
      <c r="AK411">
        <v>9373697606</v>
      </c>
      <c r="AL411" t="s">
        <v>1</v>
      </c>
      <c r="AM411" t="s">
        <v>1</v>
      </c>
      <c r="AN411" t="s">
        <v>1</v>
      </c>
      <c r="AO411" t="s">
        <v>2786</v>
      </c>
      <c r="AP411" t="s">
        <v>1</v>
      </c>
      <c r="AQ411" t="s">
        <v>2</v>
      </c>
      <c r="AR411" t="s">
        <v>3</v>
      </c>
      <c r="AS411" t="s">
        <v>3</v>
      </c>
      <c r="AT411" t="s">
        <v>3</v>
      </c>
      <c r="AU411" t="s">
        <v>3</v>
      </c>
      <c r="AV411" t="s">
        <v>3</v>
      </c>
      <c r="AW411" t="s">
        <v>11</v>
      </c>
      <c r="AX411">
        <f>Tabla1[[#This Row],[precio del paquete]]-Tabla1[[#This Row],[Saldo_Deudor]]</f>
        <v>3600</v>
      </c>
      <c r="AY411">
        <v>11200</v>
      </c>
      <c r="AZ411" t="s">
        <v>1</v>
      </c>
      <c r="BA411" t="s">
        <v>1</v>
      </c>
      <c r="BB411" t="s">
        <v>1</v>
      </c>
      <c r="BC411" t="s">
        <v>3277</v>
      </c>
      <c r="BD411" t="s">
        <v>3327</v>
      </c>
      <c r="BE411" t="s">
        <v>3</v>
      </c>
      <c r="BF411" t="s">
        <v>3</v>
      </c>
      <c r="BG411" t="s">
        <v>3</v>
      </c>
      <c r="BH411" t="s">
        <v>3</v>
      </c>
      <c r="BI411" t="s">
        <v>3</v>
      </c>
      <c r="BJ411" t="s">
        <v>3381</v>
      </c>
      <c r="BK411" t="s">
        <v>3</v>
      </c>
      <c r="BL411" t="s">
        <v>132</v>
      </c>
      <c r="BM411" t="s">
        <v>1</v>
      </c>
      <c r="BN411">
        <f>Tabla1[[#This Row],[precio del paquete]]</f>
        <v>14800</v>
      </c>
      <c r="BO411" t="s">
        <v>1</v>
      </c>
      <c r="BP411" t="s">
        <v>1</v>
      </c>
      <c r="BQ411" t="s">
        <v>1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0</v>
      </c>
      <c r="BX411" t="s">
        <v>1</v>
      </c>
      <c r="BY411" t="s">
        <v>1</v>
      </c>
      <c r="BZ411" t="s">
        <v>1</v>
      </c>
      <c r="CA411" t="s">
        <v>1</v>
      </c>
      <c r="CB411" t="s">
        <v>3382</v>
      </c>
      <c r="CD411" t="str" cm="1">
        <f t="array" aca="1" ref="CD411" ca="1">eConcatenar(A411:CB411,"|")</f>
        <v>ChEge3X2Grwv5F9D|CAR2019-1124|3|MEMORIAL|TABASCO|CARDENAS|CARDENAS|2019-06-05|14800|0|100|50|0|0|0|0|0|0|0|0|0|0|0||0|0|0|LOPEZ|ROMIAN|RAMIRO|SOLTERO|X|X|CALLE DEL KINDER|COLONIA NUEVO PROGRESO|X|9373697606|X|X|X|CALLE DEL KINDER|X|LUNES|x|x|x|x|x|DOMICILIO |3600|11200|X|X|X|2022-02-17|2022-02-24|x|x|x|x|x|RJC990KJLQSW15E|x|HOMBRE|X|14800|X|X|X|X|X|X|X|X|CARDENAS|X|X|X|X|FINAL</v>
      </c>
    </row>
    <row r="412" spans="1:82" x14ac:dyDescent="0.25">
      <c r="A412" t="s">
        <v>931</v>
      </c>
      <c r="B412" t="s">
        <v>932</v>
      </c>
      <c r="C412">
        <v>3</v>
      </c>
      <c r="D412" t="s">
        <v>1371</v>
      </c>
      <c r="E412" t="s">
        <v>1380</v>
      </c>
      <c r="F412" t="s">
        <v>0</v>
      </c>
      <c r="G412" t="s">
        <v>0</v>
      </c>
      <c r="H412" t="s">
        <v>1572</v>
      </c>
      <c r="I412">
        <v>12900</v>
      </c>
      <c r="J412">
        <v>0</v>
      </c>
      <c r="K412">
        <v>100</v>
      </c>
      <c r="L412">
        <v>50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Y412">
        <v>0</v>
      </c>
      <c r="Z412">
        <v>0</v>
      </c>
      <c r="AA412">
        <v>0</v>
      </c>
      <c r="AB412" t="s">
        <v>1810</v>
      </c>
      <c r="AC412" t="s">
        <v>1790</v>
      </c>
      <c r="AD412" t="s">
        <v>2225</v>
      </c>
      <c r="AE412" t="s">
        <v>4</v>
      </c>
      <c r="AF412" t="s">
        <v>1</v>
      </c>
      <c r="AG412" t="s">
        <v>1</v>
      </c>
      <c r="AH412" t="s">
        <v>2787</v>
      </c>
      <c r="AI412" t="s">
        <v>2787</v>
      </c>
      <c r="AJ412" t="s">
        <v>1</v>
      </c>
      <c r="AK412">
        <v>9372271947</v>
      </c>
      <c r="AL412" t="s">
        <v>1</v>
      </c>
      <c r="AM412" t="s">
        <v>1</v>
      </c>
      <c r="AN412" t="s">
        <v>1</v>
      </c>
      <c r="AO412" t="s">
        <v>2787</v>
      </c>
      <c r="AP412" t="s">
        <v>1</v>
      </c>
      <c r="AQ412" t="s">
        <v>2</v>
      </c>
      <c r="AR412" t="s">
        <v>3</v>
      </c>
      <c r="AS412" t="s">
        <v>3</v>
      </c>
      <c r="AT412" t="s">
        <v>3</v>
      </c>
      <c r="AU412" t="s">
        <v>3</v>
      </c>
      <c r="AV412" t="s">
        <v>3</v>
      </c>
      <c r="AW412" t="s">
        <v>11</v>
      </c>
      <c r="AX412">
        <f>Tabla1[[#This Row],[precio del paquete]]-Tabla1[[#This Row],[Saldo_Deudor]]</f>
        <v>9550</v>
      </c>
      <c r="AY412">
        <v>3350</v>
      </c>
      <c r="AZ412" t="s">
        <v>1</v>
      </c>
      <c r="BA412" t="s">
        <v>1</v>
      </c>
      <c r="BB412" t="s">
        <v>1</v>
      </c>
      <c r="BC412" t="s">
        <v>3277</v>
      </c>
      <c r="BD412" t="s">
        <v>3327</v>
      </c>
      <c r="BE412" t="s">
        <v>3</v>
      </c>
      <c r="BF412" t="s">
        <v>3</v>
      </c>
      <c r="BG412" t="s">
        <v>3</v>
      </c>
      <c r="BH412" t="s">
        <v>3</v>
      </c>
      <c r="BI412" t="s">
        <v>3</v>
      </c>
      <c r="BJ412" t="s">
        <v>3381</v>
      </c>
      <c r="BK412" t="s">
        <v>3</v>
      </c>
      <c r="BL412" t="s">
        <v>132</v>
      </c>
      <c r="BM412" t="s">
        <v>1</v>
      </c>
      <c r="BN412">
        <f>Tabla1[[#This Row],[precio del paquete]]</f>
        <v>12900</v>
      </c>
      <c r="BO412" t="s">
        <v>1</v>
      </c>
      <c r="BP412" t="s">
        <v>1</v>
      </c>
      <c r="BQ412" t="s">
        <v>1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0</v>
      </c>
      <c r="BX412" t="s">
        <v>1</v>
      </c>
      <c r="BY412" t="s">
        <v>1</v>
      </c>
      <c r="BZ412" t="s">
        <v>1</v>
      </c>
      <c r="CA412" t="s">
        <v>1</v>
      </c>
      <c r="CB412" t="s">
        <v>3382</v>
      </c>
      <c r="CD412" t="str" cm="1">
        <f t="array" aca="1" ref="CD412" ca="1">eConcatenar(A412:CB412,"|")</f>
        <v>2glf5UdTl6gpV7Jk|CAR2019-1160|3|ECONOLINE|TABASCO|CARDENAS|CARDENAS|2019-05-08|12900|0|100|50|0|0|0|0|0|0|0|0|0|0|0||0|0|0|CRUZ|DOMINGUEZ|LETICIA DEL CARMEN|SOLTERO|X|X|COLONIA NUEVO PROGRESO|COLONIA NUEVO PROGRESO|X|9372271947|X|X|X|COLONIA NUEVO PROGRESO|X|LUNES|x|x|x|x|x|DOMICILIO |9550|3350|X|X|X|2022-02-17|2022-02-24|x|x|x|x|x|RJC990KJLQSW15E|x|HOMBRE|X|12900|X|X|X|X|X|X|X|X|CARDENAS|X|X|X|X|FINAL</v>
      </c>
    </row>
    <row r="413" spans="1:82" x14ac:dyDescent="0.25">
      <c r="A413" t="s">
        <v>933</v>
      </c>
      <c r="B413" t="s">
        <v>934</v>
      </c>
      <c r="C413">
        <v>3</v>
      </c>
      <c r="D413" t="s">
        <v>1372</v>
      </c>
      <c r="E413" t="s">
        <v>1380</v>
      </c>
      <c r="F413" t="s">
        <v>0</v>
      </c>
      <c r="G413" t="s">
        <v>0</v>
      </c>
      <c r="H413" t="s">
        <v>1566</v>
      </c>
      <c r="I413">
        <v>12900</v>
      </c>
      <c r="J413">
        <v>0</v>
      </c>
      <c r="K413">
        <v>100</v>
      </c>
      <c r="L413">
        <v>50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Y413">
        <v>0</v>
      </c>
      <c r="Z413">
        <v>0</v>
      </c>
      <c r="AA413">
        <v>0</v>
      </c>
      <c r="AB413" t="s">
        <v>1790</v>
      </c>
      <c r="AC413" t="s">
        <v>1784</v>
      </c>
      <c r="AD413" t="s">
        <v>2226</v>
      </c>
      <c r="AE413" t="s">
        <v>4</v>
      </c>
      <c r="AF413" t="s">
        <v>1</v>
      </c>
      <c r="AG413" t="s">
        <v>1</v>
      </c>
      <c r="AH413" t="s">
        <v>2788</v>
      </c>
      <c r="AI413" t="s">
        <v>3086</v>
      </c>
      <c r="AJ413" t="s">
        <v>1</v>
      </c>
      <c r="AK413">
        <v>93710193947</v>
      </c>
      <c r="AL413" t="s">
        <v>1</v>
      </c>
      <c r="AM413" t="s">
        <v>1</v>
      </c>
      <c r="AN413" t="s">
        <v>1</v>
      </c>
      <c r="AO413" t="s">
        <v>2788</v>
      </c>
      <c r="AP413" t="s">
        <v>1</v>
      </c>
      <c r="AQ413" t="s">
        <v>2</v>
      </c>
      <c r="AR413" t="s">
        <v>3</v>
      </c>
      <c r="AS413" t="s">
        <v>3</v>
      </c>
      <c r="AT413" t="s">
        <v>3</v>
      </c>
      <c r="AU413" t="s">
        <v>3</v>
      </c>
      <c r="AV413" t="s">
        <v>3</v>
      </c>
      <c r="AW413" t="s">
        <v>11</v>
      </c>
      <c r="AX413">
        <f>Tabla1[[#This Row],[precio del paquete]]-Tabla1[[#This Row],[Saldo_Deudor]]</f>
        <v>4700</v>
      </c>
      <c r="AY413">
        <v>8200</v>
      </c>
      <c r="AZ413" t="s">
        <v>1</v>
      </c>
      <c r="BA413" t="s">
        <v>1</v>
      </c>
      <c r="BB413" t="s">
        <v>1</v>
      </c>
      <c r="BC413" t="s">
        <v>3277</v>
      </c>
      <c r="BD413" t="s">
        <v>3327</v>
      </c>
      <c r="BE413" t="s">
        <v>3</v>
      </c>
      <c r="BF413" t="s">
        <v>3</v>
      </c>
      <c r="BG413" t="s">
        <v>3</v>
      </c>
      <c r="BH413" t="s">
        <v>3</v>
      </c>
      <c r="BI413" t="s">
        <v>3</v>
      </c>
      <c r="BJ413" t="s">
        <v>3381</v>
      </c>
      <c r="BK413" t="s">
        <v>3</v>
      </c>
      <c r="BL413" t="s">
        <v>132</v>
      </c>
      <c r="BM413" t="s">
        <v>1</v>
      </c>
      <c r="BN413">
        <f>Tabla1[[#This Row],[precio del paquete]]</f>
        <v>12900</v>
      </c>
      <c r="BO413" t="s">
        <v>1</v>
      </c>
      <c r="BP413" t="s">
        <v>1</v>
      </c>
      <c r="BQ413" t="s">
        <v>1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0</v>
      </c>
      <c r="BX413" t="s">
        <v>1</v>
      </c>
      <c r="BY413" t="s">
        <v>1</v>
      </c>
      <c r="BZ413" t="s">
        <v>1</v>
      </c>
      <c r="CA413" t="s">
        <v>1</v>
      </c>
      <c r="CB413" t="s">
        <v>3382</v>
      </c>
      <c r="CD413" t="str" cm="1">
        <f t="array" aca="1" ref="CD413" ca="1">eConcatenar(A413:CB413,"|")</f>
        <v>JVDtrB4l6ZuKEidF|CAR2021-0484|3|IMPERIAL DE LUJO|TABASCO|CARDENAS|CARDENAS|2021-02-15|12900|0|100|50|0|0|0|0|0|0|0|0|0|0|0||0|0|0|DOMINGUEZ|GAMAS|ALLENDE|SOLTERO|X|X|CALLE DE LA CENTRAL CAMIONERA|COLONIA CARDENAS CENTRO|X|93710193947|X|X|X|CALLE DE LA CENTRAL CAMIONERA|X|LUNES|x|x|x|x|x|DOMICILIO |4700|8200|X|X|X|2022-02-17|2022-02-24|x|x|x|x|x|RJC990KJLQSW15E|x|HOMBRE|X|12900|X|X|X|X|X|X|X|X|CARDENAS|X|X|X|X|FINAL</v>
      </c>
    </row>
    <row r="414" spans="1:82" x14ac:dyDescent="0.25">
      <c r="A414" t="s">
        <v>935</v>
      </c>
      <c r="B414" t="s">
        <v>936</v>
      </c>
      <c r="C414">
        <v>3</v>
      </c>
      <c r="D414" t="s">
        <v>1368</v>
      </c>
      <c r="E414" t="s">
        <v>1380</v>
      </c>
      <c r="F414" t="s">
        <v>0</v>
      </c>
      <c r="G414" t="s">
        <v>0</v>
      </c>
      <c r="H414" t="s">
        <v>1573</v>
      </c>
      <c r="I414">
        <v>24500</v>
      </c>
      <c r="J414">
        <v>0</v>
      </c>
      <c r="K414">
        <v>100</v>
      </c>
      <c r="L414">
        <v>50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Y414">
        <v>0</v>
      </c>
      <c r="Z414">
        <v>0</v>
      </c>
      <c r="AA414">
        <v>0</v>
      </c>
      <c r="AB414" t="s">
        <v>2227</v>
      </c>
      <c r="AC414" t="s">
        <v>2228</v>
      </c>
      <c r="AD414" t="s">
        <v>2229</v>
      </c>
      <c r="AE414" t="s">
        <v>4</v>
      </c>
      <c r="AF414" t="s">
        <v>1</v>
      </c>
      <c r="AG414" t="s">
        <v>1</v>
      </c>
      <c r="AH414" t="s">
        <v>2789</v>
      </c>
      <c r="AI414" t="s">
        <v>3158</v>
      </c>
      <c r="AJ414" t="s">
        <v>1</v>
      </c>
      <c r="AK414">
        <v>9371295419</v>
      </c>
      <c r="AL414" t="s">
        <v>1</v>
      </c>
      <c r="AM414" t="s">
        <v>1</v>
      </c>
      <c r="AN414" t="s">
        <v>1</v>
      </c>
      <c r="AO414" t="s">
        <v>2789</v>
      </c>
      <c r="AP414" t="s">
        <v>1</v>
      </c>
      <c r="AQ414" t="s">
        <v>2</v>
      </c>
      <c r="AR414" t="s">
        <v>3</v>
      </c>
      <c r="AS414" t="s">
        <v>3</v>
      </c>
      <c r="AT414" t="s">
        <v>3</v>
      </c>
      <c r="AU414" t="s">
        <v>3</v>
      </c>
      <c r="AV414" t="s">
        <v>3</v>
      </c>
      <c r="AW414" t="s">
        <v>11</v>
      </c>
      <c r="AX414">
        <f>Tabla1[[#This Row],[precio del paquete]]-Tabla1[[#This Row],[Saldo_Deudor]]</f>
        <v>2490</v>
      </c>
      <c r="AY414">
        <v>22010</v>
      </c>
      <c r="AZ414" t="s">
        <v>1</v>
      </c>
      <c r="BA414" t="s">
        <v>1</v>
      </c>
      <c r="BB414" t="s">
        <v>1</v>
      </c>
      <c r="BC414" t="s">
        <v>3277</v>
      </c>
      <c r="BD414" t="s">
        <v>3327</v>
      </c>
      <c r="BE414" t="s">
        <v>3</v>
      </c>
      <c r="BF414" t="s">
        <v>3</v>
      </c>
      <c r="BG414" t="s">
        <v>3</v>
      </c>
      <c r="BH414" t="s">
        <v>3</v>
      </c>
      <c r="BI414" t="s">
        <v>3</v>
      </c>
      <c r="BJ414" t="s">
        <v>3381</v>
      </c>
      <c r="BK414" t="s">
        <v>3</v>
      </c>
      <c r="BL414" t="s">
        <v>132</v>
      </c>
      <c r="BM414" t="s">
        <v>1</v>
      </c>
      <c r="BN414">
        <f>Tabla1[[#This Row],[precio del paquete]]</f>
        <v>24500</v>
      </c>
      <c r="BO414" t="s">
        <v>1</v>
      </c>
      <c r="BP414" t="s">
        <v>1</v>
      </c>
      <c r="BQ414" t="s">
        <v>1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0</v>
      </c>
      <c r="BX414" t="s">
        <v>1</v>
      </c>
      <c r="BY414" t="s">
        <v>1</v>
      </c>
      <c r="BZ414" t="s">
        <v>1</v>
      </c>
      <c r="CA414" t="s">
        <v>1</v>
      </c>
      <c r="CB414" t="s">
        <v>3382</v>
      </c>
      <c r="CD414" t="str" cm="1">
        <f t="array" aca="1" ref="CD414" ca="1">eConcatenar(A414:CB414,"|")</f>
        <v>pyWrtjEETxTJcDPV|CAR2019-0893|3|DIGNITY|TABASCO|CARDENAS|CARDENAS|2019-04-15|24500|0|100|50|0|0|0|0|0|0|0|0|0|0|0||0|0|0|DE LEON|ROMERO|MARSORIA RUEDA|SOLTERO|X|X|ENTRADA LA GREY|RANCHERIA ARROYO HONDO PRIMERA SECCION|X|9371295419|X|X|X|ENTRADA LA GREY|X|LUNES|x|x|x|x|x|DOMICILIO |2490|22010|X|X|X|2022-02-17|2022-02-24|x|x|x|x|x|RJC990KJLQSW15E|x|HOMBRE|X|24500|X|X|X|X|X|X|X|X|CARDENAS|X|X|X|X|FINAL</v>
      </c>
    </row>
    <row r="415" spans="1:82" x14ac:dyDescent="0.25">
      <c r="A415" t="s">
        <v>937</v>
      </c>
      <c r="B415" t="s">
        <v>938</v>
      </c>
      <c r="C415">
        <v>3</v>
      </c>
      <c r="D415" t="s">
        <v>1369</v>
      </c>
      <c r="E415" t="s">
        <v>1380</v>
      </c>
      <c r="F415" t="s">
        <v>0</v>
      </c>
      <c r="G415" t="s">
        <v>0</v>
      </c>
      <c r="H415" t="s">
        <v>1574</v>
      </c>
      <c r="I415">
        <v>14800</v>
      </c>
      <c r="J415">
        <v>0</v>
      </c>
      <c r="K415">
        <v>100</v>
      </c>
      <c r="L415">
        <v>50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Y415">
        <v>0</v>
      </c>
      <c r="Z415">
        <v>0</v>
      </c>
      <c r="AA415">
        <v>0</v>
      </c>
      <c r="AB415" t="s">
        <v>1731</v>
      </c>
      <c r="AC415" t="s">
        <v>1719</v>
      </c>
      <c r="AD415" t="s">
        <v>1718</v>
      </c>
      <c r="AE415" t="s">
        <v>4</v>
      </c>
      <c r="AF415" t="s">
        <v>1</v>
      </c>
      <c r="AG415" t="s">
        <v>1</v>
      </c>
      <c r="AH415" t="s">
        <v>2790</v>
      </c>
      <c r="AI415" t="s">
        <v>2642</v>
      </c>
      <c r="AJ415" t="s">
        <v>1</v>
      </c>
      <c r="AK415">
        <v>9331662258</v>
      </c>
      <c r="AL415" t="s">
        <v>1</v>
      </c>
      <c r="AM415" t="s">
        <v>1</v>
      </c>
      <c r="AN415" t="s">
        <v>1</v>
      </c>
      <c r="AO415" t="s">
        <v>2790</v>
      </c>
      <c r="AP415" t="s">
        <v>1</v>
      </c>
      <c r="AQ415" t="s">
        <v>2</v>
      </c>
      <c r="AR415" t="s">
        <v>3</v>
      </c>
      <c r="AS415" t="s">
        <v>3</v>
      </c>
      <c r="AT415" t="s">
        <v>3</v>
      </c>
      <c r="AU415" t="s">
        <v>3</v>
      </c>
      <c r="AV415" t="s">
        <v>3</v>
      </c>
      <c r="AW415" t="s">
        <v>11</v>
      </c>
      <c r="AX415">
        <f>Tabla1[[#This Row],[precio del paquete]]-Tabla1[[#This Row],[Saldo_Deudor]]</f>
        <v>3000</v>
      </c>
      <c r="AY415">
        <v>11800</v>
      </c>
      <c r="AZ415" t="s">
        <v>1</v>
      </c>
      <c r="BA415" t="s">
        <v>1</v>
      </c>
      <c r="BB415" t="s">
        <v>1</v>
      </c>
      <c r="BC415" t="s">
        <v>3277</v>
      </c>
      <c r="BD415" t="s">
        <v>3327</v>
      </c>
      <c r="BE415" t="s">
        <v>3</v>
      </c>
      <c r="BF415" t="s">
        <v>3</v>
      </c>
      <c r="BG415" t="s">
        <v>3</v>
      </c>
      <c r="BH415" t="s">
        <v>3</v>
      </c>
      <c r="BI415" t="s">
        <v>3</v>
      </c>
      <c r="BJ415" t="s">
        <v>3381</v>
      </c>
      <c r="BK415" t="s">
        <v>3</v>
      </c>
      <c r="BL415" t="s">
        <v>132</v>
      </c>
      <c r="BM415" t="s">
        <v>1</v>
      </c>
      <c r="BN415">
        <f>Tabla1[[#This Row],[precio del paquete]]</f>
        <v>14800</v>
      </c>
      <c r="BO415" t="s">
        <v>1</v>
      </c>
      <c r="BP415" t="s">
        <v>1</v>
      </c>
      <c r="BQ415" t="s">
        <v>1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0</v>
      </c>
      <c r="BX415" t="s">
        <v>1</v>
      </c>
      <c r="BY415" t="s">
        <v>1</v>
      </c>
      <c r="BZ415" t="s">
        <v>1</v>
      </c>
      <c r="CA415" t="s">
        <v>1</v>
      </c>
      <c r="CB415" t="s">
        <v>3382</v>
      </c>
      <c r="CD415" t="str" cm="1">
        <f t="array" aca="1" ref="CD415" ca="1">eConcatenar(A415:CB415,"|")</f>
        <v>7A2OIZIHcaYC29uY|CAR2021-2263|3|MEMORIAL|TABASCO|CARDENAS|CARDENAS|2021-06-03|14800|0|100|50|0|0|0|0|0|0|0|0|0|0|0||0|0|0|GARCIA|PALMA|ROCIO|SOLTERO|X|X|ANDADOR PERIFERICO NUMERO 230|UNIDAD HABITACIONAL INFONAVIT DEPORTIVA|X|9331662258|X|X|X|ANDADOR PERIFERICO NUMERO 230|X|LUNES|x|x|x|x|x|DOMICILIO |3000|11800|X|X|X|2022-02-17|2022-02-24|x|x|x|x|x|RJC990KJLQSW15E|x|HOMBRE|X|14800|X|X|X|X|X|X|X|X|CARDENAS|X|X|X|X|FINAL</v>
      </c>
    </row>
    <row r="416" spans="1:82" x14ac:dyDescent="0.25">
      <c r="A416" t="s">
        <v>939</v>
      </c>
      <c r="B416" t="s">
        <v>940</v>
      </c>
      <c r="C416">
        <v>3</v>
      </c>
      <c r="D416" t="s">
        <v>1371</v>
      </c>
      <c r="E416" t="s">
        <v>1380</v>
      </c>
      <c r="F416" t="s">
        <v>0</v>
      </c>
      <c r="G416" t="s">
        <v>0</v>
      </c>
      <c r="H416" t="s">
        <v>1575</v>
      </c>
      <c r="I416">
        <v>12900</v>
      </c>
      <c r="J416">
        <v>0</v>
      </c>
      <c r="K416">
        <v>100</v>
      </c>
      <c r="L416">
        <v>50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Y416">
        <v>0</v>
      </c>
      <c r="Z416">
        <v>0</v>
      </c>
      <c r="AA416">
        <v>0</v>
      </c>
      <c r="AB416" t="s">
        <v>2024</v>
      </c>
      <c r="AC416" t="s">
        <v>1814</v>
      </c>
      <c r="AD416" t="s">
        <v>1986</v>
      </c>
      <c r="AE416" t="s">
        <v>4</v>
      </c>
      <c r="AF416" t="s">
        <v>1</v>
      </c>
      <c r="AG416" t="s">
        <v>1</v>
      </c>
      <c r="AH416" t="s">
        <v>2791</v>
      </c>
      <c r="AI416" t="s">
        <v>3086</v>
      </c>
      <c r="AJ416" t="s">
        <v>1</v>
      </c>
      <c r="AK416">
        <v>9371086176</v>
      </c>
      <c r="AL416" t="s">
        <v>1</v>
      </c>
      <c r="AM416" t="s">
        <v>1</v>
      </c>
      <c r="AN416" t="s">
        <v>1</v>
      </c>
      <c r="AO416" t="s">
        <v>2791</v>
      </c>
      <c r="AP416" t="s">
        <v>1</v>
      </c>
      <c r="AQ416" t="s">
        <v>2</v>
      </c>
      <c r="AR416" t="s">
        <v>3</v>
      </c>
      <c r="AS416" t="s">
        <v>3</v>
      </c>
      <c r="AT416" t="s">
        <v>3</v>
      </c>
      <c r="AU416" t="s">
        <v>3</v>
      </c>
      <c r="AV416" t="s">
        <v>3</v>
      </c>
      <c r="AW416" t="s">
        <v>11</v>
      </c>
      <c r="AX416">
        <f>Tabla1[[#This Row],[precio del paquete]]-Tabla1[[#This Row],[Saldo_Deudor]]</f>
        <v>12300</v>
      </c>
      <c r="AY416">
        <v>600</v>
      </c>
      <c r="AZ416" t="s">
        <v>1</v>
      </c>
      <c r="BA416" t="s">
        <v>1</v>
      </c>
      <c r="BB416" t="s">
        <v>1</v>
      </c>
      <c r="BC416" t="s">
        <v>3277</v>
      </c>
      <c r="BD416" t="s">
        <v>3327</v>
      </c>
      <c r="BE416" t="s">
        <v>3</v>
      </c>
      <c r="BF416" t="s">
        <v>3</v>
      </c>
      <c r="BG416" t="s">
        <v>3</v>
      </c>
      <c r="BH416" t="s">
        <v>3</v>
      </c>
      <c r="BI416" t="s">
        <v>3</v>
      </c>
      <c r="BJ416" t="s">
        <v>3381</v>
      </c>
      <c r="BK416" t="s">
        <v>3</v>
      </c>
      <c r="BL416" t="s">
        <v>132</v>
      </c>
      <c r="BM416" t="s">
        <v>1</v>
      </c>
      <c r="BN416">
        <f>Tabla1[[#This Row],[precio del paquete]]</f>
        <v>12900</v>
      </c>
      <c r="BO416" t="s">
        <v>1</v>
      </c>
      <c r="BP416" t="s">
        <v>1</v>
      </c>
      <c r="BQ416" t="s">
        <v>1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0</v>
      </c>
      <c r="BX416" t="s">
        <v>1</v>
      </c>
      <c r="BY416" t="s">
        <v>1</v>
      </c>
      <c r="BZ416" t="s">
        <v>1</v>
      </c>
      <c r="CA416" t="s">
        <v>1</v>
      </c>
      <c r="CB416" t="s">
        <v>3382</v>
      </c>
      <c r="CD416" t="str" cm="1">
        <f t="array" aca="1" ref="CD416" ca="1">eConcatenar(A416:CB416,"|")</f>
        <v>LlKNVoyxVJV2YR9n|CAR2019-0458|3|ECONOLINE|TABASCO|CARDENAS|CARDENAS|2019-02-18|12900|0|100|50|0|0|0|0|0|0|0|0|0|0|0||0|0|0|ZAPATA|FLORES|MARIA ISABEL|SOLTERO|X|X|CALLE FRANCISCO I MADERO|COLONIA CARDENAS CENTRO|X|9371086176|X|X|X|CALLE FRANCISCO I MADERO|X|LUNES|x|x|x|x|x|DOMICILIO |12300|600|X|X|X|2022-02-17|2022-02-24|x|x|x|x|x|RJC990KJLQSW15E|x|HOMBRE|X|12900|X|X|X|X|X|X|X|X|CARDENAS|X|X|X|X|FINAL</v>
      </c>
    </row>
    <row r="417" spans="1:82" x14ac:dyDescent="0.25">
      <c r="A417" t="s">
        <v>941</v>
      </c>
      <c r="B417" t="s">
        <v>942</v>
      </c>
      <c r="C417">
        <v>3</v>
      </c>
      <c r="D417" t="s">
        <v>1372</v>
      </c>
      <c r="E417" t="s">
        <v>1380</v>
      </c>
      <c r="F417" t="s">
        <v>0</v>
      </c>
      <c r="G417" t="s">
        <v>0</v>
      </c>
      <c r="H417" t="s">
        <v>1576</v>
      </c>
      <c r="I417">
        <v>12900</v>
      </c>
      <c r="J417">
        <v>0</v>
      </c>
      <c r="K417">
        <v>100</v>
      </c>
      <c r="L417">
        <v>50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Y417">
        <v>0</v>
      </c>
      <c r="Z417">
        <v>0</v>
      </c>
      <c r="AA417">
        <v>0</v>
      </c>
      <c r="AB417" t="s">
        <v>1707</v>
      </c>
      <c r="AC417" t="s">
        <v>1842</v>
      </c>
      <c r="AD417" t="s">
        <v>1740</v>
      </c>
      <c r="AE417" t="s">
        <v>4</v>
      </c>
      <c r="AF417" t="s">
        <v>1</v>
      </c>
      <c r="AG417" t="s">
        <v>1</v>
      </c>
      <c r="AH417" t="s">
        <v>2792</v>
      </c>
      <c r="AI417" t="s">
        <v>3084</v>
      </c>
      <c r="AJ417" t="s">
        <v>1</v>
      </c>
      <c r="AK417" t="s">
        <v>1</v>
      </c>
      <c r="AL417" t="s">
        <v>1</v>
      </c>
      <c r="AM417" t="s">
        <v>1</v>
      </c>
      <c r="AN417" t="s">
        <v>1</v>
      </c>
      <c r="AO417" t="s">
        <v>2792</v>
      </c>
      <c r="AP417" t="s">
        <v>1</v>
      </c>
      <c r="AQ417" t="s">
        <v>2</v>
      </c>
      <c r="AR417" t="s">
        <v>3</v>
      </c>
      <c r="AS417" t="s">
        <v>3</v>
      </c>
      <c r="AT417" t="s">
        <v>3</v>
      </c>
      <c r="AU417" t="s">
        <v>3</v>
      </c>
      <c r="AV417" t="s">
        <v>3</v>
      </c>
      <c r="AW417" t="s">
        <v>11</v>
      </c>
      <c r="AX417">
        <f>Tabla1[[#This Row],[precio del paquete]]-Tabla1[[#This Row],[Saldo_Deudor]]</f>
        <v>5300</v>
      </c>
      <c r="AY417">
        <v>7600</v>
      </c>
      <c r="AZ417" t="s">
        <v>1</v>
      </c>
      <c r="BA417" t="s">
        <v>1</v>
      </c>
      <c r="BB417" t="s">
        <v>1</v>
      </c>
      <c r="BC417" t="s">
        <v>3277</v>
      </c>
      <c r="BD417" t="s">
        <v>3327</v>
      </c>
      <c r="BE417" t="s">
        <v>3</v>
      </c>
      <c r="BF417" t="s">
        <v>3</v>
      </c>
      <c r="BG417" t="s">
        <v>3</v>
      </c>
      <c r="BH417" t="s">
        <v>3</v>
      </c>
      <c r="BI417" t="s">
        <v>3</v>
      </c>
      <c r="BJ417" t="s">
        <v>3381</v>
      </c>
      <c r="BK417" t="s">
        <v>3</v>
      </c>
      <c r="BL417" t="s">
        <v>132</v>
      </c>
      <c r="BM417" t="s">
        <v>1</v>
      </c>
      <c r="BN417">
        <f>Tabla1[[#This Row],[precio del paquete]]</f>
        <v>12900</v>
      </c>
      <c r="BO417" t="s">
        <v>1</v>
      </c>
      <c r="BP417" t="s">
        <v>1</v>
      </c>
      <c r="BQ417" t="s">
        <v>1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0</v>
      </c>
      <c r="BX417" t="s">
        <v>1</v>
      </c>
      <c r="BY417" t="s">
        <v>1</v>
      </c>
      <c r="BZ417" t="s">
        <v>1</v>
      </c>
      <c r="CA417" t="s">
        <v>1</v>
      </c>
      <c r="CB417" t="s">
        <v>3382</v>
      </c>
      <c r="CD417" t="str" cm="1">
        <f t="array" aca="1" ref="CD417" ca="1">eConcatenar(A417:CB417,"|")</f>
        <v>lx9yqlLVBT3JnMyu|CAR2020-0666|3|IMPERIAL DE LUJO|TABASCO|CARDENAS|CARDENAS|2020-02-28|12900|0|100|50|0|0|0|0|0|0|0|0|0|0|0||0|0|0|OLAN|ORTIZ|PETRONILA|SOLTERO|X|X|CALLE VICENTE GUERRERO|COLONIA EL TOLOQUE|X|X|X|X|X|CALLE VICENTE GUERRERO|X|LUNES|x|x|x|x|x|DOMICILIO |5300|7600|X|X|X|2022-02-17|2022-02-24|x|x|x|x|x|RJC990KJLQSW15E|x|HOMBRE|X|12900|X|X|X|X|X|X|X|X|CARDENAS|X|X|X|X|FINAL</v>
      </c>
    </row>
    <row r="418" spans="1:82" x14ac:dyDescent="0.25">
      <c r="A418" t="s">
        <v>943</v>
      </c>
      <c r="B418" t="s">
        <v>944</v>
      </c>
      <c r="C418">
        <v>3</v>
      </c>
      <c r="D418" t="s">
        <v>1371</v>
      </c>
      <c r="E418" t="s">
        <v>1380</v>
      </c>
      <c r="F418" t="s">
        <v>0</v>
      </c>
      <c r="G418" t="s">
        <v>0</v>
      </c>
      <c r="H418" t="s">
        <v>1577</v>
      </c>
      <c r="I418">
        <v>12900</v>
      </c>
      <c r="J418">
        <v>0</v>
      </c>
      <c r="K418">
        <v>100</v>
      </c>
      <c r="L418">
        <v>50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Y418">
        <v>0</v>
      </c>
      <c r="Z418">
        <v>0</v>
      </c>
      <c r="AA418">
        <v>0</v>
      </c>
      <c r="AB418" t="s">
        <v>1744</v>
      </c>
      <c r="AC418" t="s">
        <v>1815</v>
      </c>
      <c r="AD418" t="s">
        <v>1848</v>
      </c>
      <c r="AE418" t="s">
        <v>4</v>
      </c>
      <c r="AF418" t="s">
        <v>1</v>
      </c>
      <c r="AG418" t="s">
        <v>1</v>
      </c>
      <c r="AH418" t="s">
        <v>2793</v>
      </c>
      <c r="AI418" t="s">
        <v>3165</v>
      </c>
      <c r="AJ418" t="s">
        <v>1</v>
      </c>
      <c r="AK418" t="s">
        <v>1</v>
      </c>
      <c r="AL418" t="s">
        <v>1</v>
      </c>
      <c r="AM418" t="s">
        <v>1</v>
      </c>
      <c r="AN418" t="s">
        <v>1</v>
      </c>
      <c r="AO418" t="s">
        <v>2793</v>
      </c>
      <c r="AP418" t="s">
        <v>1</v>
      </c>
      <c r="AQ418" t="s">
        <v>2</v>
      </c>
      <c r="AR418" t="s">
        <v>3</v>
      </c>
      <c r="AS418" t="s">
        <v>3</v>
      </c>
      <c r="AT418" t="s">
        <v>3</v>
      </c>
      <c r="AU418" t="s">
        <v>3</v>
      </c>
      <c r="AV418" t="s">
        <v>3</v>
      </c>
      <c r="AW418" t="s">
        <v>11</v>
      </c>
      <c r="AX418">
        <f>Tabla1[[#This Row],[precio del paquete]]-Tabla1[[#This Row],[Saldo_Deudor]]</f>
        <v>7400</v>
      </c>
      <c r="AY418">
        <v>5500</v>
      </c>
      <c r="AZ418" t="s">
        <v>1</v>
      </c>
      <c r="BA418" t="s">
        <v>1</v>
      </c>
      <c r="BB418" t="s">
        <v>1</v>
      </c>
      <c r="BC418" t="s">
        <v>3277</v>
      </c>
      <c r="BD418" t="s">
        <v>3327</v>
      </c>
      <c r="BE418" t="s">
        <v>3</v>
      </c>
      <c r="BF418" t="s">
        <v>3</v>
      </c>
      <c r="BG418" t="s">
        <v>3</v>
      </c>
      <c r="BH418" t="s">
        <v>3</v>
      </c>
      <c r="BI418" t="s">
        <v>3</v>
      </c>
      <c r="BJ418" t="s">
        <v>3381</v>
      </c>
      <c r="BK418" t="s">
        <v>3</v>
      </c>
      <c r="BL418" t="s">
        <v>132</v>
      </c>
      <c r="BM418" t="s">
        <v>1</v>
      </c>
      <c r="BN418">
        <f>Tabla1[[#This Row],[precio del paquete]]</f>
        <v>12900</v>
      </c>
      <c r="BO418" t="s">
        <v>1</v>
      </c>
      <c r="BP418" t="s">
        <v>1</v>
      </c>
      <c r="BQ418" t="s">
        <v>1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0</v>
      </c>
      <c r="BX418" t="s">
        <v>1</v>
      </c>
      <c r="BY418" t="s">
        <v>1</v>
      </c>
      <c r="BZ418" t="s">
        <v>1</v>
      </c>
      <c r="CA418" t="s">
        <v>1</v>
      </c>
      <c r="CB418" t="s">
        <v>3382</v>
      </c>
      <c r="CD418" t="str" cm="1">
        <f t="array" aca="1" ref="CD418" ca="1">eConcatenar(A418:CB418,"|")</f>
        <v>71Nw48EfzQVg5Gwx|CAR2019-1141|3|ECONOLINE|TABASCO|CARDENAS|CARDENAS|2019-05-04|12900|0|100|50|0|0|0|0|0|0|0|0|0|0|0||0|0|0|PEREZ|LEON|MARIBEL|SOLTERO|X|X|AMPLIACION SANTOS DEGOLLADO|COLONIA SANTA MARIA DE GUADALUPE|X|X|X|X|X|AMPLIACION SANTOS DEGOLLADO|X|LUNES|x|x|x|x|x|DOMICILIO |7400|5500|X|X|X|2022-02-17|2022-02-24|x|x|x|x|x|RJC990KJLQSW15E|x|HOMBRE|X|12900|X|X|X|X|X|X|X|X|CARDENAS|X|X|X|X|FINAL</v>
      </c>
    </row>
    <row r="419" spans="1:82" x14ac:dyDescent="0.25">
      <c r="A419" t="s">
        <v>945</v>
      </c>
      <c r="B419" t="s">
        <v>946</v>
      </c>
      <c r="C419">
        <v>3</v>
      </c>
      <c r="D419" t="s">
        <v>1371</v>
      </c>
      <c r="E419" t="s">
        <v>1380</v>
      </c>
      <c r="F419" t="s">
        <v>0</v>
      </c>
      <c r="G419" t="s">
        <v>0</v>
      </c>
      <c r="H419" t="s">
        <v>1578</v>
      </c>
      <c r="I419">
        <v>12900</v>
      </c>
      <c r="J419">
        <v>0</v>
      </c>
      <c r="K419">
        <v>100</v>
      </c>
      <c r="L419">
        <v>50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Y419">
        <v>0</v>
      </c>
      <c r="Z419">
        <v>0</v>
      </c>
      <c r="AA419">
        <v>0</v>
      </c>
      <c r="AB419" t="s">
        <v>1731</v>
      </c>
      <c r="AC419" t="s">
        <v>1812</v>
      </c>
      <c r="AD419" t="s">
        <v>2230</v>
      </c>
      <c r="AE419" t="s">
        <v>4</v>
      </c>
      <c r="AF419" t="s">
        <v>1</v>
      </c>
      <c r="AG419" t="s">
        <v>1</v>
      </c>
      <c r="AH419" t="s">
        <v>2794</v>
      </c>
      <c r="AI419" t="s">
        <v>2794</v>
      </c>
      <c r="AJ419" t="s">
        <v>1</v>
      </c>
      <c r="AK419">
        <v>9371460263</v>
      </c>
      <c r="AL419" t="s">
        <v>1</v>
      </c>
      <c r="AM419" t="s">
        <v>1</v>
      </c>
      <c r="AN419" t="s">
        <v>1</v>
      </c>
      <c r="AO419" t="s">
        <v>2794</v>
      </c>
      <c r="AP419" t="s">
        <v>1</v>
      </c>
      <c r="AQ419" t="s">
        <v>2</v>
      </c>
      <c r="AR419" t="s">
        <v>3</v>
      </c>
      <c r="AS419" t="s">
        <v>3</v>
      </c>
      <c r="AT419" t="s">
        <v>3</v>
      </c>
      <c r="AU419" t="s">
        <v>3</v>
      </c>
      <c r="AV419" t="s">
        <v>3</v>
      </c>
      <c r="AW419" t="s">
        <v>11</v>
      </c>
      <c r="AX419">
        <f>Tabla1[[#This Row],[precio del paquete]]-Tabla1[[#This Row],[Saldo_Deudor]]</f>
        <v>10300</v>
      </c>
      <c r="AY419">
        <v>2600</v>
      </c>
      <c r="AZ419" t="s">
        <v>1</v>
      </c>
      <c r="BA419" t="s">
        <v>1</v>
      </c>
      <c r="BB419" t="s">
        <v>1</v>
      </c>
      <c r="BC419" t="s">
        <v>3281</v>
      </c>
      <c r="BD419" t="s">
        <v>1390</v>
      </c>
      <c r="BE419" t="s">
        <v>3</v>
      </c>
      <c r="BF419" t="s">
        <v>3</v>
      </c>
      <c r="BG419" t="s">
        <v>3</v>
      </c>
      <c r="BH419" t="s">
        <v>3</v>
      </c>
      <c r="BI419" t="s">
        <v>3</v>
      </c>
      <c r="BJ419" t="s">
        <v>3381</v>
      </c>
      <c r="BK419" t="s">
        <v>3</v>
      </c>
      <c r="BL419" t="s">
        <v>132</v>
      </c>
      <c r="BM419" t="s">
        <v>1</v>
      </c>
      <c r="BN419">
        <f>Tabla1[[#This Row],[precio del paquete]]</f>
        <v>12900</v>
      </c>
      <c r="BO419" t="s">
        <v>1</v>
      </c>
      <c r="BP419" t="s">
        <v>1</v>
      </c>
      <c r="BQ419" t="s">
        <v>1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0</v>
      </c>
      <c r="BX419" t="s">
        <v>1</v>
      </c>
      <c r="BY419" t="s">
        <v>1</v>
      </c>
      <c r="BZ419" t="s">
        <v>1</v>
      </c>
      <c r="CA419" t="s">
        <v>1</v>
      </c>
      <c r="CB419" t="s">
        <v>3382</v>
      </c>
      <c r="CD419" t="str" cm="1">
        <f t="array" aca="1" ref="CD419" ca="1">eConcatenar(A419:CB419,"|")</f>
        <v>Pq43mJ4clXfc8xiE|CAR2020-0504|3|ECONOLINE|TABASCO|CARDENAS|CARDENAS|2020-03-06|12900|0|100|50|0|0|0|0|0|0|0|0|0|0|0||0|0|0|GARCIA|SANCHEZ|SAUL|SOLTERO|X|X|CALZADA PRIMERA SECCION|CALZADA PRIMERA SECCION|X|9371460263|X|X|X|CALZADA PRIMERA SECCION|X|LUNES|x|x|x|x|x|DOMICILIO |10300|2600|X|X|X|2022-01-26|2022-02-02|x|x|x|x|x|RJC990KJLQSW15E|x|HOMBRE|X|12900|X|X|X|X|X|X|X|X|CARDENAS|X|X|X|X|FINAL</v>
      </c>
    </row>
    <row r="420" spans="1:82" x14ac:dyDescent="0.25">
      <c r="A420" t="s">
        <v>947</v>
      </c>
      <c r="B420" t="s">
        <v>948</v>
      </c>
      <c r="C420">
        <v>3</v>
      </c>
      <c r="D420" t="s">
        <v>1369</v>
      </c>
      <c r="E420" t="s">
        <v>1380</v>
      </c>
      <c r="F420" t="s">
        <v>0</v>
      </c>
      <c r="G420" t="s">
        <v>0</v>
      </c>
      <c r="H420" t="s">
        <v>1579</v>
      </c>
      <c r="I420">
        <v>14800</v>
      </c>
      <c r="J420">
        <v>0</v>
      </c>
      <c r="K420">
        <v>200</v>
      </c>
      <c r="L420">
        <v>50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Y420">
        <v>0</v>
      </c>
      <c r="Z420">
        <v>0</v>
      </c>
      <c r="AA420">
        <v>0</v>
      </c>
      <c r="AB420" t="s">
        <v>1895</v>
      </c>
      <c r="AC420" t="s">
        <v>2231</v>
      </c>
      <c r="AD420" t="s">
        <v>2232</v>
      </c>
      <c r="AE420" t="s">
        <v>4</v>
      </c>
      <c r="AF420" t="s">
        <v>1</v>
      </c>
      <c r="AG420" t="s">
        <v>1</v>
      </c>
      <c r="AH420" t="s">
        <v>2795</v>
      </c>
      <c r="AI420" t="s">
        <v>3166</v>
      </c>
      <c r="AJ420" t="s">
        <v>1</v>
      </c>
      <c r="AK420">
        <v>9371556320</v>
      </c>
      <c r="AL420" t="s">
        <v>1</v>
      </c>
      <c r="AM420" t="s">
        <v>1</v>
      </c>
      <c r="AN420" t="s">
        <v>1</v>
      </c>
      <c r="AO420" t="s">
        <v>2795</v>
      </c>
      <c r="AP420" t="s">
        <v>1</v>
      </c>
      <c r="AQ420" t="s">
        <v>2</v>
      </c>
      <c r="AR420" t="s">
        <v>3</v>
      </c>
      <c r="AS420" t="s">
        <v>3</v>
      </c>
      <c r="AT420" t="s">
        <v>3</v>
      </c>
      <c r="AU420" t="s">
        <v>3</v>
      </c>
      <c r="AV420" t="s">
        <v>3</v>
      </c>
      <c r="AW420" t="s">
        <v>11</v>
      </c>
      <c r="AX420">
        <f>Tabla1[[#This Row],[precio del paquete]]-Tabla1[[#This Row],[Saldo_Deudor]]</f>
        <v>2500</v>
      </c>
      <c r="AY420">
        <v>12300</v>
      </c>
      <c r="AZ420" t="s">
        <v>1</v>
      </c>
      <c r="BA420" t="s">
        <v>1</v>
      </c>
      <c r="BB420" t="s">
        <v>1</v>
      </c>
      <c r="BC420" t="s">
        <v>1400</v>
      </c>
      <c r="BD420" t="s">
        <v>3277</v>
      </c>
      <c r="BE420" t="s">
        <v>3</v>
      </c>
      <c r="BF420" t="s">
        <v>3</v>
      </c>
      <c r="BG420" t="s">
        <v>3</v>
      </c>
      <c r="BH420" t="s">
        <v>3</v>
      </c>
      <c r="BI420" t="s">
        <v>3</v>
      </c>
      <c r="BJ420" t="s">
        <v>3381</v>
      </c>
      <c r="BK420" t="s">
        <v>3</v>
      </c>
      <c r="BL420" t="s">
        <v>132</v>
      </c>
      <c r="BM420" t="s">
        <v>1</v>
      </c>
      <c r="BN420">
        <f>Tabla1[[#This Row],[precio del paquete]]</f>
        <v>14800</v>
      </c>
      <c r="BO420" t="s">
        <v>1</v>
      </c>
      <c r="BP420" t="s">
        <v>1</v>
      </c>
      <c r="BQ420" t="s">
        <v>1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0</v>
      </c>
      <c r="BX420" t="s">
        <v>1</v>
      </c>
      <c r="BY420" t="s">
        <v>1</v>
      </c>
      <c r="BZ420" t="s">
        <v>1</v>
      </c>
      <c r="CA420" t="s">
        <v>1</v>
      </c>
      <c r="CB420" t="s">
        <v>3382</v>
      </c>
      <c r="CD420" t="str" cm="1">
        <f t="array" aca="1" ref="CD420" ca="1">eConcatenar(A420:CB420,"|")</f>
        <v>oeVrLMJoRHcQaJ33|CAR2021-2075|3|MEMORIAL|TABASCO|CARDENAS|CARDENAS|2021-05-25|14800|0|200|50|0|0|0|0|0|0|0|0|0|0|0||0|0|0|MENA|LEDESMO|GUSTAVO|SOLTERO|X|X|AVENIDA CALZADA NUMERO 177|RANCHERIA CALZADA SEGUNDA SECCION|X|9371556320|X|X|X|AVENIDA CALZADA NUMERO 177|X|LUNES|x|x|x|x|x|DOMICILIO |2500|12300|X|X|X|2022-02-10|2022-02-17|x|x|x|x|x|RJC990KJLQSW15E|x|HOMBRE|X|14800|X|X|X|X|X|X|X|X|CARDENAS|X|X|X|X|FINAL</v>
      </c>
    </row>
    <row r="421" spans="1:82" x14ac:dyDescent="0.25">
      <c r="A421" t="s">
        <v>949</v>
      </c>
      <c r="B421" t="s">
        <v>950</v>
      </c>
      <c r="C421">
        <v>3</v>
      </c>
      <c r="D421" t="s">
        <v>1369</v>
      </c>
      <c r="E421" t="s">
        <v>1380</v>
      </c>
      <c r="F421" t="s">
        <v>0</v>
      </c>
      <c r="G421" t="s">
        <v>0</v>
      </c>
      <c r="H421" t="s">
        <v>1579</v>
      </c>
      <c r="I421">
        <v>14800</v>
      </c>
      <c r="J421">
        <v>0</v>
      </c>
      <c r="K421">
        <v>100</v>
      </c>
      <c r="L421">
        <v>50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Y421">
        <v>0</v>
      </c>
      <c r="Z421">
        <v>0</v>
      </c>
      <c r="AA421">
        <v>0</v>
      </c>
      <c r="AB421" t="s">
        <v>7</v>
      </c>
      <c r="AC421" t="s">
        <v>1744</v>
      </c>
      <c r="AD421" t="s">
        <v>2233</v>
      </c>
      <c r="AE421" t="s">
        <v>4</v>
      </c>
      <c r="AF421" t="s">
        <v>1</v>
      </c>
      <c r="AG421" t="s">
        <v>1</v>
      </c>
      <c r="AH421" t="s">
        <v>2796</v>
      </c>
      <c r="AI421" t="s">
        <v>3166</v>
      </c>
      <c r="AJ421" t="s">
        <v>1</v>
      </c>
      <c r="AK421">
        <v>9371090516</v>
      </c>
      <c r="AL421" t="s">
        <v>1</v>
      </c>
      <c r="AM421" t="s">
        <v>1</v>
      </c>
      <c r="AN421" t="s">
        <v>1</v>
      </c>
      <c r="AO421" t="s">
        <v>2796</v>
      </c>
      <c r="AP421" t="s">
        <v>1</v>
      </c>
      <c r="AQ421" t="s">
        <v>2</v>
      </c>
      <c r="AR421" t="s">
        <v>3</v>
      </c>
      <c r="AS421" t="s">
        <v>3</v>
      </c>
      <c r="AT421" t="s">
        <v>3</v>
      </c>
      <c r="AU421" t="s">
        <v>3</v>
      </c>
      <c r="AV421" t="s">
        <v>3</v>
      </c>
      <c r="AW421" t="s">
        <v>11</v>
      </c>
      <c r="AX421">
        <f>Tabla1[[#This Row],[precio del paquete]]-Tabla1[[#This Row],[Saldo_Deudor]]</f>
        <v>2900</v>
      </c>
      <c r="AY421">
        <v>11900</v>
      </c>
      <c r="AZ421" t="s">
        <v>1</v>
      </c>
      <c r="BA421" t="s">
        <v>1</v>
      </c>
      <c r="BB421" t="s">
        <v>1</v>
      </c>
      <c r="BC421" t="s">
        <v>1400</v>
      </c>
      <c r="BD421" t="s">
        <v>3277</v>
      </c>
      <c r="BE421" t="s">
        <v>3</v>
      </c>
      <c r="BF421" t="s">
        <v>3</v>
      </c>
      <c r="BG421" t="s">
        <v>3</v>
      </c>
      <c r="BH421" t="s">
        <v>3</v>
      </c>
      <c r="BI421" t="s">
        <v>3</v>
      </c>
      <c r="BJ421" t="s">
        <v>3381</v>
      </c>
      <c r="BK421" t="s">
        <v>3</v>
      </c>
      <c r="BL421" t="s">
        <v>132</v>
      </c>
      <c r="BM421" t="s">
        <v>1</v>
      </c>
      <c r="BN421">
        <f>Tabla1[[#This Row],[precio del paquete]]</f>
        <v>14800</v>
      </c>
      <c r="BO421" t="s">
        <v>1</v>
      </c>
      <c r="BP421" t="s">
        <v>1</v>
      </c>
      <c r="BQ421" t="s">
        <v>1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0</v>
      </c>
      <c r="BX421" t="s">
        <v>1</v>
      </c>
      <c r="BY421" t="s">
        <v>1</v>
      </c>
      <c r="BZ421" t="s">
        <v>1</v>
      </c>
      <c r="CA421" t="s">
        <v>1</v>
      </c>
      <c r="CB421" t="s">
        <v>3382</v>
      </c>
      <c r="CD421" t="str" cm="1">
        <f t="array" aca="1" ref="CD421" ca="1">eConcatenar(A421:CB421,"|")</f>
        <v>dVPHqSRwap3nex8F|CAR2021-2078|3|MEMORIAL|TABASCO|CARDENAS|CARDENAS|2021-05-25|14800|0|100|50|0|0|0|0|0|0|0|0|0|0|0||0|0|0|LOPEZ|PEREZ|MARTHA|SOLTERO|X|X|CALLE DEL CENTRO DE SALUD|RANCHERIA CALZADA SEGUNDA SECCION|X|9371090516|X|X|X|CALLE DEL CENTRO DE SALUD|X|LUNES|x|x|x|x|x|DOMICILIO |2900|11900|X|X|X|2022-02-10|2022-02-17|x|x|x|x|x|RJC990KJLQSW15E|x|HOMBRE|X|14800|X|X|X|X|X|X|X|X|CARDENAS|X|X|X|X|FINAL</v>
      </c>
    </row>
    <row r="422" spans="1:82" x14ac:dyDescent="0.25">
      <c r="A422" t="s">
        <v>951</v>
      </c>
      <c r="B422" t="s">
        <v>952</v>
      </c>
      <c r="C422">
        <v>3</v>
      </c>
      <c r="D422" t="s">
        <v>1369</v>
      </c>
      <c r="E422" t="s">
        <v>1380</v>
      </c>
      <c r="F422" t="s">
        <v>0</v>
      </c>
      <c r="G422" t="s">
        <v>0</v>
      </c>
      <c r="H422" t="s">
        <v>1580</v>
      </c>
      <c r="I422">
        <v>14800</v>
      </c>
      <c r="J422">
        <v>0</v>
      </c>
      <c r="K422">
        <v>300</v>
      </c>
      <c r="L422">
        <v>50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Y422">
        <v>0</v>
      </c>
      <c r="Z422">
        <v>0</v>
      </c>
      <c r="AA422">
        <v>0</v>
      </c>
      <c r="AB422" t="s">
        <v>1748</v>
      </c>
      <c r="AC422" t="s">
        <v>2024</v>
      </c>
      <c r="AD422" t="s">
        <v>2234</v>
      </c>
      <c r="AE422" t="s">
        <v>4</v>
      </c>
      <c r="AF422" t="s">
        <v>1</v>
      </c>
      <c r="AG422" t="s">
        <v>1</v>
      </c>
      <c r="AH422" t="s">
        <v>2797</v>
      </c>
      <c r="AI422" t="s">
        <v>3166</v>
      </c>
      <c r="AJ422" t="s">
        <v>1</v>
      </c>
      <c r="AK422">
        <v>9371255832</v>
      </c>
      <c r="AL422" t="s">
        <v>1</v>
      </c>
      <c r="AM422" t="s">
        <v>1</v>
      </c>
      <c r="AN422" t="s">
        <v>1</v>
      </c>
      <c r="AO422" t="s">
        <v>2797</v>
      </c>
      <c r="AP422" t="s">
        <v>1</v>
      </c>
      <c r="AQ422" t="s">
        <v>2</v>
      </c>
      <c r="AR422" t="s">
        <v>3</v>
      </c>
      <c r="AS422" t="s">
        <v>3</v>
      </c>
      <c r="AT422" t="s">
        <v>3</v>
      </c>
      <c r="AU422" t="s">
        <v>3</v>
      </c>
      <c r="AV422" t="s">
        <v>3</v>
      </c>
      <c r="AW422" t="s">
        <v>11</v>
      </c>
      <c r="AX422">
        <f>Tabla1[[#This Row],[precio del paquete]]-Tabla1[[#This Row],[Saldo_Deudor]]</f>
        <v>5125</v>
      </c>
      <c r="AY422">
        <v>9675</v>
      </c>
      <c r="AZ422" t="s">
        <v>1</v>
      </c>
      <c r="BA422" t="s">
        <v>1</v>
      </c>
      <c r="BB422" t="s">
        <v>1</v>
      </c>
      <c r="BC422" t="s">
        <v>1392</v>
      </c>
      <c r="BD422" t="s">
        <v>1394</v>
      </c>
      <c r="BE422" t="s">
        <v>3</v>
      </c>
      <c r="BF422" t="s">
        <v>3</v>
      </c>
      <c r="BG422" t="s">
        <v>3</v>
      </c>
      <c r="BH422" t="s">
        <v>3</v>
      </c>
      <c r="BI422" t="s">
        <v>3</v>
      </c>
      <c r="BJ422" t="s">
        <v>3381</v>
      </c>
      <c r="BK422" t="s">
        <v>3</v>
      </c>
      <c r="BL422" t="s">
        <v>132</v>
      </c>
      <c r="BM422" t="s">
        <v>1</v>
      </c>
      <c r="BN422">
        <f>Tabla1[[#This Row],[precio del paquete]]</f>
        <v>14800</v>
      </c>
      <c r="BO422" t="s">
        <v>1</v>
      </c>
      <c r="BP422" t="s">
        <v>1</v>
      </c>
      <c r="BQ422" t="s">
        <v>1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0</v>
      </c>
      <c r="BX422" t="s">
        <v>1</v>
      </c>
      <c r="BY422" t="s">
        <v>1</v>
      </c>
      <c r="BZ422" t="s">
        <v>1</v>
      </c>
      <c r="CA422" t="s">
        <v>1</v>
      </c>
      <c r="CB422" t="s">
        <v>3382</v>
      </c>
      <c r="CD422" t="str" cm="1">
        <f t="array" aca="1" ref="CD422" ca="1">eConcatenar(A422:CB422,"|")</f>
        <v>F0EGY8AA7uRQDl7r|CAR2021-2236|3|MEMORIAL|TABASCO|CARDENAS|CARDENAS|2021-06-01|14800|0|300|50|0|0|0|0|0|0|0|0|0|0|0||0|0|0|JIMENEZ|ZAPATA|CRISTINA|SOLTERO|X|X|CALLE JUARES SIN NUMERO|RANCHERIA CALZADA SEGUNDA SECCION|X|9371255832|X|X|X|CALLE JUARES SIN NUMERO|X|LUNES|x|x|x|x|x|DOMICILIO |5125|9675|X|X|X|2022-01-27|2022-02-03|x|x|x|x|x|RJC990KJLQSW15E|x|HOMBRE|X|14800|X|X|X|X|X|X|X|X|CARDENAS|X|X|X|X|FINAL</v>
      </c>
    </row>
    <row r="423" spans="1:82" x14ac:dyDescent="0.25">
      <c r="A423" t="s">
        <v>953</v>
      </c>
      <c r="B423" t="s">
        <v>954</v>
      </c>
      <c r="C423">
        <v>3</v>
      </c>
      <c r="D423" t="s">
        <v>1371</v>
      </c>
      <c r="E423" t="s">
        <v>1380</v>
      </c>
      <c r="F423" t="s">
        <v>0</v>
      </c>
      <c r="G423" t="s">
        <v>0</v>
      </c>
      <c r="H423" t="s">
        <v>1581</v>
      </c>
      <c r="I423">
        <v>12900</v>
      </c>
      <c r="J423">
        <v>0</v>
      </c>
      <c r="K423">
        <v>100</v>
      </c>
      <c r="L423">
        <v>50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Y423">
        <v>0</v>
      </c>
      <c r="Z423">
        <v>0</v>
      </c>
      <c r="AA423">
        <v>0</v>
      </c>
      <c r="AB423" t="s">
        <v>2235</v>
      </c>
      <c r="AC423" t="s">
        <v>2236</v>
      </c>
      <c r="AD423" t="s">
        <v>2175</v>
      </c>
      <c r="AE423" t="s">
        <v>4</v>
      </c>
      <c r="AF423" t="s">
        <v>1</v>
      </c>
      <c r="AG423" t="s">
        <v>1</v>
      </c>
      <c r="AH423" t="s">
        <v>2798</v>
      </c>
      <c r="AI423" t="s">
        <v>3136</v>
      </c>
      <c r="AJ423" t="s">
        <v>1</v>
      </c>
      <c r="AK423">
        <v>9371151177</v>
      </c>
      <c r="AL423" t="s">
        <v>1</v>
      </c>
      <c r="AM423" t="s">
        <v>1</v>
      </c>
      <c r="AN423" t="s">
        <v>1</v>
      </c>
      <c r="AO423" t="s">
        <v>2798</v>
      </c>
      <c r="AP423" t="s">
        <v>1</v>
      </c>
      <c r="AQ423" t="s">
        <v>2</v>
      </c>
      <c r="AR423" t="s">
        <v>3</v>
      </c>
      <c r="AS423" t="s">
        <v>3</v>
      </c>
      <c r="AT423" t="s">
        <v>3</v>
      </c>
      <c r="AU423" t="s">
        <v>3</v>
      </c>
      <c r="AV423" t="s">
        <v>3</v>
      </c>
      <c r="AW423" t="s">
        <v>11</v>
      </c>
      <c r="AX423">
        <f>Tabla1[[#This Row],[precio del paquete]]-Tabla1[[#This Row],[Saldo_Deudor]]</f>
        <v>8800</v>
      </c>
      <c r="AY423">
        <v>4100</v>
      </c>
      <c r="AZ423" t="s">
        <v>1</v>
      </c>
      <c r="BA423" t="s">
        <v>1</v>
      </c>
      <c r="BB423" t="s">
        <v>1</v>
      </c>
      <c r="BC423" t="s">
        <v>1400</v>
      </c>
      <c r="BD423" t="s">
        <v>3277</v>
      </c>
      <c r="BE423" t="s">
        <v>3</v>
      </c>
      <c r="BF423" t="s">
        <v>3</v>
      </c>
      <c r="BG423" t="s">
        <v>3</v>
      </c>
      <c r="BH423" t="s">
        <v>3</v>
      </c>
      <c r="BI423" t="s">
        <v>3</v>
      </c>
      <c r="BJ423" t="s">
        <v>3381</v>
      </c>
      <c r="BK423" t="s">
        <v>3</v>
      </c>
      <c r="BL423" t="s">
        <v>132</v>
      </c>
      <c r="BM423" t="s">
        <v>1</v>
      </c>
      <c r="BN423">
        <f>Tabla1[[#This Row],[precio del paquete]]</f>
        <v>12900</v>
      </c>
      <c r="BO423" t="s">
        <v>1</v>
      </c>
      <c r="BP423" t="s">
        <v>1</v>
      </c>
      <c r="BQ423" t="s">
        <v>1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0</v>
      </c>
      <c r="BX423" t="s">
        <v>1</v>
      </c>
      <c r="BY423" t="s">
        <v>1</v>
      </c>
      <c r="BZ423" t="s">
        <v>1</v>
      </c>
      <c r="CA423" t="s">
        <v>1</v>
      </c>
      <c r="CB423" t="s">
        <v>3382</v>
      </c>
      <c r="CD423" t="str" cm="1">
        <f t="array" aca="1" ref="CD423" ca="1">eConcatenar(A423:CB423,"|")</f>
        <v>7k6Z1EEvQyqIAEf1|CAR2019-0403|3|ECONOLINE|TABASCO|CARDENAS|CARDENAS|2019-02-09|12900|0|100|50|0|0|0|0|0|0|0|0|0|0|0||0|0|0|TORREZ|NOLASCO|MARTIN|SOLTERO|X|X|ENTRADA EL MANGO|RANCHERIA CALZADA PRIMERA SECCION|X|9371151177|X|X|X|ENTRADA EL MANGO|X|LUNES|x|x|x|x|x|DOMICILIO |8800|4100|X|X|X|2022-02-10|2022-02-17|x|x|x|x|x|RJC990KJLQSW15E|x|HOMBRE|X|12900|X|X|X|X|X|X|X|X|CARDENAS|X|X|X|X|FINAL</v>
      </c>
    </row>
    <row r="424" spans="1:82" x14ac:dyDescent="0.25">
      <c r="A424" t="s">
        <v>955</v>
      </c>
      <c r="B424" t="s">
        <v>956</v>
      </c>
      <c r="C424">
        <v>3</v>
      </c>
      <c r="D424" t="s">
        <v>1371</v>
      </c>
      <c r="E424" t="s">
        <v>1380</v>
      </c>
      <c r="F424" t="s">
        <v>0</v>
      </c>
      <c r="G424" t="s">
        <v>0</v>
      </c>
      <c r="H424" t="s">
        <v>1582</v>
      </c>
      <c r="I424">
        <v>12900</v>
      </c>
      <c r="J424">
        <v>0</v>
      </c>
      <c r="K424">
        <v>100</v>
      </c>
      <c r="L424">
        <v>50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Y424">
        <v>0</v>
      </c>
      <c r="Z424">
        <v>0</v>
      </c>
      <c r="AA424">
        <v>0</v>
      </c>
      <c r="AB424" t="s">
        <v>1695</v>
      </c>
      <c r="AC424" t="s">
        <v>2228</v>
      </c>
      <c r="AD424" t="s">
        <v>2237</v>
      </c>
      <c r="AE424" t="s">
        <v>4</v>
      </c>
      <c r="AF424" t="s">
        <v>1</v>
      </c>
      <c r="AG424" t="s">
        <v>1</v>
      </c>
      <c r="AH424" t="s">
        <v>2799</v>
      </c>
      <c r="AI424" t="s">
        <v>2787</v>
      </c>
      <c r="AJ424" t="s">
        <v>1</v>
      </c>
      <c r="AK424">
        <v>9371685501</v>
      </c>
      <c r="AL424" t="s">
        <v>1</v>
      </c>
      <c r="AM424" t="s">
        <v>1</v>
      </c>
      <c r="AN424" t="s">
        <v>1</v>
      </c>
      <c r="AO424" t="s">
        <v>2799</v>
      </c>
      <c r="AP424" t="s">
        <v>1</v>
      </c>
      <c r="AQ424" t="s">
        <v>2</v>
      </c>
      <c r="AR424" t="s">
        <v>3</v>
      </c>
      <c r="AS424" t="s">
        <v>3</v>
      </c>
      <c r="AT424" t="s">
        <v>3</v>
      </c>
      <c r="AU424" t="s">
        <v>3</v>
      </c>
      <c r="AV424" t="s">
        <v>3</v>
      </c>
      <c r="AW424" t="s">
        <v>11</v>
      </c>
      <c r="AX424">
        <f>Tabla1[[#This Row],[precio del paquete]]-Tabla1[[#This Row],[Saldo_Deudor]]</f>
        <v>7200</v>
      </c>
      <c r="AY424">
        <v>5700</v>
      </c>
      <c r="AZ424" t="s">
        <v>1</v>
      </c>
      <c r="BA424" t="s">
        <v>1</v>
      </c>
      <c r="BB424" t="s">
        <v>1</v>
      </c>
      <c r="BC424" t="s">
        <v>1400</v>
      </c>
      <c r="BD424" t="s">
        <v>3277</v>
      </c>
      <c r="BE424" t="s">
        <v>3</v>
      </c>
      <c r="BF424" t="s">
        <v>3</v>
      </c>
      <c r="BG424" t="s">
        <v>3</v>
      </c>
      <c r="BH424" t="s">
        <v>3</v>
      </c>
      <c r="BI424" t="s">
        <v>3</v>
      </c>
      <c r="BJ424" t="s">
        <v>3381</v>
      </c>
      <c r="BK424" t="s">
        <v>3</v>
      </c>
      <c r="BL424" t="s">
        <v>132</v>
      </c>
      <c r="BM424" t="s">
        <v>1</v>
      </c>
      <c r="BN424">
        <f>Tabla1[[#This Row],[precio del paquete]]</f>
        <v>12900</v>
      </c>
      <c r="BO424" t="s">
        <v>1</v>
      </c>
      <c r="BP424" t="s">
        <v>1</v>
      </c>
      <c r="BQ424" t="s">
        <v>1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0</v>
      </c>
      <c r="BX424" t="s">
        <v>1</v>
      </c>
      <c r="BY424" t="s">
        <v>1</v>
      </c>
      <c r="BZ424" t="s">
        <v>1</v>
      </c>
      <c r="CA424" t="s">
        <v>1</v>
      </c>
      <c r="CB424" t="s">
        <v>3382</v>
      </c>
      <c r="CD424" t="str" cm="1">
        <f t="array" aca="1" ref="CD424" ca="1">eConcatenar(A424:CB424,"|")</f>
        <v>3e5rWGyHoo2FveQO|CAR2019-1134|3|ECONOLINE|TABASCO|CARDENAS|CARDENAS|2019-05-09|12900|0|100|50|0|0|0|0|0|0|0|0|0|0|0||0|0|0|MORALES|ROMERO|LEYDI DAIANA|SOLTERO|X|X|FRENTE EL TALLER MECANICO|COLONIA NUEVO PROGRESO|X|9371685501|X|X|X|FRENTE EL TALLER MECANICO|X|LUNES|x|x|x|x|x|DOMICILIO |7200|5700|X|X|X|2022-02-10|2022-02-17|x|x|x|x|x|RJC990KJLQSW15E|x|HOMBRE|X|12900|X|X|X|X|X|X|X|X|CARDENAS|X|X|X|X|FINAL</v>
      </c>
    </row>
    <row r="425" spans="1:82" x14ac:dyDescent="0.25">
      <c r="A425" t="s">
        <v>957</v>
      </c>
      <c r="B425" t="s">
        <v>958</v>
      </c>
      <c r="C425">
        <v>3</v>
      </c>
      <c r="D425" t="s">
        <v>1372</v>
      </c>
      <c r="E425" t="s">
        <v>1380</v>
      </c>
      <c r="F425" t="s">
        <v>0</v>
      </c>
      <c r="G425" t="s">
        <v>0</v>
      </c>
      <c r="H425" t="s">
        <v>1583</v>
      </c>
      <c r="I425">
        <v>12900</v>
      </c>
      <c r="J425">
        <v>0</v>
      </c>
      <c r="K425">
        <v>300</v>
      </c>
      <c r="L425">
        <v>50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Y425">
        <v>0</v>
      </c>
      <c r="Z425">
        <v>0</v>
      </c>
      <c r="AA425">
        <v>0</v>
      </c>
      <c r="AB425" t="s">
        <v>2037</v>
      </c>
      <c r="AC425" t="s">
        <v>2238</v>
      </c>
      <c r="AD425" t="s">
        <v>2144</v>
      </c>
      <c r="AE425" t="s">
        <v>4</v>
      </c>
      <c r="AF425" t="s">
        <v>1</v>
      </c>
      <c r="AG425" t="s">
        <v>1</v>
      </c>
      <c r="AH425" t="s">
        <v>2800</v>
      </c>
      <c r="AI425" t="s">
        <v>2787</v>
      </c>
      <c r="AJ425" t="s">
        <v>1</v>
      </c>
      <c r="AK425">
        <v>9371661816</v>
      </c>
      <c r="AL425" t="s">
        <v>1</v>
      </c>
      <c r="AM425" t="s">
        <v>1</v>
      </c>
      <c r="AN425" t="s">
        <v>1</v>
      </c>
      <c r="AO425" t="s">
        <v>2800</v>
      </c>
      <c r="AP425" t="s">
        <v>1</v>
      </c>
      <c r="AQ425" t="s">
        <v>2</v>
      </c>
      <c r="AR425" t="s">
        <v>3</v>
      </c>
      <c r="AS425" t="s">
        <v>3</v>
      </c>
      <c r="AT425" t="s">
        <v>3</v>
      </c>
      <c r="AU425" t="s">
        <v>3</v>
      </c>
      <c r="AV425" t="s">
        <v>3</v>
      </c>
      <c r="AW425" t="s">
        <v>11</v>
      </c>
      <c r="AX425">
        <f>Tabla1[[#This Row],[precio del paquete]]-Tabla1[[#This Row],[Saldo_Deudor]]</f>
        <v>700</v>
      </c>
      <c r="AY425">
        <v>12200</v>
      </c>
      <c r="AZ425" t="s">
        <v>1</v>
      </c>
      <c r="BA425" t="s">
        <v>1</v>
      </c>
      <c r="BB425" t="s">
        <v>1</v>
      </c>
      <c r="BC425" t="s">
        <v>1401</v>
      </c>
      <c r="BD425" t="s">
        <v>1406</v>
      </c>
      <c r="BE425" t="s">
        <v>3</v>
      </c>
      <c r="BF425" t="s">
        <v>3</v>
      </c>
      <c r="BG425" t="s">
        <v>3</v>
      </c>
      <c r="BH425" t="s">
        <v>3</v>
      </c>
      <c r="BI425" t="s">
        <v>3</v>
      </c>
      <c r="BJ425" t="s">
        <v>3381</v>
      </c>
      <c r="BK425" t="s">
        <v>3</v>
      </c>
      <c r="BL425" t="s">
        <v>132</v>
      </c>
      <c r="BM425" t="s">
        <v>1</v>
      </c>
      <c r="BN425">
        <f>Tabla1[[#This Row],[precio del paquete]]</f>
        <v>12900</v>
      </c>
      <c r="BO425" t="s">
        <v>1</v>
      </c>
      <c r="BP425" t="s">
        <v>1</v>
      </c>
      <c r="BQ425" t="s">
        <v>1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0</v>
      </c>
      <c r="BX425" t="s">
        <v>1</v>
      </c>
      <c r="BY425" t="s">
        <v>1</v>
      </c>
      <c r="BZ425" t="s">
        <v>1</v>
      </c>
      <c r="CA425" t="s">
        <v>1</v>
      </c>
      <c r="CB425" t="s">
        <v>3382</v>
      </c>
      <c r="CD425" t="str" cm="1">
        <f t="array" aca="1" ref="CD425" ca="1">eConcatenar(A425:CB425,"|")</f>
        <v>csuv0DhUUVZK6OUk|CAR2021-7670|3|IMPERIAL DE LUJO|TABASCO|CARDENAS|CARDENAS|2021-12-27|12900|0|300|50|0|0|0|0|0|0|0|0|0|0|0||0|0|0|AREVALO|BARAHONA|JOSE MANUEL|SOLTERO|X|X|CERRADA JAIME NUNO SIN NUMERO|COLONIA NUEVO PROGRESO|X|9371661816|X|X|X|CERRADA JAIME NUNO SIN NUMERO|X|LUNES|x|x|x|x|x|DOMICILIO |700|12200|X|X|X|2022-02-09|2022-02-16|x|x|x|x|x|RJC990KJLQSW15E|x|HOMBRE|X|12900|X|X|X|X|X|X|X|X|CARDENAS|X|X|X|X|FINAL</v>
      </c>
    </row>
    <row r="426" spans="1:82" x14ac:dyDescent="0.25">
      <c r="A426" t="s">
        <v>959</v>
      </c>
      <c r="B426" t="s">
        <v>960</v>
      </c>
      <c r="C426">
        <v>3</v>
      </c>
      <c r="D426" t="s">
        <v>1372</v>
      </c>
      <c r="E426" t="s">
        <v>1380</v>
      </c>
      <c r="F426" t="s">
        <v>0</v>
      </c>
      <c r="G426" t="s">
        <v>0</v>
      </c>
      <c r="H426" t="s">
        <v>1584</v>
      </c>
      <c r="I426">
        <v>12900</v>
      </c>
      <c r="J426">
        <v>0</v>
      </c>
      <c r="K426">
        <v>100</v>
      </c>
      <c r="L426">
        <v>50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Y426">
        <v>0</v>
      </c>
      <c r="Z426">
        <v>0</v>
      </c>
      <c r="AA426">
        <v>0</v>
      </c>
      <c r="AB426" t="s">
        <v>2239</v>
      </c>
      <c r="AC426" t="s">
        <v>1903</v>
      </c>
      <c r="AD426" t="s">
        <v>2240</v>
      </c>
      <c r="AE426" t="s">
        <v>4</v>
      </c>
      <c r="AF426" t="s">
        <v>1</v>
      </c>
      <c r="AG426" t="s">
        <v>1</v>
      </c>
      <c r="AH426" t="s">
        <v>2801</v>
      </c>
      <c r="AI426" t="s">
        <v>3165</v>
      </c>
      <c r="AJ426" t="s">
        <v>1</v>
      </c>
      <c r="AK426" t="s">
        <v>1</v>
      </c>
      <c r="AL426" t="s">
        <v>1</v>
      </c>
      <c r="AM426" t="s">
        <v>1</v>
      </c>
      <c r="AN426" t="s">
        <v>1</v>
      </c>
      <c r="AO426" t="s">
        <v>2801</v>
      </c>
      <c r="AP426" t="s">
        <v>1</v>
      </c>
      <c r="AQ426" t="s">
        <v>2</v>
      </c>
      <c r="AR426" t="s">
        <v>3</v>
      </c>
      <c r="AS426" t="s">
        <v>3</v>
      </c>
      <c r="AT426" t="s">
        <v>3</v>
      </c>
      <c r="AU426" t="s">
        <v>3</v>
      </c>
      <c r="AV426" t="s">
        <v>3</v>
      </c>
      <c r="AW426" t="s">
        <v>11</v>
      </c>
      <c r="AX426">
        <f>Tabla1[[#This Row],[precio del paquete]]-Tabla1[[#This Row],[Saldo_Deudor]]</f>
        <v>8200</v>
      </c>
      <c r="AY426">
        <v>4700</v>
      </c>
      <c r="AZ426" t="s">
        <v>1</v>
      </c>
      <c r="BA426" t="s">
        <v>1</v>
      </c>
      <c r="BB426" t="s">
        <v>1</v>
      </c>
      <c r="BC426" t="s">
        <v>3282</v>
      </c>
      <c r="BD426" t="s">
        <v>3279</v>
      </c>
      <c r="BE426" t="s">
        <v>3</v>
      </c>
      <c r="BF426" t="s">
        <v>3</v>
      </c>
      <c r="BG426" t="s">
        <v>3</v>
      </c>
      <c r="BH426" t="s">
        <v>3</v>
      </c>
      <c r="BI426" t="s">
        <v>3</v>
      </c>
      <c r="BJ426" t="s">
        <v>3381</v>
      </c>
      <c r="BK426" t="s">
        <v>3</v>
      </c>
      <c r="BL426" t="s">
        <v>132</v>
      </c>
      <c r="BM426" t="s">
        <v>1</v>
      </c>
      <c r="BN426">
        <f>Tabla1[[#This Row],[precio del paquete]]</f>
        <v>12900</v>
      </c>
      <c r="BO426" t="s">
        <v>1</v>
      </c>
      <c r="BP426" t="s">
        <v>1</v>
      </c>
      <c r="BQ426" t="s">
        <v>1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0</v>
      </c>
      <c r="BX426" t="s">
        <v>1</v>
      </c>
      <c r="BY426" t="s">
        <v>1</v>
      </c>
      <c r="BZ426" t="s">
        <v>1</v>
      </c>
      <c r="CA426" t="s">
        <v>1</v>
      </c>
      <c r="CB426" t="s">
        <v>3382</v>
      </c>
      <c r="CD426" t="str" cm="1">
        <f t="array" aca="1" ref="CD426" ca="1">eConcatenar(A426:CB426,"|")</f>
        <v>uDFcnjlytWchxQWC|CAR2019-1342|3|IMPERIAL DE LUJO|TABASCO|CARDENAS|CARDENAS|2019-05-31|12900|0|100|50|0|0|0|0|0|0|0|0|0|0|0||0|0|0|PARIS|LUNA|MONICA DEL CARMEN|SOLTERO|X|X|CALLE JOSE MARTIN|COLONIA SANTA MARIA DE GUADALUPE|X|X|X|X|X|CALLE JOSE MARTIN|X|LUNES|x|x|x|x|x|DOMICILIO |8200|4700|X|X|X|2022-12-10|2022-12-17|x|x|x|x|x|RJC990KJLQSW15E|x|HOMBRE|X|12900|X|X|X|X|X|X|X|X|CARDENAS|X|X|X|X|FINAL</v>
      </c>
    </row>
    <row r="427" spans="1:82" x14ac:dyDescent="0.25">
      <c r="A427" t="s">
        <v>961</v>
      </c>
      <c r="B427" t="s">
        <v>962</v>
      </c>
      <c r="C427">
        <v>3</v>
      </c>
      <c r="D427" t="s">
        <v>1372</v>
      </c>
      <c r="E427" t="s">
        <v>1380</v>
      </c>
      <c r="F427" t="s">
        <v>0</v>
      </c>
      <c r="G427" t="s">
        <v>0</v>
      </c>
      <c r="H427" t="s">
        <v>1585</v>
      </c>
      <c r="I427">
        <v>12900</v>
      </c>
      <c r="J427">
        <v>0</v>
      </c>
      <c r="K427">
        <v>100</v>
      </c>
      <c r="L427">
        <v>50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Y427">
        <v>0</v>
      </c>
      <c r="Z427">
        <v>0</v>
      </c>
      <c r="AA427">
        <v>0</v>
      </c>
      <c r="AB427" t="s">
        <v>1818</v>
      </c>
      <c r="AC427" t="s">
        <v>2241</v>
      </c>
      <c r="AD427" t="s">
        <v>2242</v>
      </c>
      <c r="AE427" t="s">
        <v>4</v>
      </c>
      <c r="AF427" t="s">
        <v>1</v>
      </c>
      <c r="AG427" t="s">
        <v>1</v>
      </c>
      <c r="AH427" t="s">
        <v>2802</v>
      </c>
      <c r="AI427" t="s">
        <v>3167</v>
      </c>
      <c r="AJ427" t="s">
        <v>1</v>
      </c>
      <c r="AK427">
        <v>9371642001</v>
      </c>
      <c r="AL427" t="s">
        <v>1</v>
      </c>
      <c r="AM427" t="s">
        <v>1</v>
      </c>
      <c r="AN427" t="s">
        <v>1</v>
      </c>
      <c r="AO427" t="s">
        <v>2802</v>
      </c>
      <c r="AP427" t="s">
        <v>1</v>
      </c>
      <c r="AQ427" t="s">
        <v>2</v>
      </c>
      <c r="AR427" t="s">
        <v>3</v>
      </c>
      <c r="AS427" t="s">
        <v>3</v>
      </c>
      <c r="AT427" t="s">
        <v>3</v>
      </c>
      <c r="AU427" t="s">
        <v>3</v>
      </c>
      <c r="AV427" t="s">
        <v>3</v>
      </c>
      <c r="AW427" t="s">
        <v>11</v>
      </c>
      <c r="AX427">
        <f>Tabla1[[#This Row],[precio del paquete]]-Tabla1[[#This Row],[Saldo_Deudor]]</f>
        <v>10460</v>
      </c>
      <c r="AY427">
        <v>2440</v>
      </c>
      <c r="AZ427" t="s">
        <v>1</v>
      </c>
      <c r="BA427" t="s">
        <v>1</v>
      </c>
      <c r="BB427" t="s">
        <v>1</v>
      </c>
      <c r="BC427" t="s">
        <v>1406</v>
      </c>
      <c r="BD427" t="s">
        <v>3308</v>
      </c>
      <c r="BE427" t="s">
        <v>3</v>
      </c>
      <c r="BF427" t="s">
        <v>3</v>
      </c>
      <c r="BG427" t="s">
        <v>3</v>
      </c>
      <c r="BH427" t="s">
        <v>3</v>
      </c>
      <c r="BI427" t="s">
        <v>3</v>
      </c>
      <c r="BJ427" t="s">
        <v>3381</v>
      </c>
      <c r="BK427" t="s">
        <v>3</v>
      </c>
      <c r="BL427" t="s">
        <v>132</v>
      </c>
      <c r="BM427" t="s">
        <v>1</v>
      </c>
      <c r="BN427">
        <f>Tabla1[[#This Row],[precio del paquete]]</f>
        <v>12900</v>
      </c>
      <c r="BO427" t="s">
        <v>1</v>
      </c>
      <c r="BP427" t="s">
        <v>1</v>
      </c>
      <c r="BQ427" t="s">
        <v>1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0</v>
      </c>
      <c r="BX427" t="s">
        <v>1</v>
      </c>
      <c r="BY427" t="s">
        <v>1</v>
      </c>
      <c r="BZ427" t="s">
        <v>1</v>
      </c>
      <c r="CA427" t="s">
        <v>1</v>
      </c>
      <c r="CB427" t="s">
        <v>3382</v>
      </c>
      <c r="CD427" t="str" cm="1">
        <f t="array" aca="1" ref="CD427" ca="1">eConcatenar(A427:CB427,"|")</f>
        <v>eelLpjyATmlRUQQU|CAR2021-0613-1|3|IMPERIAL DE LUJO|TABASCO|CARDENAS|CARDENAS|2019-02-28|12900|0|100|50|0|0|0|0|0|0|0|0|0|0|0||0|0|0|CASTILLO|COFFIN|JOSEFINA|SOLTERO|X|X|CALLE MACIO GUTIERREZ|COLONIA LAZARO CARDENAS|X|9371642001|X|X|X|CALLE MACIO GUTIERREZ|X|LUNES|x|x|x|x|x|DOMICILIO |10460|2440|X|X|X|2022-02-16|2022-02-23|x|x|x|x|x|RJC990KJLQSW15E|x|HOMBRE|X|12900|X|X|X|X|X|X|X|X|CARDENAS|X|X|X|X|FINAL</v>
      </c>
    </row>
    <row r="428" spans="1:82" x14ac:dyDescent="0.25">
      <c r="A428" t="s">
        <v>963</v>
      </c>
      <c r="B428" t="s">
        <v>964</v>
      </c>
      <c r="C428">
        <v>3</v>
      </c>
      <c r="D428" t="s">
        <v>1372</v>
      </c>
      <c r="E428" t="s">
        <v>1380</v>
      </c>
      <c r="F428" t="s">
        <v>0</v>
      </c>
      <c r="G428" t="s">
        <v>0</v>
      </c>
      <c r="H428" t="s">
        <v>1586</v>
      </c>
      <c r="I428">
        <v>12900</v>
      </c>
      <c r="J428">
        <v>0</v>
      </c>
      <c r="K428">
        <v>100</v>
      </c>
      <c r="L428">
        <v>50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Y428">
        <v>0</v>
      </c>
      <c r="Z428">
        <v>0</v>
      </c>
      <c r="AA428">
        <v>0</v>
      </c>
      <c r="AB428" t="s">
        <v>1774</v>
      </c>
      <c r="AC428" t="s">
        <v>1843</v>
      </c>
      <c r="AD428" t="s">
        <v>2031</v>
      </c>
      <c r="AE428" t="s">
        <v>4</v>
      </c>
      <c r="AF428" t="s">
        <v>1</v>
      </c>
      <c r="AG428" t="s">
        <v>1</v>
      </c>
      <c r="AH428" t="s">
        <v>2803</v>
      </c>
      <c r="AI428" t="s">
        <v>2803</v>
      </c>
      <c r="AJ428" t="s">
        <v>1</v>
      </c>
      <c r="AK428" t="s">
        <v>1</v>
      </c>
      <c r="AL428" t="s">
        <v>1</v>
      </c>
      <c r="AM428" t="s">
        <v>1</v>
      </c>
      <c r="AN428" t="s">
        <v>1</v>
      </c>
      <c r="AO428" t="s">
        <v>2803</v>
      </c>
      <c r="AP428" t="s">
        <v>1</v>
      </c>
      <c r="AQ428" t="s">
        <v>2</v>
      </c>
      <c r="AR428" t="s">
        <v>3</v>
      </c>
      <c r="AS428" t="s">
        <v>3</v>
      </c>
      <c r="AT428" t="s">
        <v>3</v>
      </c>
      <c r="AU428" t="s">
        <v>3</v>
      </c>
      <c r="AV428" t="s">
        <v>3</v>
      </c>
      <c r="AW428" t="s">
        <v>11</v>
      </c>
      <c r="AX428">
        <f>Tabla1[[#This Row],[precio del paquete]]-Tabla1[[#This Row],[Saldo_Deudor]]</f>
        <v>12350</v>
      </c>
      <c r="AY428">
        <v>550</v>
      </c>
      <c r="AZ428" t="s">
        <v>1</v>
      </c>
      <c r="BA428" t="s">
        <v>1</v>
      </c>
      <c r="BB428" t="s">
        <v>1</v>
      </c>
      <c r="BC428" t="s">
        <v>1406</v>
      </c>
      <c r="BD428" t="s">
        <v>3308</v>
      </c>
      <c r="BE428" t="s">
        <v>3</v>
      </c>
      <c r="BF428" t="s">
        <v>3</v>
      </c>
      <c r="BG428" t="s">
        <v>3</v>
      </c>
      <c r="BH428" t="s">
        <v>3</v>
      </c>
      <c r="BI428" t="s">
        <v>3</v>
      </c>
      <c r="BJ428" t="s">
        <v>3381</v>
      </c>
      <c r="BK428" t="s">
        <v>3</v>
      </c>
      <c r="BL428" t="s">
        <v>132</v>
      </c>
      <c r="BM428" t="s">
        <v>1</v>
      </c>
      <c r="BN428">
        <f>Tabla1[[#This Row],[precio del paquete]]</f>
        <v>12900</v>
      </c>
      <c r="BO428" t="s">
        <v>1</v>
      </c>
      <c r="BP428" t="s">
        <v>1</v>
      </c>
      <c r="BQ428" t="s">
        <v>1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0</v>
      </c>
      <c r="BX428" t="s">
        <v>1</v>
      </c>
      <c r="BY428" t="s">
        <v>1</v>
      </c>
      <c r="BZ428" t="s">
        <v>1</v>
      </c>
      <c r="CA428" t="s">
        <v>1</v>
      </c>
      <c r="CB428" t="s">
        <v>3382</v>
      </c>
      <c r="CD428" t="str" cm="1">
        <f t="array" aca="1" ref="CD428" ca="1">eConcatenar(A428:CB428,"|")</f>
        <v>c1hXsaycBJCzZ2hG|CAR2019-4002|3|IMPERIAL DE LUJO|TABASCO|CARDENAS|CARDENAS|2019-03-05|12900|0|100|50|0|0|0|0|0|0|0|0|0|0|0||0|0|0|GONZALEZ|RAMON|MARIA DEL CARMEN|SOLTERO|X|X|COLONIA AGUA SOL|COLONIA AGUA SOL|X|X|X|X|X|COLONIA AGUA SOL|X|LUNES|x|x|x|x|x|DOMICILIO |12350|550|X|X|X|2022-02-16|2022-02-23|x|x|x|x|x|RJC990KJLQSW15E|x|HOMBRE|X|12900|X|X|X|X|X|X|X|X|CARDENAS|X|X|X|X|FINAL</v>
      </c>
    </row>
    <row r="429" spans="1:82" x14ac:dyDescent="0.25">
      <c r="A429" t="s">
        <v>965</v>
      </c>
      <c r="B429" t="s">
        <v>966</v>
      </c>
      <c r="C429">
        <v>3</v>
      </c>
      <c r="D429" t="s">
        <v>1372</v>
      </c>
      <c r="E429" t="s">
        <v>1380</v>
      </c>
      <c r="F429" t="s">
        <v>0</v>
      </c>
      <c r="G429" t="s">
        <v>0</v>
      </c>
      <c r="H429" t="s">
        <v>1578</v>
      </c>
      <c r="I429">
        <v>12900</v>
      </c>
      <c r="J429">
        <v>0</v>
      </c>
      <c r="K429">
        <v>100</v>
      </c>
      <c r="L429">
        <v>50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Y429">
        <v>0</v>
      </c>
      <c r="Z429">
        <v>0</v>
      </c>
      <c r="AA429">
        <v>0</v>
      </c>
      <c r="AB429" t="s">
        <v>1731</v>
      </c>
      <c r="AC429" t="s">
        <v>1</v>
      </c>
      <c r="AD429" t="s">
        <v>1989</v>
      </c>
      <c r="AE429" t="s">
        <v>4</v>
      </c>
      <c r="AF429" t="s">
        <v>1</v>
      </c>
      <c r="AG429" t="s">
        <v>1</v>
      </c>
      <c r="AH429" t="s">
        <v>2804</v>
      </c>
      <c r="AI429" t="s">
        <v>3166</v>
      </c>
      <c r="AJ429" t="s">
        <v>1</v>
      </c>
      <c r="AK429">
        <v>9375960807</v>
      </c>
      <c r="AL429" t="s">
        <v>1</v>
      </c>
      <c r="AM429" t="s">
        <v>1</v>
      </c>
      <c r="AN429" t="s">
        <v>1</v>
      </c>
      <c r="AO429" t="s">
        <v>2804</v>
      </c>
      <c r="AP429" t="s">
        <v>1</v>
      </c>
      <c r="AQ429" t="s">
        <v>2</v>
      </c>
      <c r="AR429" t="s">
        <v>3</v>
      </c>
      <c r="AS429" t="s">
        <v>3</v>
      </c>
      <c r="AT429" t="s">
        <v>3</v>
      </c>
      <c r="AU429" t="s">
        <v>3</v>
      </c>
      <c r="AV429" t="s">
        <v>3</v>
      </c>
      <c r="AW429" t="s">
        <v>11</v>
      </c>
      <c r="AX429">
        <f>Tabla1[[#This Row],[precio del paquete]]-Tabla1[[#This Row],[Saldo_Deudor]]</f>
        <v>8700</v>
      </c>
      <c r="AY429">
        <v>4200</v>
      </c>
      <c r="AZ429" t="s">
        <v>1</v>
      </c>
      <c r="BA429" t="s">
        <v>1</v>
      </c>
      <c r="BB429" t="s">
        <v>1</v>
      </c>
      <c r="BC429" t="s">
        <v>1406</v>
      </c>
      <c r="BD429" t="s">
        <v>3308</v>
      </c>
      <c r="BE429" t="s">
        <v>3</v>
      </c>
      <c r="BF429" t="s">
        <v>3</v>
      </c>
      <c r="BG429" t="s">
        <v>3</v>
      </c>
      <c r="BH429" t="s">
        <v>3</v>
      </c>
      <c r="BI429" t="s">
        <v>3</v>
      </c>
      <c r="BJ429" t="s">
        <v>3381</v>
      </c>
      <c r="BK429" t="s">
        <v>3</v>
      </c>
      <c r="BL429" t="s">
        <v>132</v>
      </c>
      <c r="BM429" t="s">
        <v>1</v>
      </c>
      <c r="BN429">
        <f>Tabla1[[#This Row],[precio del paquete]]</f>
        <v>12900</v>
      </c>
      <c r="BO429" t="s">
        <v>1</v>
      </c>
      <c r="BP429" t="s">
        <v>1</v>
      </c>
      <c r="BQ429" t="s">
        <v>1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0</v>
      </c>
      <c r="BX429" t="s">
        <v>1</v>
      </c>
      <c r="BY429" t="s">
        <v>1</v>
      </c>
      <c r="BZ429" t="s">
        <v>1</v>
      </c>
      <c r="CA429" t="s">
        <v>1</v>
      </c>
      <c r="CB429" t="s">
        <v>3382</v>
      </c>
      <c r="CD429" t="str" cm="1">
        <f t="array" aca="1" ref="CD429" ca="1">eConcatenar(A429:CB429,"|")</f>
        <v>WY0QoGzqAMofhIWY|CAR2020-0507|3|IMPERIAL DE LUJO|TABASCO|CARDENAS|CARDENAS|2020-03-06|12900|0|100|50|0|0|0|0|0|0|0|0|0|0|0||0|0|0|GARCIA|X|TRINIDAD|SOLTERO|X|X|CALZADA SEGUNDA SECCION|RANCHERIA CALZADA SEGUNDA SECCION|X|9375960807|X|X|X|CALZADA SEGUNDA SECCION|X|LUNES|x|x|x|x|x|DOMICILIO |8700|4200|X|X|X|2022-02-16|2022-02-23|x|x|x|x|x|RJC990KJLQSW15E|x|HOMBRE|X|12900|X|X|X|X|X|X|X|X|CARDENAS|X|X|X|X|FINAL</v>
      </c>
    </row>
    <row r="430" spans="1:82" x14ac:dyDescent="0.25">
      <c r="A430" t="s">
        <v>967</v>
      </c>
      <c r="B430" t="s">
        <v>968</v>
      </c>
      <c r="C430">
        <v>3</v>
      </c>
      <c r="D430" t="s">
        <v>1371</v>
      </c>
      <c r="E430" t="s">
        <v>1380</v>
      </c>
      <c r="F430" t="s">
        <v>0</v>
      </c>
      <c r="G430" t="s">
        <v>0</v>
      </c>
      <c r="H430" t="s">
        <v>1587</v>
      </c>
      <c r="I430">
        <v>12900</v>
      </c>
      <c r="J430">
        <v>0</v>
      </c>
      <c r="K430">
        <v>100</v>
      </c>
      <c r="L430">
        <v>50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Y430">
        <v>0</v>
      </c>
      <c r="Z430">
        <v>0</v>
      </c>
      <c r="AA430">
        <v>0</v>
      </c>
      <c r="AB430" t="s">
        <v>1698</v>
      </c>
      <c r="AC430" t="s">
        <v>1774</v>
      </c>
      <c r="AD430" t="s">
        <v>2243</v>
      </c>
      <c r="AE430" t="s">
        <v>4</v>
      </c>
      <c r="AF430" t="s">
        <v>1</v>
      </c>
      <c r="AG430" t="s">
        <v>1</v>
      </c>
      <c r="AH430" t="s">
        <v>2805</v>
      </c>
      <c r="AI430" t="s">
        <v>3136</v>
      </c>
      <c r="AJ430" t="s">
        <v>1</v>
      </c>
      <c r="AK430">
        <v>9371552491</v>
      </c>
      <c r="AL430" t="s">
        <v>1</v>
      </c>
      <c r="AM430" t="s">
        <v>1</v>
      </c>
      <c r="AN430" t="s">
        <v>1</v>
      </c>
      <c r="AO430" t="s">
        <v>2805</v>
      </c>
      <c r="AP430" t="s">
        <v>1</v>
      </c>
      <c r="AQ430" t="s">
        <v>2</v>
      </c>
      <c r="AR430" t="s">
        <v>3</v>
      </c>
      <c r="AS430" t="s">
        <v>3</v>
      </c>
      <c r="AT430" t="s">
        <v>3</v>
      </c>
      <c r="AU430" t="s">
        <v>3</v>
      </c>
      <c r="AV430" t="s">
        <v>3</v>
      </c>
      <c r="AW430" t="s">
        <v>11</v>
      </c>
      <c r="AX430">
        <f>Tabla1[[#This Row],[precio del paquete]]-Tabla1[[#This Row],[Saldo_Deudor]]</f>
        <v>10300</v>
      </c>
      <c r="AY430">
        <v>2600</v>
      </c>
      <c r="AZ430" t="s">
        <v>1</v>
      </c>
      <c r="BA430" t="s">
        <v>1</v>
      </c>
      <c r="BB430" t="s">
        <v>1</v>
      </c>
      <c r="BC430" t="s">
        <v>1406</v>
      </c>
      <c r="BD430" t="s">
        <v>3308</v>
      </c>
      <c r="BE430" t="s">
        <v>3</v>
      </c>
      <c r="BF430" t="s">
        <v>3</v>
      </c>
      <c r="BG430" t="s">
        <v>3</v>
      </c>
      <c r="BH430" t="s">
        <v>3</v>
      </c>
      <c r="BI430" t="s">
        <v>3</v>
      </c>
      <c r="BJ430" t="s">
        <v>3381</v>
      </c>
      <c r="BK430" t="s">
        <v>3</v>
      </c>
      <c r="BL430" t="s">
        <v>132</v>
      </c>
      <c r="BM430" t="s">
        <v>1</v>
      </c>
      <c r="BN430">
        <f>Tabla1[[#This Row],[precio del paquete]]</f>
        <v>12900</v>
      </c>
      <c r="BO430" t="s">
        <v>1</v>
      </c>
      <c r="BP430" t="s">
        <v>1</v>
      </c>
      <c r="BQ430" t="s">
        <v>1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0</v>
      </c>
      <c r="BX430" t="s">
        <v>1</v>
      </c>
      <c r="BY430" t="s">
        <v>1</v>
      </c>
      <c r="BZ430" t="s">
        <v>1</v>
      </c>
      <c r="CA430" t="s">
        <v>1</v>
      </c>
      <c r="CB430" t="s">
        <v>3382</v>
      </c>
      <c r="CD430" t="str" cm="1">
        <f t="array" aca="1" ref="CD430" ca="1">eConcatenar(A430:CB430,"|")</f>
        <v>4074vsg38iPJfx3F|CAR2019-3736|3|ECONOLINE|TABASCO|CARDENAS|CARDENAS|2019-12-13|12900|0|100|50|0|0|0|0|0|0|0|0|0|0|0||0|0|0|VAZQUEZ|GONZALEZ|ELSY|SOLTERO|X|X|CALZADA CERRADA MENDEZ|RANCHERIA CALZADA PRIMERA SECCION|X|9371552491|X|X|X|CALZADA CERRADA MENDEZ|X|LUNES|x|x|x|x|x|DOMICILIO |10300|2600|X|X|X|2022-02-16|2022-02-23|x|x|x|x|x|RJC990KJLQSW15E|x|HOMBRE|X|12900|X|X|X|X|X|X|X|X|CARDENAS|X|X|X|X|FINAL</v>
      </c>
    </row>
    <row r="431" spans="1:82" x14ac:dyDescent="0.25">
      <c r="A431" t="s">
        <v>969</v>
      </c>
      <c r="B431" t="s">
        <v>970</v>
      </c>
      <c r="C431">
        <v>3</v>
      </c>
      <c r="D431" t="s">
        <v>1369</v>
      </c>
      <c r="E431" t="s">
        <v>1380</v>
      </c>
      <c r="F431" t="s">
        <v>0</v>
      </c>
      <c r="G431" t="s">
        <v>0</v>
      </c>
      <c r="H431" t="s">
        <v>1588</v>
      </c>
      <c r="I431">
        <v>14800</v>
      </c>
      <c r="J431">
        <v>0</v>
      </c>
      <c r="K431">
        <v>100</v>
      </c>
      <c r="L431">
        <v>50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Y431">
        <v>0</v>
      </c>
      <c r="Z431">
        <v>0</v>
      </c>
      <c r="AA431">
        <v>0</v>
      </c>
      <c r="AB431" t="s">
        <v>2244</v>
      </c>
      <c r="AC431" t="s">
        <v>2245</v>
      </c>
      <c r="AD431" t="s">
        <v>2246</v>
      </c>
      <c r="AE431" t="s">
        <v>4</v>
      </c>
      <c r="AF431" t="s">
        <v>1</v>
      </c>
      <c r="AG431" t="s">
        <v>1</v>
      </c>
      <c r="AH431" t="s">
        <v>2806</v>
      </c>
      <c r="AI431" t="s">
        <v>3135</v>
      </c>
      <c r="AJ431" t="s">
        <v>1</v>
      </c>
      <c r="AK431">
        <v>9373784243</v>
      </c>
      <c r="AL431" t="s">
        <v>1</v>
      </c>
      <c r="AM431" t="s">
        <v>1</v>
      </c>
      <c r="AN431" t="s">
        <v>1</v>
      </c>
      <c r="AO431" t="s">
        <v>2806</v>
      </c>
      <c r="AP431" t="s">
        <v>1</v>
      </c>
      <c r="AQ431" t="s">
        <v>2</v>
      </c>
      <c r="AR431" t="s">
        <v>3</v>
      </c>
      <c r="AS431" t="s">
        <v>3</v>
      </c>
      <c r="AT431" t="s">
        <v>3</v>
      </c>
      <c r="AU431" t="s">
        <v>3</v>
      </c>
      <c r="AV431" t="s">
        <v>3</v>
      </c>
      <c r="AW431" t="s">
        <v>11</v>
      </c>
      <c r="AX431">
        <f>Tabla1[[#This Row],[precio del paquete]]-Tabla1[[#This Row],[Saldo_Deudor]]</f>
        <v>1000</v>
      </c>
      <c r="AY431">
        <v>13800</v>
      </c>
      <c r="AZ431" t="s">
        <v>1</v>
      </c>
      <c r="BA431" t="s">
        <v>1</v>
      </c>
      <c r="BB431" t="s">
        <v>1</v>
      </c>
      <c r="BC431" t="s">
        <v>1401</v>
      </c>
      <c r="BD431" t="s">
        <v>1406</v>
      </c>
      <c r="BE431" t="s">
        <v>3</v>
      </c>
      <c r="BF431" t="s">
        <v>3</v>
      </c>
      <c r="BG431" t="s">
        <v>3</v>
      </c>
      <c r="BH431" t="s">
        <v>3</v>
      </c>
      <c r="BI431" t="s">
        <v>3</v>
      </c>
      <c r="BJ431" t="s">
        <v>3381</v>
      </c>
      <c r="BK431" t="s">
        <v>3</v>
      </c>
      <c r="BL431" t="s">
        <v>132</v>
      </c>
      <c r="BM431" t="s">
        <v>1</v>
      </c>
      <c r="BN431">
        <f>Tabla1[[#This Row],[precio del paquete]]</f>
        <v>14800</v>
      </c>
      <c r="BO431" t="s">
        <v>1</v>
      </c>
      <c r="BP431" t="s">
        <v>1</v>
      </c>
      <c r="BQ431" t="s">
        <v>1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0</v>
      </c>
      <c r="BX431" t="s">
        <v>1</v>
      </c>
      <c r="BY431" t="s">
        <v>1</v>
      </c>
      <c r="BZ431" t="s">
        <v>1</v>
      </c>
      <c r="CA431" t="s">
        <v>1</v>
      </c>
      <c r="CB431" t="s">
        <v>3382</v>
      </c>
      <c r="CD431" t="str" cm="1">
        <f t="array" aca="1" ref="CD431" ca="1">eConcatenar(A431:CB431,"|")</f>
        <v>ipZqBtj4CDJZ51l2|CAR2021-6647|3|MEMORIAL|TABASCO|CARDENAS|CARDENAS|2021-11-04|14800|0|100|50|0|0|0|0|0|0|0|0|0|0|0||0|0|0|QUIROGA|MARCIAL|MATILDE|SOLTERO|X|X|CALLE LUIS DONALDO COLOSIO NUMERO 136|COLONIA MELCHOR OCAMPO|X|9373784243|X|X|X|CALLE LUIS DONALDO COLOSIO NUMERO 136|X|LUNES|x|x|x|x|x|DOMICILIO |1000|13800|X|X|X|2022-02-09|2022-02-16|x|x|x|x|x|RJC990KJLQSW15E|x|HOMBRE|X|14800|X|X|X|X|X|X|X|X|CARDENAS|X|X|X|X|FINAL</v>
      </c>
    </row>
    <row r="432" spans="1:82" x14ac:dyDescent="0.25">
      <c r="A432" t="s">
        <v>971</v>
      </c>
      <c r="B432" t="s">
        <v>972</v>
      </c>
      <c r="C432">
        <v>3</v>
      </c>
      <c r="D432" t="s">
        <v>1371</v>
      </c>
      <c r="E432" t="s">
        <v>1380</v>
      </c>
      <c r="F432" t="s">
        <v>0</v>
      </c>
      <c r="G432" t="s">
        <v>0</v>
      </c>
      <c r="H432" t="s">
        <v>1589</v>
      </c>
      <c r="I432">
        <v>12900</v>
      </c>
      <c r="J432">
        <v>0</v>
      </c>
      <c r="K432">
        <v>100</v>
      </c>
      <c r="L432">
        <v>50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Y432">
        <v>0</v>
      </c>
      <c r="Z432">
        <v>0</v>
      </c>
      <c r="AA432">
        <v>0</v>
      </c>
      <c r="AB432" t="s">
        <v>1793</v>
      </c>
      <c r="AC432" t="s">
        <v>1744</v>
      </c>
      <c r="AD432" t="s">
        <v>2247</v>
      </c>
      <c r="AE432" t="s">
        <v>4</v>
      </c>
      <c r="AF432" t="s">
        <v>1</v>
      </c>
      <c r="AG432" t="s">
        <v>1</v>
      </c>
      <c r="AH432" t="s">
        <v>2807</v>
      </c>
      <c r="AI432" t="s">
        <v>3135</v>
      </c>
      <c r="AJ432" t="s">
        <v>1</v>
      </c>
      <c r="AK432" t="s">
        <v>1</v>
      </c>
      <c r="AL432" t="s">
        <v>1</v>
      </c>
      <c r="AM432" t="s">
        <v>1</v>
      </c>
      <c r="AN432" t="s">
        <v>1</v>
      </c>
      <c r="AO432" t="s">
        <v>2807</v>
      </c>
      <c r="AP432" t="s">
        <v>1</v>
      </c>
      <c r="AQ432" t="s">
        <v>2</v>
      </c>
      <c r="AR432" t="s">
        <v>3</v>
      </c>
      <c r="AS432" t="s">
        <v>3</v>
      </c>
      <c r="AT432" t="s">
        <v>3</v>
      </c>
      <c r="AU432" t="s">
        <v>3</v>
      </c>
      <c r="AV432" t="s">
        <v>3</v>
      </c>
      <c r="AW432" t="s">
        <v>11</v>
      </c>
      <c r="AX432">
        <f>Tabla1[[#This Row],[precio del paquete]]-Tabla1[[#This Row],[Saldo_Deudor]]</f>
        <v>12800</v>
      </c>
      <c r="AY432">
        <v>100</v>
      </c>
      <c r="AZ432" t="s">
        <v>1</v>
      </c>
      <c r="BA432" t="s">
        <v>1</v>
      </c>
      <c r="BB432" t="s">
        <v>1</v>
      </c>
      <c r="BC432" t="s">
        <v>3283</v>
      </c>
      <c r="BD432" t="s">
        <v>3281</v>
      </c>
      <c r="BE432" t="s">
        <v>3</v>
      </c>
      <c r="BF432" t="s">
        <v>3</v>
      </c>
      <c r="BG432" t="s">
        <v>3</v>
      </c>
      <c r="BH432" t="s">
        <v>3</v>
      </c>
      <c r="BI432" t="s">
        <v>3</v>
      </c>
      <c r="BJ432" t="s">
        <v>3381</v>
      </c>
      <c r="BK432" t="s">
        <v>3</v>
      </c>
      <c r="BL432" t="s">
        <v>132</v>
      </c>
      <c r="BM432" t="s">
        <v>1</v>
      </c>
      <c r="BN432">
        <f>Tabla1[[#This Row],[precio del paquete]]</f>
        <v>12900</v>
      </c>
      <c r="BO432" t="s">
        <v>1</v>
      </c>
      <c r="BP432" t="s">
        <v>1</v>
      </c>
      <c r="BQ432" t="s">
        <v>1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0</v>
      </c>
      <c r="BX432" t="s">
        <v>1</v>
      </c>
      <c r="BY432" t="s">
        <v>1</v>
      </c>
      <c r="BZ432" t="s">
        <v>1</v>
      </c>
      <c r="CA432" t="s">
        <v>1</v>
      </c>
      <c r="CB432" t="s">
        <v>3382</v>
      </c>
      <c r="CD432" t="str" cm="1">
        <f t="array" aca="1" ref="CD432" ca="1">eConcatenar(A432:CB432,"|")</f>
        <v>1eSR7QSUIxdFVH8x|CAR2019-1246|3|ECONOLINE|TABASCO|CARDENAS|CARDENAS|2019-05-22|12900|0|100|50|0|0|0|0|0|0|0|0|0|0|0||0|0|0|SOLIS|PEREZ|ITENRRI ARMIN|SOLTERO|X|X|FRENTE DE LA BASCULA|COLONIA MELCHOR OCAMPO|X|X|X|X|X|FRENTE DE LA BASCULA|X|LUNES|x|x|x|x|x|DOMICILIO |12800|100|X|X|X|2022-01-19|2022-01-26|x|x|x|x|x|RJC990KJLQSW15E|x|HOMBRE|X|12900|X|X|X|X|X|X|X|X|CARDENAS|X|X|X|X|FINAL</v>
      </c>
    </row>
    <row r="433" spans="1:82" x14ac:dyDescent="0.25">
      <c r="A433" t="s">
        <v>973</v>
      </c>
      <c r="B433" t="s">
        <v>974</v>
      </c>
      <c r="C433">
        <v>3</v>
      </c>
      <c r="D433" t="s">
        <v>1371</v>
      </c>
      <c r="E433" t="s">
        <v>1380</v>
      </c>
      <c r="F433" t="s">
        <v>0</v>
      </c>
      <c r="G433" t="s">
        <v>0</v>
      </c>
      <c r="H433" t="s">
        <v>1590</v>
      </c>
      <c r="I433">
        <v>12900</v>
      </c>
      <c r="J433">
        <v>0</v>
      </c>
      <c r="K433">
        <v>100</v>
      </c>
      <c r="L433">
        <v>50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Y433">
        <v>0</v>
      </c>
      <c r="Z433">
        <v>0</v>
      </c>
      <c r="AA433">
        <v>0</v>
      </c>
      <c r="AB433" t="s">
        <v>2235</v>
      </c>
      <c r="AC433" t="s">
        <v>1936</v>
      </c>
      <c r="AD433" t="s">
        <v>1992</v>
      </c>
      <c r="AE433" t="s">
        <v>4</v>
      </c>
      <c r="AF433" t="s">
        <v>1</v>
      </c>
      <c r="AG433" t="s">
        <v>1</v>
      </c>
      <c r="AH433" t="s">
        <v>2808</v>
      </c>
      <c r="AI433" t="s">
        <v>3084</v>
      </c>
      <c r="AJ433" t="s">
        <v>1</v>
      </c>
      <c r="AK433">
        <v>9371329590</v>
      </c>
      <c r="AL433" t="s">
        <v>1</v>
      </c>
      <c r="AM433" t="s">
        <v>1</v>
      </c>
      <c r="AN433" t="s">
        <v>1</v>
      </c>
      <c r="AO433" t="s">
        <v>2808</v>
      </c>
      <c r="AP433" t="s">
        <v>1</v>
      </c>
      <c r="AQ433" t="s">
        <v>2</v>
      </c>
      <c r="AR433" t="s">
        <v>3</v>
      </c>
      <c r="AS433" t="s">
        <v>3</v>
      </c>
      <c r="AT433" t="s">
        <v>3</v>
      </c>
      <c r="AU433" t="s">
        <v>3</v>
      </c>
      <c r="AV433" t="s">
        <v>3</v>
      </c>
      <c r="AW433" t="s">
        <v>11</v>
      </c>
      <c r="AX433">
        <f>Tabla1[[#This Row],[precio del paquete]]-Tabla1[[#This Row],[Saldo_Deudor]]</f>
        <v>10400</v>
      </c>
      <c r="AY433">
        <v>2500</v>
      </c>
      <c r="AZ433" t="s">
        <v>1</v>
      </c>
      <c r="BA433" t="s">
        <v>1</v>
      </c>
      <c r="BB433" t="s">
        <v>1</v>
      </c>
      <c r="BC433" t="s">
        <v>1401</v>
      </c>
      <c r="BD433" t="s">
        <v>1406</v>
      </c>
      <c r="BE433" t="s">
        <v>3</v>
      </c>
      <c r="BF433" t="s">
        <v>3</v>
      </c>
      <c r="BG433" t="s">
        <v>3</v>
      </c>
      <c r="BH433" t="s">
        <v>3</v>
      </c>
      <c r="BI433" t="s">
        <v>3</v>
      </c>
      <c r="BJ433" t="s">
        <v>3381</v>
      </c>
      <c r="BK433" t="s">
        <v>3</v>
      </c>
      <c r="BL433" t="s">
        <v>132</v>
      </c>
      <c r="BM433" t="s">
        <v>1</v>
      </c>
      <c r="BN433">
        <f>Tabla1[[#This Row],[precio del paquete]]</f>
        <v>12900</v>
      </c>
      <c r="BO433" t="s">
        <v>1</v>
      </c>
      <c r="BP433" t="s">
        <v>1</v>
      </c>
      <c r="BQ433" t="s">
        <v>1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0</v>
      </c>
      <c r="BX433" t="s">
        <v>1</v>
      </c>
      <c r="BY433" t="s">
        <v>1</v>
      </c>
      <c r="BZ433" t="s">
        <v>1</v>
      </c>
      <c r="CA433" t="s">
        <v>1</v>
      </c>
      <c r="CB433" t="s">
        <v>3382</v>
      </c>
      <c r="CD433" t="str" cm="1">
        <f t="array" aca="1" ref="CD433" ca="1">eConcatenar(A433:CB433,"|")</f>
        <v>gou4VrMpHErWk9Wa|CAR2019-0606|3|ECONOLINE|TABASCO|CARDENAS|CARDENAS|2019-02-19|12900|0|100|50|0|0|0|0|0|0|0|0|0|0|0||0|0|0|TORREZ|LEYVA|ESPERANZA|SOLTERO|X|X|ANDADOR NUMERO 10|COLONIA EL TOLOQUE|X|9371329590|X|X|X|ANDADOR NUMERO 10|X|LUNES|x|x|x|x|x|DOMICILIO |10400|2500|X|X|X|2022-02-09|2022-02-16|x|x|x|x|x|RJC990KJLQSW15E|x|HOMBRE|X|12900|X|X|X|X|X|X|X|X|CARDENAS|X|X|X|X|FINAL</v>
      </c>
    </row>
    <row r="434" spans="1:82" x14ac:dyDescent="0.25">
      <c r="A434" t="s">
        <v>975</v>
      </c>
      <c r="B434" t="s">
        <v>976</v>
      </c>
      <c r="C434">
        <v>3</v>
      </c>
      <c r="D434" t="s">
        <v>1371</v>
      </c>
      <c r="E434" t="s">
        <v>1380</v>
      </c>
      <c r="F434" t="s">
        <v>0</v>
      </c>
      <c r="G434" t="s">
        <v>0</v>
      </c>
      <c r="H434" t="s">
        <v>1591</v>
      </c>
      <c r="I434">
        <v>12900</v>
      </c>
      <c r="J434">
        <v>0</v>
      </c>
      <c r="K434">
        <v>100</v>
      </c>
      <c r="L434">
        <v>50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Y434">
        <v>0</v>
      </c>
      <c r="Z434">
        <v>0</v>
      </c>
      <c r="AA434">
        <v>0</v>
      </c>
      <c r="AB434" t="s">
        <v>1830</v>
      </c>
      <c r="AC434" t="s">
        <v>2248</v>
      </c>
      <c r="AD434" t="s">
        <v>2081</v>
      </c>
      <c r="AE434" t="s">
        <v>4</v>
      </c>
      <c r="AF434" t="s">
        <v>1</v>
      </c>
      <c r="AG434" t="s">
        <v>1</v>
      </c>
      <c r="AH434" t="s">
        <v>2809</v>
      </c>
      <c r="AI434" t="s">
        <v>3168</v>
      </c>
      <c r="AJ434" t="s">
        <v>1</v>
      </c>
      <c r="AK434" t="s">
        <v>1</v>
      </c>
      <c r="AL434" t="s">
        <v>1</v>
      </c>
      <c r="AM434" t="s">
        <v>1</v>
      </c>
      <c r="AN434" t="s">
        <v>1</v>
      </c>
      <c r="AO434" t="s">
        <v>2809</v>
      </c>
      <c r="AP434" t="s">
        <v>1</v>
      </c>
      <c r="AQ434" t="s">
        <v>2</v>
      </c>
      <c r="AR434" t="s">
        <v>3</v>
      </c>
      <c r="AS434" t="s">
        <v>3</v>
      </c>
      <c r="AT434" t="s">
        <v>3</v>
      </c>
      <c r="AU434" t="s">
        <v>3</v>
      </c>
      <c r="AV434" t="s">
        <v>3</v>
      </c>
      <c r="AW434" t="s">
        <v>11</v>
      </c>
      <c r="AX434">
        <f>Tabla1[[#This Row],[precio del paquete]]-Tabla1[[#This Row],[Saldo_Deudor]]</f>
        <v>12350</v>
      </c>
      <c r="AY434">
        <v>550</v>
      </c>
      <c r="AZ434" t="s">
        <v>1</v>
      </c>
      <c r="BA434" t="s">
        <v>1</v>
      </c>
      <c r="BB434" t="s">
        <v>1</v>
      </c>
      <c r="BC434" t="s">
        <v>3277</v>
      </c>
      <c r="BD434" t="s">
        <v>3327</v>
      </c>
      <c r="BE434" t="s">
        <v>3</v>
      </c>
      <c r="BF434" t="s">
        <v>3</v>
      </c>
      <c r="BG434" t="s">
        <v>3</v>
      </c>
      <c r="BH434" t="s">
        <v>3</v>
      </c>
      <c r="BI434" t="s">
        <v>3</v>
      </c>
      <c r="BJ434" t="s">
        <v>3362</v>
      </c>
      <c r="BK434" t="s">
        <v>3</v>
      </c>
      <c r="BL434" t="s">
        <v>132</v>
      </c>
      <c r="BM434" t="s">
        <v>1</v>
      </c>
      <c r="BN434">
        <f>Tabla1[[#This Row],[precio del paquete]]</f>
        <v>12900</v>
      </c>
      <c r="BO434" t="s">
        <v>1</v>
      </c>
      <c r="BP434" t="s">
        <v>1</v>
      </c>
      <c r="BQ434" t="s">
        <v>1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0</v>
      </c>
      <c r="BX434" t="s">
        <v>1</v>
      </c>
      <c r="BY434" t="s">
        <v>1</v>
      </c>
      <c r="BZ434" t="s">
        <v>1</v>
      </c>
      <c r="CA434" t="s">
        <v>1</v>
      </c>
      <c r="CB434" t="s">
        <v>3382</v>
      </c>
      <c r="CD434" t="str" cm="1">
        <f t="array" aca="1" ref="CD434" ca="1">eConcatenar(A434:CB434,"|")</f>
        <v>Lg1CT5mu0zX4kJ0r|CAR2018-2598|3|ECONOLINE|TABASCO|CARDENAS|CARDENAS|2018-11-20|12900|0|100|50|0|0|0|0|0|0|0|0|0|0|0||0|0|0|COLORADO|BUATISTA|AMALIA|SOLTERO|X|X|CALLE EDUVIGUES|COLONIA ROGER FALCONI|X|X|X|X|X|CALLE EDUVIGUES|X|LUNES|x|x|x|x|x|DOMICILIO |12350|550|X|X|X|2022-02-17|2022-02-24|x|x|x|x|x|QX002LYO9KVTQO|x|HOMBRE|X|12900|X|X|X|X|X|X|X|X|CARDENAS|X|X|X|X|FINAL</v>
      </c>
    </row>
    <row r="435" spans="1:82" x14ac:dyDescent="0.25">
      <c r="A435" t="s">
        <v>977</v>
      </c>
      <c r="B435" t="s">
        <v>978</v>
      </c>
      <c r="C435">
        <v>3</v>
      </c>
      <c r="D435" t="s">
        <v>1370</v>
      </c>
      <c r="E435" t="s">
        <v>1380</v>
      </c>
      <c r="F435" t="s">
        <v>0</v>
      </c>
      <c r="G435" t="s">
        <v>0</v>
      </c>
      <c r="H435" t="s">
        <v>1592</v>
      </c>
      <c r="I435">
        <v>35000</v>
      </c>
      <c r="J435">
        <v>0</v>
      </c>
      <c r="K435">
        <v>500</v>
      </c>
      <c r="L435">
        <v>50</v>
      </c>
      <c r="M435">
        <v>1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Y435">
        <v>0</v>
      </c>
      <c r="Z435">
        <v>0</v>
      </c>
      <c r="AA435">
        <v>0</v>
      </c>
      <c r="AB435" t="s">
        <v>1786</v>
      </c>
      <c r="AC435" t="s">
        <v>2249</v>
      </c>
      <c r="AD435" t="s">
        <v>2250</v>
      </c>
      <c r="AE435" t="s">
        <v>4</v>
      </c>
      <c r="AF435" t="s">
        <v>1</v>
      </c>
      <c r="AG435" t="s">
        <v>1</v>
      </c>
      <c r="AH435" t="s">
        <v>2465</v>
      </c>
      <c r="AI435" t="s">
        <v>3169</v>
      </c>
      <c r="AJ435" t="s">
        <v>1</v>
      </c>
      <c r="AK435">
        <v>9371684642</v>
      </c>
      <c r="AL435" t="s">
        <v>1</v>
      </c>
      <c r="AM435" t="s">
        <v>1</v>
      </c>
      <c r="AN435" t="s">
        <v>1</v>
      </c>
      <c r="AO435" t="s">
        <v>2465</v>
      </c>
      <c r="AP435" t="s">
        <v>1</v>
      </c>
      <c r="AQ435" t="s">
        <v>2</v>
      </c>
      <c r="AR435" t="s">
        <v>3</v>
      </c>
      <c r="AS435" t="s">
        <v>3</v>
      </c>
      <c r="AT435" t="s">
        <v>3</v>
      </c>
      <c r="AU435" t="s">
        <v>3</v>
      </c>
      <c r="AV435" t="s">
        <v>3</v>
      </c>
      <c r="AW435" t="s">
        <v>11</v>
      </c>
      <c r="AX435">
        <f>Tabla1[[#This Row],[precio del paquete]]-Tabla1[[#This Row],[Saldo_Deudor]]</f>
        <v>2100</v>
      </c>
      <c r="AY435">
        <v>32900</v>
      </c>
      <c r="AZ435" t="s">
        <v>1</v>
      </c>
      <c r="BA435" t="s">
        <v>1</v>
      </c>
      <c r="BB435" t="s">
        <v>1</v>
      </c>
      <c r="BC435" t="s">
        <v>3277</v>
      </c>
      <c r="BD435" t="s">
        <v>3327</v>
      </c>
      <c r="BE435" t="s">
        <v>3</v>
      </c>
      <c r="BF435" t="s">
        <v>3</v>
      </c>
      <c r="BG435" t="s">
        <v>3</v>
      </c>
      <c r="BH435" t="s">
        <v>3</v>
      </c>
      <c r="BI435" t="s">
        <v>3</v>
      </c>
      <c r="BJ435" t="s">
        <v>3362</v>
      </c>
      <c r="BK435" t="s">
        <v>3</v>
      </c>
      <c r="BL435" t="s">
        <v>132</v>
      </c>
      <c r="BM435" t="s">
        <v>1</v>
      </c>
      <c r="BN435">
        <f>Tabla1[[#This Row],[precio del paquete]]</f>
        <v>35000</v>
      </c>
      <c r="BO435" t="s">
        <v>1</v>
      </c>
      <c r="BP435" t="s">
        <v>1</v>
      </c>
      <c r="BQ435" t="s">
        <v>1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0</v>
      </c>
      <c r="BX435" t="s">
        <v>1</v>
      </c>
      <c r="BY435" t="s">
        <v>1</v>
      </c>
      <c r="BZ435" t="s">
        <v>1</v>
      </c>
      <c r="CA435" t="s">
        <v>1</v>
      </c>
      <c r="CB435" t="s">
        <v>3382</v>
      </c>
      <c r="CD435" t="str" cm="1">
        <f t="array" aca="1" ref="CD435" ca="1">eConcatenar(A435:CB435,"|")</f>
        <v>X97aE0BnrPfR3Vz0|CAR2021-7423|3|DELUX|TABASCO|CARDENAS|CARDENAS|2021-12-03|35000|0|500|50|1|0|0|0|0|0|0|0|0|0|0||0|0|0|MARTINEZ|MOLLINEDO|JOSE DEMERITO|SOLTERO|X|X|CARRETERA PRINCIPAL SIN NUMERO|RANCHERIA MIGUEL HIDALGO PRIMERA SECCION|X|9371684642|X|X|X|CARRETERA PRINCIPAL SIN NUMERO|X|LUNES|x|x|x|x|x|DOMICILIO |2100|32900|X|X|X|2022-02-17|2022-02-24|x|x|x|x|x|QX002LYO9KVTQO|x|HOMBRE|X|35000|X|X|X|X|X|X|X|X|CARDENAS|X|X|X|X|FINAL</v>
      </c>
    </row>
    <row r="436" spans="1:82" x14ac:dyDescent="0.25">
      <c r="A436" t="s">
        <v>979</v>
      </c>
      <c r="B436" t="s">
        <v>980</v>
      </c>
      <c r="C436">
        <v>3</v>
      </c>
      <c r="D436" t="s">
        <v>1369</v>
      </c>
      <c r="E436" t="s">
        <v>1380</v>
      </c>
      <c r="F436" t="s">
        <v>0</v>
      </c>
      <c r="G436" t="s">
        <v>0</v>
      </c>
      <c r="H436" t="s">
        <v>1593</v>
      </c>
      <c r="I436">
        <v>14800</v>
      </c>
      <c r="J436">
        <v>0</v>
      </c>
      <c r="K436">
        <v>200</v>
      </c>
      <c r="L436">
        <v>50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Y436">
        <v>0</v>
      </c>
      <c r="Z436">
        <v>0</v>
      </c>
      <c r="AA436">
        <v>0</v>
      </c>
      <c r="AB436" t="s">
        <v>1711</v>
      </c>
      <c r="AC436" t="s">
        <v>1756</v>
      </c>
      <c r="AD436" t="s">
        <v>2251</v>
      </c>
      <c r="AE436" t="s">
        <v>4</v>
      </c>
      <c r="AF436" t="s">
        <v>1</v>
      </c>
      <c r="AG436" t="s">
        <v>1</v>
      </c>
      <c r="AH436" t="s">
        <v>2810</v>
      </c>
      <c r="AI436" t="s">
        <v>3167</v>
      </c>
      <c r="AJ436" t="s">
        <v>1</v>
      </c>
      <c r="AK436">
        <v>9372727115</v>
      </c>
      <c r="AL436" t="s">
        <v>1</v>
      </c>
      <c r="AM436" t="s">
        <v>1</v>
      </c>
      <c r="AN436" t="s">
        <v>1</v>
      </c>
      <c r="AO436" t="s">
        <v>2810</v>
      </c>
      <c r="AP436" t="s">
        <v>1</v>
      </c>
      <c r="AQ436" t="s">
        <v>2</v>
      </c>
      <c r="AR436" t="s">
        <v>3</v>
      </c>
      <c r="AS436" t="s">
        <v>3</v>
      </c>
      <c r="AT436" t="s">
        <v>3</v>
      </c>
      <c r="AU436" t="s">
        <v>3</v>
      </c>
      <c r="AV436" t="s">
        <v>3</v>
      </c>
      <c r="AW436" t="s">
        <v>11</v>
      </c>
      <c r="AX436">
        <f>Tabla1[[#This Row],[precio del paquete]]-Tabla1[[#This Row],[Saldo_Deudor]]</f>
        <v>1000</v>
      </c>
      <c r="AY436">
        <v>13800</v>
      </c>
      <c r="AZ436" t="s">
        <v>1</v>
      </c>
      <c r="BA436" t="s">
        <v>1</v>
      </c>
      <c r="BB436" t="s">
        <v>1</v>
      </c>
      <c r="BC436" t="s">
        <v>3277</v>
      </c>
      <c r="BD436" t="s">
        <v>3327</v>
      </c>
      <c r="BE436" t="s">
        <v>3</v>
      </c>
      <c r="BF436" t="s">
        <v>3</v>
      </c>
      <c r="BG436" t="s">
        <v>3</v>
      </c>
      <c r="BH436" t="s">
        <v>3</v>
      </c>
      <c r="BI436" t="s">
        <v>3</v>
      </c>
      <c r="BJ436" t="s">
        <v>3362</v>
      </c>
      <c r="BK436" t="s">
        <v>3</v>
      </c>
      <c r="BL436" t="s">
        <v>132</v>
      </c>
      <c r="BM436" t="s">
        <v>1</v>
      </c>
      <c r="BN436">
        <f>Tabla1[[#This Row],[precio del paquete]]</f>
        <v>14800</v>
      </c>
      <c r="BO436" t="s">
        <v>1</v>
      </c>
      <c r="BP436" t="s">
        <v>1</v>
      </c>
      <c r="BQ436" t="s">
        <v>1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0</v>
      </c>
      <c r="BX436" t="s">
        <v>1</v>
      </c>
      <c r="BY436" t="s">
        <v>1</v>
      </c>
      <c r="BZ436" t="s">
        <v>1</v>
      </c>
      <c r="CA436" t="s">
        <v>1</v>
      </c>
      <c r="CB436" t="s">
        <v>3382</v>
      </c>
      <c r="CD436" t="str" cm="1">
        <f t="array" aca="1" ref="CD436" ca="1">eConcatenar(A436:CB436,"|")</f>
        <v>Tbzx4rRUwCUHzRIK|CAR2021-7044|3|MEMORIAL|TABASCO|CARDENAS|CARDENAS|2021-11-19|14800|0|200|50|1|0|0|0|0|0|0|0|0|0|0||0|0|0|HERNANDEZ|CEFERINO|CARLOS IVAN|SOLTERO|X|X|CALLE JOSEFA ORTIZ DE DOMINGUEZ|COLONIA LAZARO CARDENAS|X|9372727115|X|X|X|CALLE JOSEFA ORTIZ DE DOMINGUEZ|X|LUNES|x|x|x|x|x|DOMICILIO |1000|13800|X|X|X|2022-02-17|2022-02-24|x|x|x|x|x|QX002LYO9KVTQO|x|HOMBRE|X|14800|X|X|X|X|X|X|X|X|CARDENAS|X|X|X|X|FINAL</v>
      </c>
    </row>
    <row r="437" spans="1:82" x14ac:dyDescent="0.25">
      <c r="A437" t="s">
        <v>981</v>
      </c>
      <c r="B437" t="s">
        <v>982</v>
      </c>
      <c r="C437">
        <v>3</v>
      </c>
      <c r="D437" t="s">
        <v>1371</v>
      </c>
      <c r="E437" t="s">
        <v>1380</v>
      </c>
      <c r="F437" t="s">
        <v>0</v>
      </c>
      <c r="G437" t="s">
        <v>0</v>
      </c>
      <c r="H437" t="s">
        <v>1594</v>
      </c>
      <c r="I437">
        <v>12900</v>
      </c>
      <c r="J437">
        <v>0</v>
      </c>
      <c r="K437">
        <v>200</v>
      </c>
      <c r="L437">
        <v>50</v>
      </c>
      <c r="M437">
        <v>1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Y437">
        <v>0</v>
      </c>
      <c r="Z437">
        <v>0</v>
      </c>
      <c r="AA437">
        <v>0</v>
      </c>
      <c r="AB437" t="s">
        <v>1693</v>
      </c>
      <c r="AC437" t="s">
        <v>1711</v>
      </c>
      <c r="AD437" t="s">
        <v>2252</v>
      </c>
      <c r="AE437" t="s">
        <v>4</v>
      </c>
      <c r="AF437" t="s">
        <v>1</v>
      </c>
      <c r="AG437" t="s">
        <v>1</v>
      </c>
      <c r="AH437" t="s">
        <v>2811</v>
      </c>
      <c r="AI437" t="s">
        <v>3170</v>
      </c>
      <c r="AJ437" t="s">
        <v>1</v>
      </c>
      <c r="AK437">
        <v>9371064659</v>
      </c>
      <c r="AL437" t="s">
        <v>1</v>
      </c>
      <c r="AM437" t="s">
        <v>1</v>
      </c>
      <c r="AN437" t="s">
        <v>1</v>
      </c>
      <c r="AO437" t="s">
        <v>2811</v>
      </c>
      <c r="AP437" t="s">
        <v>1</v>
      </c>
      <c r="AQ437" t="s">
        <v>2</v>
      </c>
      <c r="AR437" t="s">
        <v>3</v>
      </c>
      <c r="AS437" t="s">
        <v>3</v>
      </c>
      <c r="AT437" t="s">
        <v>3</v>
      </c>
      <c r="AU437" t="s">
        <v>3</v>
      </c>
      <c r="AV437" t="s">
        <v>3</v>
      </c>
      <c r="AW437" t="s">
        <v>11</v>
      </c>
      <c r="AX437">
        <f>Tabla1[[#This Row],[precio del paquete]]-Tabla1[[#This Row],[Saldo_Deudor]]</f>
        <v>9200</v>
      </c>
      <c r="AY437">
        <v>3700</v>
      </c>
      <c r="AZ437" t="s">
        <v>1</v>
      </c>
      <c r="BA437" t="s">
        <v>1</v>
      </c>
      <c r="BB437" t="s">
        <v>1</v>
      </c>
      <c r="BC437" t="s">
        <v>3277</v>
      </c>
      <c r="BD437" t="s">
        <v>3327</v>
      </c>
      <c r="BE437" t="s">
        <v>3</v>
      </c>
      <c r="BF437" t="s">
        <v>3</v>
      </c>
      <c r="BG437" t="s">
        <v>3</v>
      </c>
      <c r="BH437" t="s">
        <v>3</v>
      </c>
      <c r="BI437" t="s">
        <v>3</v>
      </c>
      <c r="BJ437" t="s">
        <v>3362</v>
      </c>
      <c r="BK437" t="s">
        <v>3</v>
      </c>
      <c r="BL437" t="s">
        <v>132</v>
      </c>
      <c r="BM437" t="s">
        <v>1</v>
      </c>
      <c r="BN437">
        <f>Tabla1[[#This Row],[precio del paquete]]</f>
        <v>12900</v>
      </c>
      <c r="BO437" t="s">
        <v>1</v>
      </c>
      <c r="BP437" t="s">
        <v>1</v>
      </c>
      <c r="BQ437" t="s">
        <v>1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0</v>
      </c>
      <c r="BX437" t="s">
        <v>1</v>
      </c>
      <c r="BY437" t="s">
        <v>1</v>
      </c>
      <c r="BZ437" t="s">
        <v>1</v>
      </c>
      <c r="CA437" t="s">
        <v>1</v>
      </c>
      <c r="CB437" t="s">
        <v>3382</v>
      </c>
      <c r="CD437" t="str" cm="1">
        <f t="array" aca="1" ref="CD437" ca="1">eConcatenar(A437:CB437,"|")</f>
        <v>TV7GEwiiF9Ji98bk|CAR2020-1884|3|ECONOLINE|TABASCO|CARDENAS|CARDENAS|2020-07-27|12900|0|200|50|1|0|0|0|0|0|0|0|0|0|0||0|0|0|RODRIGUEZ|HERNANDEZ|MARIA TRINIDAD|SOLTERO|X|X|CALLE TRES MANZANA 4|FRACCIONAMIENTO POMOCA|X|9371064659|X|X|X|CALLE TRES MANZANA 4|X|LUNES|x|x|x|x|x|DOMICILIO |9200|3700|X|X|X|2022-02-17|2022-02-24|x|x|x|x|x|QX002LYO9KVTQO|x|HOMBRE|X|12900|X|X|X|X|X|X|X|X|CARDENAS|X|X|X|X|FINAL</v>
      </c>
    </row>
    <row r="438" spans="1:82" x14ac:dyDescent="0.25">
      <c r="A438" t="s">
        <v>983</v>
      </c>
      <c r="B438" t="s">
        <v>984</v>
      </c>
      <c r="C438">
        <v>3</v>
      </c>
      <c r="D438" t="s">
        <v>1369</v>
      </c>
      <c r="E438" t="s">
        <v>1380</v>
      </c>
      <c r="F438" t="s">
        <v>0</v>
      </c>
      <c r="G438" t="s">
        <v>0</v>
      </c>
      <c r="H438" t="s">
        <v>1595</v>
      </c>
      <c r="I438">
        <v>14800</v>
      </c>
      <c r="J438">
        <v>0</v>
      </c>
      <c r="K438">
        <v>50</v>
      </c>
      <c r="L438">
        <v>50</v>
      </c>
      <c r="M438">
        <v>1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Y438">
        <v>0</v>
      </c>
      <c r="Z438">
        <v>0</v>
      </c>
      <c r="AA438">
        <v>0</v>
      </c>
      <c r="AB438" t="s">
        <v>2253</v>
      </c>
      <c r="AC438" t="s">
        <v>2254</v>
      </c>
      <c r="AD438" t="s">
        <v>1991</v>
      </c>
      <c r="AE438" t="s">
        <v>4</v>
      </c>
      <c r="AF438" t="s">
        <v>1</v>
      </c>
      <c r="AG438" t="s">
        <v>1</v>
      </c>
      <c r="AH438" t="s">
        <v>2812</v>
      </c>
      <c r="AI438" t="s">
        <v>3171</v>
      </c>
      <c r="AJ438" t="s">
        <v>1</v>
      </c>
      <c r="AK438">
        <v>9371655404</v>
      </c>
      <c r="AL438" t="s">
        <v>1</v>
      </c>
      <c r="AM438" t="s">
        <v>1</v>
      </c>
      <c r="AN438" t="s">
        <v>1</v>
      </c>
      <c r="AO438" t="s">
        <v>2812</v>
      </c>
      <c r="AP438" t="s">
        <v>1</v>
      </c>
      <c r="AQ438" t="s">
        <v>2</v>
      </c>
      <c r="AR438" t="s">
        <v>3</v>
      </c>
      <c r="AS438" t="s">
        <v>3</v>
      </c>
      <c r="AT438" t="s">
        <v>3</v>
      </c>
      <c r="AU438" t="s">
        <v>3</v>
      </c>
      <c r="AV438" t="s">
        <v>3</v>
      </c>
      <c r="AW438" t="s">
        <v>11</v>
      </c>
      <c r="AX438">
        <f>Tabla1[[#This Row],[precio del paquete]]-Tabla1[[#This Row],[Saldo_Deudor]]</f>
        <v>1600</v>
      </c>
      <c r="AY438">
        <v>13200</v>
      </c>
      <c r="AZ438" t="s">
        <v>1</v>
      </c>
      <c r="BA438" t="s">
        <v>1</v>
      </c>
      <c r="BB438" t="s">
        <v>1</v>
      </c>
      <c r="BC438" t="s">
        <v>3277</v>
      </c>
      <c r="BD438" t="s">
        <v>3327</v>
      </c>
      <c r="BE438" t="s">
        <v>3</v>
      </c>
      <c r="BF438" t="s">
        <v>3</v>
      </c>
      <c r="BG438" t="s">
        <v>3</v>
      </c>
      <c r="BH438" t="s">
        <v>3</v>
      </c>
      <c r="BI438" t="s">
        <v>3</v>
      </c>
      <c r="BJ438" t="s">
        <v>3362</v>
      </c>
      <c r="BK438" t="s">
        <v>3</v>
      </c>
      <c r="BL438" t="s">
        <v>132</v>
      </c>
      <c r="BM438" t="s">
        <v>1</v>
      </c>
      <c r="BN438">
        <f>Tabla1[[#This Row],[precio del paquete]]</f>
        <v>14800</v>
      </c>
      <c r="BO438" t="s">
        <v>1</v>
      </c>
      <c r="BP438" t="s">
        <v>1</v>
      </c>
      <c r="BQ438" t="s">
        <v>1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0</v>
      </c>
      <c r="BX438" t="s">
        <v>1</v>
      </c>
      <c r="BY438" t="s">
        <v>1</v>
      </c>
      <c r="BZ438" t="s">
        <v>1</v>
      </c>
      <c r="CA438" t="s">
        <v>1</v>
      </c>
      <c r="CB438" t="s">
        <v>3382</v>
      </c>
      <c r="CD438" t="str" cm="1">
        <f t="array" aca="1" ref="CD438" ca="1">eConcatenar(A438:CB438,"|")</f>
        <v>rkDqWWhFCffghuhE|CAR2021-3659|3|MEMORIAL|TABASCO|CARDENAS|CARDENAS|2021-07-19|14800|0|50|50|1|0|0|0|0|0|0|0|0|0|0||0|0|0|VENEGAS|BURGOS|VERONICA|SOLTERO|X|X|CALLE ZAPOTAL EN LA FINCA TOBYCOL|RANCHERIA ZAPOTAL|X|9371655404|X|X|X|CALLE ZAPOTAL EN LA FINCA TOBYCOL|X|LUNES|x|x|x|x|x|DOMICILIO |1600|13200|X|X|X|2022-02-17|2022-02-24|x|x|x|x|x|QX002LYO9KVTQO|x|HOMBRE|X|14800|X|X|X|X|X|X|X|X|CARDENAS|X|X|X|X|FINAL</v>
      </c>
    </row>
    <row r="439" spans="1:82" x14ac:dyDescent="0.25">
      <c r="A439" t="s">
        <v>985</v>
      </c>
      <c r="B439" t="s">
        <v>986</v>
      </c>
      <c r="C439">
        <v>3</v>
      </c>
      <c r="D439" t="s">
        <v>1372</v>
      </c>
      <c r="E439" t="s">
        <v>1380</v>
      </c>
      <c r="F439" t="s">
        <v>0</v>
      </c>
      <c r="G439" t="s">
        <v>0</v>
      </c>
      <c r="H439" t="s">
        <v>1596</v>
      </c>
      <c r="I439">
        <v>12900</v>
      </c>
      <c r="J439">
        <v>0</v>
      </c>
      <c r="K439">
        <v>200</v>
      </c>
      <c r="L439">
        <v>50</v>
      </c>
      <c r="M439">
        <v>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Y439">
        <v>0</v>
      </c>
      <c r="Z439">
        <v>0</v>
      </c>
      <c r="AA439">
        <v>0</v>
      </c>
      <c r="AB439" t="s">
        <v>1812</v>
      </c>
      <c r="AC439" t="s">
        <v>2255</v>
      </c>
      <c r="AD439" t="s">
        <v>2256</v>
      </c>
      <c r="AE439" t="s">
        <v>4</v>
      </c>
      <c r="AF439" t="s">
        <v>1</v>
      </c>
      <c r="AG439" t="s">
        <v>1</v>
      </c>
      <c r="AH439" t="s">
        <v>2813</v>
      </c>
      <c r="AI439" t="s">
        <v>3074</v>
      </c>
      <c r="AJ439" t="s">
        <v>1</v>
      </c>
      <c r="AK439">
        <v>9373693555</v>
      </c>
      <c r="AL439" t="s">
        <v>1</v>
      </c>
      <c r="AM439" t="s">
        <v>1</v>
      </c>
      <c r="AN439" t="s">
        <v>1</v>
      </c>
      <c r="AO439" t="s">
        <v>2813</v>
      </c>
      <c r="AP439" t="s">
        <v>1</v>
      </c>
      <c r="AQ439" t="s">
        <v>2</v>
      </c>
      <c r="AR439" t="s">
        <v>3</v>
      </c>
      <c r="AS439" t="s">
        <v>3</v>
      </c>
      <c r="AT439" t="s">
        <v>3</v>
      </c>
      <c r="AU439" t="s">
        <v>3</v>
      </c>
      <c r="AV439" t="s">
        <v>3</v>
      </c>
      <c r="AW439" t="s">
        <v>11</v>
      </c>
      <c r="AX439">
        <f>Tabla1[[#This Row],[precio del paquete]]-Tabla1[[#This Row],[Saldo_Deudor]]</f>
        <v>8000</v>
      </c>
      <c r="AY439">
        <v>4900</v>
      </c>
      <c r="AZ439" t="s">
        <v>1</v>
      </c>
      <c r="BA439" t="s">
        <v>1</v>
      </c>
      <c r="BB439" t="s">
        <v>1</v>
      </c>
      <c r="BC439" t="s">
        <v>3277</v>
      </c>
      <c r="BD439" t="s">
        <v>3327</v>
      </c>
      <c r="BE439" t="s">
        <v>3</v>
      </c>
      <c r="BF439" t="s">
        <v>3</v>
      </c>
      <c r="BG439" t="s">
        <v>3</v>
      </c>
      <c r="BH439" t="s">
        <v>3</v>
      </c>
      <c r="BI439" t="s">
        <v>3</v>
      </c>
      <c r="BJ439" t="s">
        <v>3362</v>
      </c>
      <c r="BK439" t="s">
        <v>3</v>
      </c>
      <c r="BL439" t="s">
        <v>132</v>
      </c>
      <c r="BM439" t="s">
        <v>1</v>
      </c>
      <c r="BN439">
        <f>Tabla1[[#This Row],[precio del paquete]]</f>
        <v>12900</v>
      </c>
      <c r="BO439" t="s">
        <v>1</v>
      </c>
      <c r="BP439" t="s">
        <v>1</v>
      </c>
      <c r="BQ439" t="s">
        <v>1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0</v>
      </c>
      <c r="BX439" t="s">
        <v>1</v>
      </c>
      <c r="BY439" t="s">
        <v>1</v>
      </c>
      <c r="BZ439" t="s">
        <v>1</v>
      </c>
      <c r="CA439" t="s">
        <v>1</v>
      </c>
      <c r="CB439" t="s">
        <v>3382</v>
      </c>
      <c r="CD439" t="str" cm="1">
        <f t="array" aca="1" ref="CD439" ca="1">eConcatenar(A439:CB439,"|")</f>
        <v>6B507R2te6P06Xwf|CAR2020-2050|3|IMPERIAL DE LUJO|TABASCO|CARDENAS|CARDENAS|2020-07-31|12900|0|200|50|1|0|0|0|0|0|0|0|0|0|0||0|0|0|SANCHEZ|AQUINO|DEYSI|SOLTERO|X|X|ANTES DE LLEGAR A LA ENTRADA DE ZAPOTAL|RANCHERIA RIO SECO SEGUNDA SECCION|X|9373693555|X|X|X|ANTES DE LLEGAR A LA ENTRADA DE ZAPOTAL|X|LUNES|x|x|x|x|x|DOMICILIO |8000|4900|X|X|X|2022-02-17|2022-02-24|x|x|x|x|x|QX002LYO9KVTQO|x|HOMBRE|X|12900|X|X|X|X|X|X|X|X|CARDENAS|X|X|X|X|FINAL</v>
      </c>
    </row>
    <row r="440" spans="1:82" x14ac:dyDescent="0.25">
      <c r="A440" t="s">
        <v>987</v>
      </c>
      <c r="B440" t="s">
        <v>988</v>
      </c>
      <c r="C440">
        <v>3</v>
      </c>
      <c r="D440" t="s">
        <v>1372</v>
      </c>
      <c r="E440" t="s">
        <v>1380</v>
      </c>
      <c r="F440" t="s">
        <v>0</v>
      </c>
      <c r="G440" t="s">
        <v>0</v>
      </c>
      <c r="H440" t="s">
        <v>1597</v>
      </c>
      <c r="I440">
        <v>12900</v>
      </c>
      <c r="J440">
        <v>0</v>
      </c>
      <c r="K440">
        <v>200</v>
      </c>
      <c r="L440">
        <v>50</v>
      </c>
      <c r="M440">
        <v>1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Y440">
        <v>0</v>
      </c>
      <c r="Z440">
        <v>0</v>
      </c>
      <c r="AA440">
        <v>0</v>
      </c>
      <c r="AB440" t="s">
        <v>1786</v>
      </c>
      <c r="AC440" t="s">
        <v>1866</v>
      </c>
      <c r="AD440" t="s">
        <v>1738</v>
      </c>
      <c r="AE440" t="s">
        <v>4</v>
      </c>
      <c r="AF440" t="s">
        <v>1</v>
      </c>
      <c r="AG440" t="s">
        <v>1</v>
      </c>
      <c r="AH440" t="s">
        <v>2814</v>
      </c>
      <c r="AI440" t="s">
        <v>3172</v>
      </c>
      <c r="AJ440" t="s">
        <v>1</v>
      </c>
      <c r="AK440">
        <v>9371093871</v>
      </c>
      <c r="AL440" t="s">
        <v>1</v>
      </c>
      <c r="AM440" t="s">
        <v>1</v>
      </c>
      <c r="AN440" t="s">
        <v>1</v>
      </c>
      <c r="AO440" t="s">
        <v>2814</v>
      </c>
      <c r="AP440" t="s">
        <v>1</v>
      </c>
      <c r="AQ440" t="s">
        <v>2</v>
      </c>
      <c r="AR440" t="s">
        <v>3</v>
      </c>
      <c r="AS440" t="s">
        <v>3</v>
      </c>
      <c r="AT440" t="s">
        <v>3</v>
      </c>
      <c r="AU440" t="s">
        <v>3</v>
      </c>
      <c r="AV440" t="s">
        <v>3</v>
      </c>
      <c r="AW440" t="s">
        <v>11</v>
      </c>
      <c r="AX440">
        <f>Tabla1[[#This Row],[precio del paquete]]-Tabla1[[#This Row],[Saldo_Deudor]]</f>
        <v>1400</v>
      </c>
      <c r="AY440">
        <v>11500</v>
      </c>
      <c r="AZ440" t="s">
        <v>1</v>
      </c>
      <c r="BA440" t="s">
        <v>1</v>
      </c>
      <c r="BB440" t="s">
        <v>1</v>
      </c>
      <c r="BC440" t="s">
        <v>3277</v>
      </c>
      <c r="BD440" t="s">
        <v>3327</v>
      </c>
      <c r="BE440" t="s">
        <v>3</v>
      </c>
      <c r="BF440" t="s">
        <v>3</v>
      </c>
      <c r="BG440" t="s">
        <v>3</v>
      </c>
      <c r="BH440" t="s">
        <v>3</v>
      </c>
      <c r="BI440" t="s">
        <v>3</v>
      </c>
      <c r="BJ440" t="s">
        <v>3362</v>
      </c>
      <c r="BK440" t="s">
        <v>3</v>
      </c>
      <c r="BL440" t="s">
        <v>132</v>
      </c>
      <c r="BM440" t="s">
        <v>1</v>
      </c>
      <c r="BN440">
        <f>Tabla1[[#This Row],[precio del paquete]]</f>
        <v>12900</v>
      </c>
      <c r="BO440" t="s">
        <v>1</v>
      </c>
      <c r="BP440" t="s">
        <v>1</v>
      </c>
      <c r="BQ440" t="s">
        <v>1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0</v>
      </c>
      <c r="BX440" t="s">
        <v>1</v>
      </c>
      <c r="BY440" t="s">
        <v>1</v>
      </c>
      <c r="BZ440" t="s">
        <v>1</v>
      </c>
      <c r="CA440" t="s">
        <v>1</v>
      </c>
      <c r="CB440" t="s">
        <v>3382</v>
      </c>
      <c r="CD440" t="str" cm="1">
        <f t="array" aca="1" ref="CD440" ca="1">eConcatenar(A440:CB440,"|")</f>
        <v>8hAxkY3oMairDzfy|CAR2020-3652|3|IMPERIAL DE LUJO|TABASCO|CARDENAS|CARDENAS|2020-10-03|12900|0|200|50|1|0|0|0|0|0|0|0|0|0|0||0|0|0|MARTINEZ|BAUTISTA|GILBERTO|SOLTERO|X|X|CALLE NUMERO 8|AMPLIACION CAÑALES 111 ETAPA NORTE|X|9371093871|X|X|X|CALLE NUMERO 8|X|LUNES|x|x|x|x|x|DOMICILIO |1400|11500|X|X|X|2022-02-17|2022-02-24|x|x|x|x|x|QX002LYO9KVTQO|x|HOMBRE|X|12900|X|X|X|X|X|X|X|X|CARDENAS|X|X|X|X|FINAL</v>
      </c>
    </row>
    <row r="441" spans="1:82" x14ac:dyDescent="0.25">
      <c r="A441" t="s">
        <v>989</v>
      </c>
      <c r="B441" t="s">
        <v>990</v>
      </c>
      <c r="C441">
        <v>3</v>
      </c>
      <c r="D441" t="s">
        <v>1371</v>
      </c>
      <c r="E441" t="s">
        <v>1380</v>
      </c>
      <c r="F441" t="s">
        <v>0</v>
      </c>
      <c r="G441" t="s">
        <v>0</v>
      </c>
      <c r="H441" t="s">
        <v>1410</v>
      </c>
      <c r="I441">
        <v>12900</v>
      </c>
      <c r="J441">
        <v>0</v>
      </c>
      <c r="K441">
        <v>200</v>
      </c>
      <c r="L441">
        <v>50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Y441">
        <v>0</v>
      </c>
      <c r="Z441">
        <v>0</v>
      </c>
      <c r="AA441">
        <v>0</v>
      </c>
      <c r="AB441" t="s">
        <v>2257</v>
      </c>
      <c r="AC441" t="s">
        <v>2258</v>
      </c>
      <c r="AD441" t="s">
        <v>2259</v>
      </c>
      <c r="AE441" t="s">
        <v>4</v>
      </c>
      <c r="AF441" t="s">
        <v>1</v>
      </c>
      <c r="AG441" t="s">
        <v>1</v>
      </c>
      <c r="AH441" t="s">
        <v>2815</v>
      </c>
      <c r="AI441" t="s">
        <v>3164</v>
      </c>
      <c r="AJ441" t="s">
        <v>1</v>
      </c>
      <c r="AK441">
        <v>9371151212</v>
      </c>
      <c r="AL441" t="s">
        <v>1</v>
      </c>
      <c r="AM441" t="s">
        <v>1</v>
      </c>
      <c r="AN441" t="s">
        <v>1</v>
      </c>
      <c r="AO441" t="s">
        <v>2815</v>
      </c>
      <c r="AP441" t="s">
        <v>1</v>
      </c>
      <c r="AQ441" t="s">
        <v>2</v>
      </c>
      <c r="AR441" t="s">
        <v>3</v>
      </c>
      <c r="AS441" t="s">
        <v>3</v>
      </c>
      <c r="AT441" t="s">
        <v>3</v>
      </c>
      <c r="AU441" t="s">
        <v>3</v>
      </c>
      <c r="AV441" t="s">
        <v>3</v>
      </c>
      <c r="AW441" t="s">
        <v>11</v>
      </c>
      <c r="AX441">
        <f>Tabla1[[#This Row],[precio del paquete]]-Tabla1[[#This Row],[Saldo_Deudor]]</f>
        <v>5800</v>
      </c>
      <c r="AY441">
        <v>7100</v>
      </c>
      <c r="AZ441" t="s">
        <v>1</v>
      </c>
      <c r="BA441" t="s">
        <v>1</v>
      </c>
      <c r="BB441" t="s">
        <v>1</v>
      </c>
      <c r="BC441" t="s">
        <v>3277</v>
      </c>
      <c r="BD441" t="s">
        <v>3327</v>
      </c>
      <c r="BE441" t="s">
        <v>3</v>
      </c>
      <c r="BF441" t="s">
        <v>3</v>
      </c>
      <c r="BG441" t="s">
        <v>3</v>
      </c>
      <c r="BH441" t="s">
        <v>3</v>
      </c>
      <c r="BI441" t="s">
        <v>3</v>
      </c>
      <c r="BJ441" t="s">
        <v>3362</v>
      </c>
      <c r="BK441" t="s">
        <v>3</v>
      </c>
      <c r="BL441" t="s">
        <v>132</v>
      </c>
      <c r="BM441" t="s">
        <v>1</v>
      </c>
      <c r="BN441">
        <f>Tabla1[[#This Row],[precio del paquete]]</f>
        <v>12900</v>
      </c>
      <c r="BO441" t="s">
        <v>1</v>
      </c>
      <c r="BP441" t="s">
        <v>1</v>
      </c>
      <c r="BQ441" t="s">
        <v>1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0</v>
      </c>
      <c r="BX441" t="s">
        <v>1</v>
      </c>
      <c r="BY441" t="s">
        <v>1</v>
      </c>
      <c r="BZ441" t="s">
        <v>1</v>
      </c>
      <c r="CA441" t="s">
        <v>1</v>
      </c>
      <c r="CB441" t="s">
        <v>3382</v>
      </c>
      <c r="CD441" t="str" cm="1">
        <f t="array" aca="1" ref="CD441" ca="1">eConcatenar(A441:CB441,"|")</f>
        <v>5lVp1vthatVfznkN|CAR2020-2297|3|ECONOLINE|TABASCO|CARDENAS|CARDENAS|2020-08-12|12900|0|200|50|1|0|0|0|0|0|0|0|0|0|0||0|0|0|FUENTES|SAAVEDRA|CARMEN|SOLTERO|X|X|CALLE CANAHUA MANZANA 38 LOTE 8|FRACCIONAMIENTO CAÑALES SEGUNDA ETAPA|X|9371151212|X|X|X|CALLE CANAHUA MANZANA 38 LOTE 8|X|LUNES|x|x|x|x|x|DOMICILIO |5800|7100|X|X|X|2022-02-17|2022-02-24|x|x|x|x|x|QX002LYO9KVTQO|x|HOMBRE|X|12900|X|X|X|X|X|X|X|X|CARDENAS|X|X|X|X|FINAL</v>
      </c>
    </row>
    <row r="442" spans="1:82" x14ac:dyDescent="0.25">
      <c r="A442" t="s">
        <v>991</v>
      </c>
      <c r="B442" t="s">
        <v>992</v>
      </c>
      <c r="C442">
        <v>3</v>
      </c>
      <c r="D442" t="s">
        <v>1371</v>
      </c>
      <c r="E442" t="s">
        <v>1380</v>
      </c>
      <c r="F442" t="s">
        <v>0</v>
      </c>
      <c r="G442" t="s">
        <v>0</v>
      </c>
      <c r="H442" t="s">
        <v>1598</v>
      </c>
      <c r="I442">
        <v>12900</v>
      </c>
      <c r="J442">
        <v>0</v>
      </c>
      <c r="K442">
        <v>200</v>
      </c>
      <c r="L442">
        <v>50</v>
      </c>
      <c r="M442">
        <v>1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Y442">
        <v>0</v>
      </c>
      <c r="Z442">
        <v>0</v>
      </c>
      <c r="AA442">
        <v>0</v>
      </c>
      <c r="AB442" t="s">
        <v>2260</v>
      </c>
      <c r="AC442" t="s">
        <v>2261</v>
      </c>
      <c r="AD442" t="s">
        <v>2262</v>
      </c>
      <c r="AE442" t="s">
        <v>4</v>
      </c>
      <c r="AF442" t="s">
        <v>1</v>
      </c>
      <c r="AG442" t="s">
        <v>1</v>
      </c>
      <c r="AH442" t="s">
        <v>2816</v>
      </c>
      <c r="AI442" t="s">
        <v>3173</v>
      </c>
      <c r="AJ442" t="s">
        <v>1</v>
      </c>
      <c r="AK442">
        <v>9371682967</v>
      </c>
      <c r="AL442" t="s">
        <v>1</v>
      </c>
      <c r="AM442" t="s">
        <v>1</v>
      </c>
      <c r="AN442" t="s">
        <v>1</v>
      </c>
      <c r="AO442" t="s">
        <v>2816</v>
      </c>
      <c r="AP442" t="s">
        <v>1</v>
      </c>
      <c r="AQ442" t="s">
        <v>2</v>
      </c>
      <c r="AR442" t="s">
        <v>3</v>
      </c>
      <c r="AS442" t="s">
        <v>3</v>
      </c>
      <c r="AT442" t="s">
        <v>3</v>
      </c>
      <c r="AU442" t="s">
        <v>3</v>
      </c>
      <c r="AV442" t="s">
        <v>3</v>
      </c>
      <c r="AW442" t="s">
        <v>11</v>
      </c>
      <c r="AX442">
        <f>Tabla1[[#This Row],[precio del paquete]]-Tabla1[[#This Row],[Saldo_Deudor]]</f>
        <v>1800</v>
      </c>
      <c r="AY442">
        <v>11100</v>
      </c>
      <c r="AZ442" t="s">
        <v>1</v>
      </c>
      <c r="BA442" t="s">
        <v>1</v>
      </c>
      <c r="BB442" t="s">
        <v>1</v>
      </c>
      <c r="BC442" t="s">
        <v>3277</v>
      </c>
      <c r="BD442" t="s">
        <v>3327</v>
      </c>
      <c r="BE442" t="s">
        <v>3</v>
      </c>
      <c r="BF442" t="s">
        <v>3</v>
      </c>
      <c r="BG442" t="s">
        <v>3</v>
      </c>
      <c r="BH442" t="s">
        <v>3</v>
      </c>
      <c r="BI442" t="s">
        <v>3</v>
      </c>
      <c r="BJ442" t="s">
        <v>3362</v>
      </c>
      <c r="BK442" t="s">
        <v>3</v>
      </c>
      <c r="BL442" t="s">
        <v>132</v>
      </c>
      <c r="BM442" t="s">
        <v>1</v>
      </c>
      <c r="BN442">
        <f>Tabla1[[#This Row],[precio del paquete]]</f>
        <v>12900</v>
      </c>
      <c r="BO442" t="s">
        <v>1</v>
      </c>
      <c r="BP442" t="s">
        <v>1</v>
      </c>
      <c r="BQ442" t="s">
        <v>1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0</v>
      </c>
      <c r="BX442" t="s">
        <v>1</v>
      </c>
      <c r="BY442" t="s">
        <v>1</v>
      </c>
      <c r="BZ442" t="s">
        <v>1</v>
      </c>
      <c r="CA442" t="s">
        <v>1</v>
      </c>
      <c r="CB442" t="s">
        <v>3382</v>
      </c>
      <c r="CD442" t="str" cm="1">
        <f t="array" aca="1" ref="CD442" ca="1">eConcatenar(A442:CB442,"|")</f>
        <v>rROG5kidp6nEvCrO|CAR2019-3552|3|ECONOLINE|TABASCO|CARDENAS|CARDENAS|2019-11-26|12900|0|200|50|1|0|0|0|0|0|0|0|0|0|0||0|0|0|TORRUCO|INTERIANO|JOSE ENRIQUE|SOLTERO|X|X|CALLE DEL CBTIS|FRACCIONAMIENTO BAJIO PRIMERA SECCION|X|9371682967|X|X|X|CALLE DEL CBTIS|X|LUNES|x|x|x|x|x|DOMICILIO |1800|11100|X|X|X|2022-02-17|2022-02-24|x|x|x|x|x|QX002LYO9KVTQO|x|HOMBRE|X|12900|X|X|X|X|X|X|X|X|CARDENAS|X|X|X|X|FINAL</v>
      </c>
    </row>
    <row r="443" spans="1:82" x14ac:dyDescent="0.25">
      <c r="A443" t="s">
        <v>993</v>
      </c>
      <c r="B443" t="s">
        <v>994</v>
      </c>
      <c r="C443">
        <v>3</v>
      </c>
      <c r="D443" t="s">
        <v>1372</v>
      </c>
      <c r="E443" t="s">
        <v>1380</v>
      </c>
      <c r="F443" t="s">
        <v>0</v>
      </c>
      <c r="G443" t="s">
        <v>0</v>
      </c>
      <c r="H443" t="s">
        <v>1599</v>
      </c>
      <c r="I443">
        <v>12900</v>
      </c>
      <c r="J443">
        <v>0</v>
      </c>
      <c r="K443">
        <v>200</v>
      </c>
      <c r="L443">
        <v>50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Y443">
        <v>0</v>
      </c>
      <c r="Z443">
        <v>0</v>
      </c>
      <c r="AA443">
        <v>0</v>
      </c>
      <c r="AB443" t="s">
        <v>1790</v>
      </c>
      <c r="AC443" t="s">
        <v>2110</v>
      </c>
      <c r="AD443" t="s">
        <v>1889</v>
      </c>
      <c r="AE443" t="s">
        <v>4</v>
      </c>
      <c r="AF443" t="s">
        <v>1</v>
      </c>
      <c r="AG443" t="s">
        <v>1</v>
      </c>
      <c r="AH443" t="s">
        <v>2817</v>
      </c>
      <c r="AI443" t="s">
        <v>3086</v>
      </c>
      <c r="AJ443" t="s">
        <v>1</v>
      </c>
      <c r="AK443">
        <v>9373694929</v>
      </c>
      <c r="AL443" t="s">
        <v>1</v>
      </c>
      <c r="AM443" t="s">
        <v>1</v>
      </c>
      <c r="AN443" t="s">
        <v>1</v>
      </c>
      <c r="AO443" t="s">
        <v>2817</v>
      </c>
      <c r="AP443" t="s">
        <v>1</v>
      </c>
      <c r="AQ443" t="s">
        <v>2</v>
      </c>
      <c r="AR443" t="s">
        <v>3</v>
      </c>
      <c r="AS443" t="s">
        <v>3</v>
      </c>
      <c r="AT443" t="s">
        <v>3</v>
      </c>
      <c r="AU443" t="s">
        <v>3</v>
      </c>
      <c r="AV443" t="s">
        <v>3</v>
      </c>
      <c r="AW443" t="s">
        <v>11</v>
      </c>
      <c r="AX443">
        <f>Tabla1[[#This Row],[precio del paquete]]-Tabla1[[#This Row],[Saldo_Deudor]]</f>
        <v>8100</v>
      </c>
      <c r="AY443">
        <v>4800</v>
      </c>
      <c r="AZ443" t="s">
        <v>1</v>
      </c>
      <c r="BA443" t="s">
        <v>1</v>
      </c>
      <c r="BB443" t="s">
        <v>1</v>
      </c>
      <c r="BC443" t="s">
        <v>3277</v>
      </c>
      <c r="BD443" t="s">
        <v>3327</v>
      </c>
      <c r="BE443" t="s">
        <v>3</v>
      </c>
      <c r="BF443" t="s">
        <v>3</v>
      </c>
      <c r="BG443" t="s">
        <v>3</v>
      </c>
      <c r="BH443" t="s">
        <v>3</v>
      </c>
      <c r="BI443" t="s">
        <v>3</v>
      </c>
      <c r="BJ443" t="s">
        <v>3362</v>
      </c>
      <c r="BK443" t="s">
        <v>3</v>
      </c>
      <c r="BL443" t="s">
        <v>132</v>
      </c>
      <c r="BM443" t="s">
        <v>1</v>
      </c>
      <c r="BN443">
        <f>Tabla1[[#This Row],[precio del paquete]]</f>
        <v>12900</v>
      </c>
      <c r="BO443" t="s">
        <v>1</v>
      </c>
      <c r="BP443" t="s">
        <v>1</v>
      </c>
      <c r="BQ443" t="s">
        <v>1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0</v>
      </c>
      <c r="BX443" t="s">
        <v>1</v>
      </c>
      <c r="BY443" t="s">
        <v>1</v>
      </c>
      <c r="BZ443" t="s">
        <v>1</v>
      </c>
      <c r="CA443" t="s">
        <v>1</v>
      </c>
      <c r="CB443" t="s">
        <v>3382</v>
      </c>
      <c r="CD443" t="str" cm="1">
        <f t="array" aca="1" ref="CD443" ca="1">eConcatenar(A443:CB443,"|")</f>
        <v>7uY0XBMkUhBbmffc|CAR2020-0493|3|IMPERIAL DE LUJO|TABASCO|CARDENAS|CARDENAS|2020-02-17|12900|0|200|50|1|0|0|0|0|0|0|0|0|0|0||0|0|0|DOMINGUEZ|ULIN|SANTIAGO|SOLTERO|X|X|CALLE ANDRES SANCHEZ MAGALLANES NUMERO 121|COLONIA CARDENAS CENTRO|X|9373694929|X|X|X|CALLE ANDRES SANCHEZ MAGALLANES NUMERO 121|X|LUNES|x|x|x|x|x|DOMICILIO |8100|4800|X|X|X|2022-02-17|2022-02-24|x|x|x|x|x|QX002LYO9KVTQO|x|HOMBRE|X|12900|X|X|X|X|X|X|X|X|CARDENAS|X|X|X|X|FINAL</v>
      </c>
    </row>
    <row r="444" spans="1:82" x14ac:dyDescent="0.25">
      <c r="A444" t="s">
        <v>995</v>
      </c>
      <c r="B444" t="s">
        <v>996</v>
      </c>
      <c r="C444">
        <v>3</v>
      </c>
      <c r="D444" t="s">
        <v>1372</v>
      </c>
      <c r="E444" t="s">
        <v>1380</v>
      </c>
      <c r="F444" t="s">
        <v>0</v>
      </c>
      <c r="G444" t="s">
        <v>0</v>
      </c>
      <c r="H444" t="s">
        <v>1599</v>
      </c>
      <c r="I444">
        <v>12900</v>
      </c>
      <c r="J444">
        <v>0</v>
      </c>
      <c r="K444">
        <v>200</v>
      </c>
      <c r="L444">
        <v>50</v>
      </c>
      <c r="M444">
        <v>1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Y444">
        <v>0</v>
      </c>
      <c r="Z444">
        <v>0</v>
      </c>
      <c r="AA444">
        <v>0</v>
      </c>
      <c r="AB444" t="s">
        <v>1989</v>
      </c>
      <c r="AC444" t="s">
        <v>1847</v>
      </c>
      <c r="AD444" t="s">
        <v>2144</v>
      </c>
      <c r="AE444" t="s">
        <v>4</v>
      </c>
      <c r="AF444" t="s">
        <v>1</v>
      </c>
      <c r="AG444" t="s">
        <v>1</v>
      </c>
      <c r="AH444" t="s">
        <v>2818</v>
      </c>
      <c r="AI444" t="s">
        <v>2818</v>
      </c>
      <c r="AJ444" t="s">
        <v>1</v>
      </c>
      <c r="AK444">
        <v>9371677808</v>
      </c>
      <c r="AL444" t="s">
        <v>1</v>
      </c>
      <c r="AM444" t="s">
        <v>1</v>
      </c>
      <c r="AN444" t="s">
        <v>1</v>
      </c>
      <c r="AO444" t="s">
        <v>2818</v>
      </c>
      <c r="AP444" t="s">
        <v>1</v>
      </c>
      <c r="AQ444" t="s">
        <v>2</v>
      </c>
      <c r="AR444" t="s">
        <v>3</v>
      </c>
      <c r="AS444" t="s">
        <v>3</v>
      </c>
      <c r="AT444" t="s">
        <v>3</v>
      </c>
      <c r="AU444" t="s">
        <v>3</v>
      </c>
      <c r="AV444" t="s">
        <v>3</v>
      </c>
      <c r="AW444" t="s">
        <v>11</v>
      </c>
      <c r="AX444">
        <f>Tabla1[[#This Row],[precio del paquete]]-Tabla1[[#This Row],[Saldo_Deudor]]</f>
        <v>9000</v>
      </c>
      <c r="AY444">
        <v>3900</v>
      </c>
      <c r="AZ444" t="s">
        <v>1</v>
      </c>
      <c r="BA444" t="s">
        <v>1</v>
      </c>
      <c r="BB444" t="s">
        <v>1</v>
      </c>
      <c r="BC444" t="s">
        <v>3277</v>
      </c>
      <c r="BD444" t="s">
        <v>3327</v>
      </c>
      <c r="BE444" t="s">
        <v>3</v>
      </c>
      <c r="BF444" t="s">
        <v>3</v>
      </c>
      <c r="BG444" t="s">
        <v>3</v>
      </c>
      <c r="BH444" t="s">
        <v>3</v>
      </c>
      <c r="BI444" t="s">
        <v>3</v>
      </c>
      <c r="BJ444" t="s">
        <v>3362</v>
      </c>
      <c r="BK444" t="s">
        <v>3</v>
      </c>
      <c r="BL444" t="s">
        <v>132</v>
      </c>
      <c r="BM444" t="s">
        <v>1</v>
      </c>
      <c r="BN444">
        <f>Tabla1[[#This Row],[precio del paquete]]</f>
        <v>12900</v>
      </c>
      <c r="BO444" t="s">
        <v>1</v>
      </c>
      <c r="BP444" t="s">
        <v>1</v>
      </c>
      <c r="BQ444" t="s">
        <v>1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0</v>
      </c>
      <c r="BX444" t="s">
        <v>1</v>
      </c>
      <c r="BY444" t="s">
        <v>1</v>
      </c>
      <c r="BZ444" t="s">
        <v>1</v>
      </c>
      <c r="CA444" t="s">
        <v>1</v>
      </c>
      <c r="CB444" t="s">
        <v>3382</v>
      </c>
      <c r="CD444" t="str" cm="1">
        <f t="array" aca="1" ref="CD444" ca="1">eConcatenar(A444:CB444,"|")</f>
        <v>1COjHhQS54SddJx9|CAR2020-0491|3|IMPERIAL DE LUJO|TABASCO|CARDENAS|CARDENAS|2020-02-17|12900|0|200|50|1|0|0|0|0|0|0|0|0|0|0||0|0|0|TRINIDAD|MENDOZA|JOSE MANUEL|SOLTERO|X|X|COLONIA EL FOVISSTE|COLONIA EL FOVISSTE|X|9371677808|X|X|X|COLONIA EL FOVISSTE|X|LUNES|x|x|x|x|x|DOMICILIO |9000|3900|X|X|X|2022-02-17|2022-02-24|x|x|x|x|x|QX002LYO9KVTQO|x|HOMBRE|X|12900|X|X|X|X|X|X|X|X|CARDENAS|X|X|X|X|FINAL</v>
      </c>
    </row>
    <row r="445" spans="1:82" x14ac:dyDescent="0.25">
      <c r="A445" t="s">
        <v>997</v>
      </c>
      <c r="B445" t="s">
        <v>998</v>
      </c>
      <c r="C445">
        <v>3</v>
      </c>
      <c r="D445" t="s">
        <v>1372</v>
      </c>
      <c r="E445" t="s">
        <v>1380</v>
      </c>
      <c r="F445" t="s">
        <v>0</v>
      </c>
      <c r="G445" t="s">
        <v>0</v>
      </c>
      <c r="H445" t="s">
        <v>1600</v>
      </c>
      <c r="I445">
        <v>12900</v>
      </c>
      <c r="J445">
        <v>0</v>
      </c>
      <c r="K445">
        <v>200</v>
      </c>
      <c r="L445">
        <v>50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Y445">
        <v>0</v>
      </c>
      <c r="Z445">
        <v>0</v>
      </c>
      <c r="AA445">
        <v>0</v>
      </c>
      <c r="AB445" t="s">
        <v>7</v>
      </c>
      <c r="AC445" t="s">
        <v>2033</v>
      </c>
      <c r="AD445" t="s">
        <v>2263</v>
      </c>
      <c r="AE445" t="s">
        <v>4</v>
      </c>
      <c r="AF445" t="s">
        <v>1</v>
      </c>
      <c r="AG445" t="s">
        <v>1</v>
      </c>
      <c r="AH445" t="s">
        <v>2819</v>
      </c>
      <c r="AI445" t="s">
        <v>3135</v>
      </c>
      <c r="AJ445" t="s">
        <v>1</v>
      </c>
      <c r="AK445">
        <v>9371324282</v>
      </c>
      <c r="AL445" t="s">
        <v>1</v>
      </c>
      <c r="AM445" t="s">
        <v>1</v>
      </c>
      <c r="AN445" t="s">
        <v>1</v>
      </c>
      <c r="AO445" t="s">
        <v>2819</v>
      </c>
      <c r="AP445" t="s">
        <v>1</v>
      </c>
      <c r="AQ445" t="s">
        <v>2</v>
      </c>
      <c r="AR445" t="s">
        <v>3</v>
      </c>
      <c r="AS445" t="s">
        <v>3</v>
      </c>
      <c r="AT445" t="s">
        <v>3</v>
      </c>
      <c r="AU445" t="s">
        <v>3</v>
      </c>
      <c r="AV445" t="s">
        <v>3</v>
      </c>
      <c r="AW445" t="s">
        <v>11</v>
      </c>
      <c r="AX445">
        <f>Tabla1[[#This Row],[precio del paquete]]-Tabla1[[#This Row],[Saldo_Deudor]]</f>
        <v>7950</v>
      </c>
      <c r="AY445">
        <v>4950</v>
      </c>
      <c r="AZ445" t="s">
        <v>1</v>
      </c>
      <c r="BA445" t="s">
        <v>1</v>
      </c>
      <c r="BB445" t="s">
        <v>1</v>
      </c>
      <c r="BC445" t="s">
        <v>3277</v>
      </c>
      <c r="BD445" t="s">
        <v>3327</v>
      </c>
      <c r="BE445" t="s">
        <v>3</v>
      </c>
      <c r="BF445" t="s">
        <v>3</v>
      </c>
      <c r="BG445" t="s">
        <v>3</v>
      </c>
      <c r="BH445" t="s">
        <v>3</v>
      </c>
      <c r="BI445" t="s">
        <v>3</v>
      </c>
      <c r="BJ445" t="s">
        <v>3362</v>
      </c>
      <c r="BK445" t="s">
        <v>3</v>
      </c>
      <c r="BL445" t="s">
        <v>132</v>
      </c>
      <c r="BM445" t="s">
        <v>1</v>
      </c>
      <c r="BN445">
        <f>Tabla1[[#This Row],[precio del paquete]]</f>
        <v>12900</v>
      </c>
      <c r="BO445" t="s">
        <v>1</v>
      </c>
      <c r="BP445" t="s">
        <v>1</v>
      </c>
      <c r="BQ445" t="s">
        <v>1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0</v>
      </c>
      <c r="BX445" t="s">
        <v>1</v>
      </c>
      <c r="BY445" t="s">
        <v>1</v>
      </c>
      <c r="BZ445" t="s">
        <v>1</v>
      </c>
      <c r="CA445" t="s">
        <v>1</v>
      </c>
      <c r="CB445" t="s">
        <v>3382</v>
      </c>
      <c r="CD445" t="str" cm="1">
        <f t="array" aca="1" ref="CD445" ca="1">eConcatenar(A445:CB445,"|")</f>
        <v>b4HQ4LWAL3mJl3vu|CAR2020-0414|3|IMPERIAL DE LUJO|TABASCO|CARDENAS|CARDENAS|2020-02-05|12900|0|200|50|1|0|0|0|0|0|0|0|0|0|0||0|0|0|LOPEZ|BROCA|NERI|SOLTERO|X|X|CALLE JESUS GARCIA NUMERO 981|COLONIA MELCHOR OCAMPO|X|9371324282|X|X|X|CALLE JESUS GARCIA NUMERO 981|X|LUNES|x|x|x|x|x|DOMICILIO |7950|4950|X|X|X|2022-02-17|2022-02-24|x|x|x|x|x|QX002LYO9KVTQO|x|HOMBRE|X|12900|X|X|X|X|X|X|X|X|CARDENAS|X|X|X|X|FINAL</v>
      </c>
    </row>
    <row r="446" spans="1:82" x14ac:dyDescent="0.25">
      <c r="A446" t="s">
        <v>999</v>
      </c>
      <c r="B446" t="s">
        <v>1000</v>
      </c>
      <c r="C446">
        <v>3</v>
      </c>
      <c r="D446" t="s">
        <v>1369</v>
      </c>
      <c r="E446" t="s">
        <v>1380</v>
      </c>
      <c r="F446" t="s">
        <v>0</v>
      </c>
      <c r="G446" t="s">
        <v>0</v>
      </c>
      <c r="H446" t="s">
        <v>1601</v>
      </c>
      <c r="I446">
        <v>14800</v>
      </c>
      <c r="J446">
        <v>0</v>
      </c>
      <c r="K446">
        <v>200</v>
      </c>
      <c r="L446">
        <v>50</v>
      </c>
      <c r="M446">
        <v>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Y446">
        <v>0</v>
      </c>
      <c r="Z446">
        <v>0</v>
      </c>
      <c r="AA446">
        <v>0</v>
      </c>
      <c r="AB446" t="s">
        <v>2264</v>
      </c>
      <c r="AC446" t="s">
        <v>2265</v>
      </c>
      <c r="AD446" t="s">
        <v>2266</v>
      </c>
      <c r="AE446" t="s">
        <v>4</v>
      </c>
      <c r="AF446" t="s">
        <v>1</v>
      </c>
      <c r="AG446" t="s">
        <v>1</v>
      </c>
      <c r="AH446" t="s">
        <v>2820</v>
      </c>
      <c r="AI446" t="s">
        <v>3084</v>
      </c>
      <c r="AJ446" t="s">
        <v>1</v>
      </c>
      <c r="AK446">
        <v>9371694337</v>
      </c>
      <c r="AL446" t="s">
        <v>1</v>
      </c>
      <c r="AM446" t="s">
        <v>1</v>
      </c>
      <c r="AN446" t="s">
        <v>1</v>
      </c>
      <c r="AO446" t="s">
        <v>2820</v>
      </c>
      <c r="AP446" t="s">
        <v>1</v>
      </c>
      <c r="AQ446" t="s">
        <v>2</v>
      </c>
      <c r="AR446" t="s">
        <v>3</v>
      </c>
      <c r="AS446" t="s">
        <v>3</v>
      </c>
      <c r="AT446" t="s">
        <v>3</v>
      </c>
      <c r="AU446" t="s">
        <v>3</v>
      </c>
      <c r="AV446" t="s">
        <v>3</v>
      </c>
      <c r="AW446" t="s">
        <v>11</v>
      </c>
      <c r="AX446">
        <f>Tabla1[[#This Row],[precio del paquete]]-Tabla1[[#This Row],[Saldo_Deudor]]</f>
        <v>4500</v>
      </c>
      <c r="AY446">
        <v>10300</v>
      </c>
      <c r="AZ446" t="s">
        <v>1</v>
      </c>
      <c r="BA446" t="s">
        <v>1</v>
      </c>
      <c r="BB446" t="s">
        <v>1</v>
      </c>
      <c r="BC446" t="s">
        <v>3277</v>
      </c>
      <c r="BD446" t="s">
        <v>3327</v>
      </c>
      <c r="BE446" t="s">
        <v>3</v>
      </c>
      <c r="BF446" t="s">
        <v>3</v>
      </c>
      <c r="BG446" t="s">
        <v>3</v>
      </c>
      <c r="BH446" t="s">
        <v>3</v>
      </c>
      <c r="BI446" t="s">
        <v>3</v>
      </c>
      <c r="BJ446" t="s">
        <v>3362</v>
      </c>
      <c r="BK446" t="s">
        <v>3</v>
      </c>
      <c r="BL446" t="s">
        <v>132</v>
      </c>
      <c r="BM446" t="s">
        <v>1</v>
      </c>
      <c r="BN446">
        <f>Tabla1[[#This Row],[precio del paquete]]</f>
        <v>14800</v>
      </c>
      <c r="BO446" t="s">
        <v>1</v>
      </c>
      <c r="BP446" t="s">
        <v>1</v>
      </c>
      <c r="BQ446" t="s">
        <v>1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0</v>
      </c>
      <c r="BX446" t="s">
        <v>1</v>
      </c>
      <c r="BY446" t="s">
        <v>1</v>
      </c>
      <c r="BZ446" t="s">
        <v>1</v>
      </c>
      <c r="CA446" t="s">
        <v>1</v>
      </c>
      <c r="CB446" t="s">
        <v>3382</v>
      </c>
      <c r="CD446" t="str" cm="1">
        <f t="array" aca="1" ref="CD446" ca="1">eConcatenar(A446:CB446,"|")</f>
        <v>JLetDGULT0VxR8OI|CAR2019-3710|3|MEMORIAL|TABASCO|CARDENAS|CARDENAS|2019-12-09|14800|0|200|50|1|0|0|0|0|0|0|0|0|0|0||0|0|0|CORTEZ|ARCOS|VITOR ALEJANDRO|SOLTERO|X|X|CALLE SANTOS DEGOLLADOS NUMERO 30|COLONIA EL TOLOQUE|X|9371694337|X|X|X|CALLE SANTOS DEGOLLADOS NUMERO 30|X|LUNES|x|x|x|x|x|DOMICILIO |4500|10300|X|X|X|2022-02-17|2022-02-24|x|x|x|x|x|QX002LYO9KVTQO|x|HOMBRE|X|14800|X|X|X|X|X|X|X|X|CARDENAS|X|X|X|X|FINAL</v>
      </c>
    </row>
    <row r="447" spans="1:82" x14ac:dyDescent="0.25">
      <c r="A447" t="s">
        <v>1001</v>
      </c>
      <c r="B447" t="s">
        <v>1002</v>
      </c>
      <c r="C447">
        <v>3</v>
      </c>
      <c r="D447" t="s">
        <v>1368</v>
      </c>
      <c r="E447" t="s">
        <v>1380</v>
      </c>
      <c r="F447" t="s">
        <v>0</v>
      </c>
      <c r="G447" t="s">
        <v>0</v>
      </c>
      <c r="H447" t="s">
        <v>1518</v>
      </c>
      <c r="I447">
        <v>24500</v>
      </c>
      <c r="J447">
        <v>0</v>
      </c>
      <c r="K447">
        <v>100</v>
      </c>
      <c r="L447">
        <v>50</v>
      </c>
      <c r="M447">
        <v>1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Y447">
        <v>0</v>
      </c>
      <c r="Z447">
        <v>0</v>
      </c>
      <c r="AA447">
        <v>0</v>
      </c>
      <c r="AB447" t="s">
        <v>1818</v>
      </c>
      <c r="AC447" t="s">
        <v>2267</v>
      </c>
      <c r="AD447" t="s">
        <v>2268</v>
      </c>
      <c r="AE447" t="s">
        <v>4</v>
      </c>
      <c r="AF447" t="s">
        <v>1</v>
      </c>
      <c r="AG447" t="s">
        <v>1</v>
      </c>
      <c r="AH447" t="s">
        <v>2821</v>
      </c>
      <c r="AI447" t="s">
        <v>3060</v>
      </c>
      <c r="AJ447" t="s">
        <v>1</v>
      </c>
      <c r="AK447">
        <v>9371407941</v>
      </c>
      <c r="AL447" t="s">
        <v>1</v>
      </c>
      <c r="AM447" t="s">
        <v>1</v>
      </c>
      <c r="AN447" t="s">
        <v>1</v>
      </c>
      <c r="AO447" t="s">
        <v>2821</v>
      </c>
      <c r="AP447" t="s">
        <v>1</v>
      </c>
      <c r="AQ447" t="s">
        <v>2</v>
      </c>
      <c r="AR447" t="s">
        <v>3</v>
      </c>
      <c r="AS447" t="s">
        <v>3</v>
      </c>
      <c r="AT447" t="s">
        <v>3</v>
      </c>
      <c r="AU447" t="s">
        <v>3</v>
      </c>
      <c r="AV447" t="s">
        <v>3</v>
      </c>
      <c r="AW447" t="s">
        <v>11</v>
      </c>
      <c r="AX447">
        <f>Tabla1[[#This Row],[precio del paquete]]-Tabla1[[#This Row],[Saldo_Deudor]]</f>
        <v>1100</v>
      </c>
      <c r="AY447">
        <v>23400</v>
      </c>
      <c r="AZ447" t="s">
        <v>1</v>
      </c>
      <c r="BA447" t="s">
        <v>1</v>
      </c>
      <c r="BB447" t="s">
        <v>1</v>
      </c>
      <c r="BC447" t="s">
        <v>3277</v>
      </c>
      <c r="BD447" t="s">
        <v>3327</v>
      </c>
      <c r="BE447" t="s">
        <v>3</v>
      </c>
      <c r="BF447" t="s">
        <v>3</v>
      </c>
      <c r="BG447" t="s">
        <v>3</v>
      </c>
      <c r="BH447" t="s">
        <v>3</v>
      </c>
      <c r="BI447" t="s">
        <v>3</v>
      </c>
      <c r="BJ447" t="s">
        <v>3362</v>
      </c>
      <c r="BK447" t="s">
        <v>3</v>
      </c>
      <c r="BL447" t="s">
        <v>132</v>
      </c>
      <c r="BM447" t="s">
        <v>1</v>
      </c>
      <c r="BN447">
        <f>Tabla1[[#This Row],[precio del paquete]]</f>
        <v>24500</v>
      </c>
      <c r="BO447" t="s">
        <v>1</v>
      </c>
      <c r="BP447" t="s">
        <v>1</v>
      </c>
      <c r="BQ447" t="s">
        <v>1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0</v>
      </c>
      <c r="BX447" t="s">
        <v>1</v>
      </c>
      <c r="BY447" t="s">
        <v>1</v>
      </c>
      <c r="BZ447" t="s">
        <v>1</v>
      </c>
      <c r="CA447" t="s">
        <v>1</v>
      </c>
      <c r="CB447" t="s">
        <v>3382</v>
      </c>
      <c r="CD447" t="str" cm="1">
        <f t="array" aca="1" ref="CD447" ca="1">eConcatenar(A447:CB447,"|")</f>
        <v>bBVr7BuzdUyIywYe|CAR2021-7069|3|DIGNITY|TABASCO|CARDENAS|CARDENAS|2021-11-20|24500|0|100|50|1|0|0|0|0|0|0|0|0|0|0||0|0|0|CASTILLO|MURILLO|IARA|SOLTERO|X|X|CALLE AURELIO SOSA NUMERO 315|COLONIA PUEBLO NUEVO|X|9371407941|X|X|X|CALLE AURELIO SOSA NUMERO 315|X|LUNES|x|x|x|x|x|DOMICILIO |1100|23400|X|X|X|2022-02-17|2022-02-24|x|x|x|x|x|QX002LYO9KVTQO|x|HOMBRE|X|24500|X|X|X|X|X|X|X|X|CARDENAS|X|X|X|X|FINAL</v>
      </c>
    </row>
    <row r="448" spans="1:82" x14ac:dyDescent="0.25">
      <c r="A448" t="s">
        <v>1003</v>
      </c>
      <c r="B448" t="s">
        <v>1004</v>
      </c>
      <c r="C448">
        <v>3</v>
      </c>
      <c r="D448" t="s">
        <v>1369</v>
      </c>
      <c r="E448" t="s">
        <v>1380</v>
      </c>
      <c r="F448" t="s">
        <v>0</v>
      </c>
      <c r="G448" t="s">
        <v>0</v>
      </c>
      <c r="H448" t="s">
        <v>1602</v>
      </c>
      <c r="I448">
        <v>14800</v>
      </c>
      <c r="J448">
        <v>0</v>
      </c>
      <c r="K448">
        <v>100</v>
      </c>
      <c r="L448">
        <v>50</v>
      </c>
      <c r="M448">
        <v>1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Y448">
        <v>0</v>
      </c>
      <c r="Z448">
        <v>0</v>
      </c>
      <c r="AA448">
        <v>0</v>
      </c>
      <c r="AB448" t="s">
        <v>1739</v>
      </c>
      <c r="AC448" t="s">
        <v>1739</v>
      </c>
      <c r="AD448" t="s">
        <v>1764</v>
      </c>
      <c r="AE448" t="s">
        <v>4</v>
      </c>
      <c r="AF448" t="s">
        <v>1</v>
      </c>
      <c r="AG448" t="s">
        <v>1</v>
      </c>
      <c r="AH448" t="s">
        <v>2822</v>
      </c>
      <c r="AI448" t="s">
        <v>3174</v>
      </c>
      <c r="AJ448" t="s">
        <v>1</v>
      </c>
      <c r="AK448">
        <v>9371239736</v>
      </c>
      <c r="AL448" t="s">
        <v>1</v>
      </c>
      <c r="AM448" t="s">
        <v>1</v>
      </c>
      <c r="AN448" t="s">
        <v>1</v>
      </c>
      <c r="AO448" t="s">
        <v>2822</v>
      </c>
      <c r="AP448" t="s">
        <v>1</v>
      </c>
      <c r="AQ448" t="s">
        <v>2</v>
      </c>
      <c r="AR448" t="s">
        <v>3</v>
      </c>
      <c r="AS448" t="s">
        <v>3</v>
      </c>
      <c r="AT448" t="s">
        <v>3</v>
      </c>
      <c r="AU448" t="s">
        <v>3</v>
      </c>
      <c r="AV448" t="s">
        <v>3</v>
      </c>
      <c r="AW448" t="s">
        <v>11</v>
      </c>
      <c r="AX448">
        <f>Tabla1[[#This Row],[precio del paquete]]-Tabla1[[#This Row],[Saldo_Deudor]]</f>
        <v>1700</v>
      </c>
      <c r="AY448">
        <v>13100</v>
      </c>
      <c r="AZ448" t="s">
        <v>1</v>
      </c>
      <c r="BA448" t="s">
        <v>1</v>
      </c>
      <c r="BB448" t="s">
        <v>1</v>
      </c>
      <c r="BC448" t="s">
        <v>3277</v>
      </c>
      <c r="BD448" t="s">
        <v>3327</v>
      </c>
      <c r="BE448" t="s">
        <v>3</v>
      </c>
      <c r="BF448" t="s">
        <v>3</v>
      </c>
      <c r="BG448" t="s">
        <v>3</v>
      </c>
      <c r="BH448" t="s">
        <v>3</v>
      </c>
      <c r="BI448" t="s">
        <v>3</v>
      </c>
      <c r="BJ448" t="s">
        <v>3362</v>
      </c>
      <c r="BK448" t="s">
        <v>3</v>
      </c>
      <c r="BL448" t="s">
        <v>132</v>
      </c>
      <c r="BM448" t="s">
        <v>1</v>
      </c>
      <c r="BN448">
        <f>Tabla1[[#This Row],[precio del paquete]]</f>
        <v>14800</v>
      </c>
      <c r="BO448" t="s">
        <v>1</v>
      </c>
      <c r="BP448" t="s">
        <v>1</v>
      </c>
      <c r="BQ448" t="s">
        <v>1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0</v>
      </c>
      <c r="BX448" t="s">
        <v>1</v>
      </c>
      <c r="BY448" t="s">
        <v>1</v>
      </c>
      <c r="BZ448" t="s">
        <v>1</v>
      </c>
      <c r="CA448" t="s">
        <v>1</v>
      </c>
      <c r="CB448" t="s">
        <v>3382</v>
      </c>
      <c r="CD448" t="str" cm="1">
        <f t="array" aca="1" ref="CD448" ca="1">eConcatenar(A448:CB448,"|")</f>
        <v>83Km0j1oPRtGYZhq|CAR2021-1370|3|MEMORIAL|TABASCO|CARDENAS|CARDENAS|2021-08-21|14800|0|100|50|1|0|0|0|0|0|0|0|0|0|0||0|0|0|DE LOS SANTOS|DE LOS SANTOS|PEDRO|SOLTERO|X|X|CARRETERA LA CEIBA MANZANA 123|FRACCIONAMIENTO EL ENCANTO|X|9371239736|X|X|X|CARRETERA LA CEIBA MANZANA 123|X|LUNES|x|x|x|x|x|DOMICILIO |1700|13100|X|X|X|2022-02-17|2022-02-24|x|x|x|x|x|QX002LYO9KVTQO|x|HOMBRE|X|14800|X|X|X|X|X|X|X|X|CARDENAS|X|X|X|X|FINAL</v>
      </c>
    </row>
    <row r="449" spans="1:82" x14ac:dyDescent="0.25">
      <c r="A449" t="s">
        <v>1005</v>
      </c>
      <c r="B449" t="s">
        <v>1006</v>
      </c>
      <c r="C449">
        <v>3</v>
      </c>
      <c r="D449" t="s">
        <v>1372</v>
      </c>
      <c r="E449" t="s">
        <v>1380</v>
      </c>
      <c r="F449" t="s">
        <v>0</v>
      </c>
      <c r="G449" t="s">
        <v>0</v>
      </c>
      <c r="H449" t="s">
        <v>1603</v>
      </c>
      <c r="I449">
        <v>12900</v>
      </c>
      <c r="J449">
        <v>0</v>
      </c>
      <c r="K449">
        <v>100</v>
      </c>
      <c r="L449">
        <v>50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Y449">
        <v>0</v>
      </c>
      <c r="Z449">
        <v>0</v>
      </c>
      <c r="AA449">
        <v>0</v>
      </c>
      <c r="AB449" t="s">
        <v>2269</v>
      </c>
      <c r="AC449" t="s">
        <v>1774</v>
      </c>
      <c r="AD449" t="s">
        <v>2270</v>
      </c>
      <c r="AE449" t="s">
        <v>4</v>
      </c>
      <c r="AF449" t="s">
        <v>1</v>
      </c>
      <c r="AG449" t="s">
        <v>1</v>
      </c>
      <c r="AH449" t="s">
        <v>2823</v>
      </c>
      <c r="AI449" t="s">
        <v>2642</v>
      </c>
      <c r="AJ449" t="s">
        <v>1</v>
      </c>
      <c r="AK449">
        <v>9372831668</v>
      </c>
      <c r="AL449" t="s">
        <v>1</v>
      </c>
      <c r="AM449" t="s">
        <v>1</v>
      </c>
      <c r="AN449" t="s">
        <v>1</v>
      </c>
      <c r="AO449" t="s">
        <v>2823</v>
      </c>
      <c r="AP449" t="s">
        <v>1</v>
      </c>
      <c r="AQ449" t="s">
        <v>2</v>
      </c>
      <c r="AR449" t="s">
        <v>3</v>
      </c>
      <c r="AS449" t="s">
        <v>3</v>
      </c>
      <c r="AT449" t="s">
        <v>3</v>
      </c>
      <c r="AU449" t="s">
        <v>3</v>
      </c>
      <c r="AV449" t="s">
        <v>3</v>
      </c>
      <c r="AW449" t="s">
        <v>11</v>
      </c>
      <c r="AX449">
        <f>Tabla1[[#This Row],[precio del paquete]]-Tabla1[[#This Row],[Saldo_Deudor]]</f>
        <v>6600</v>
      </c>
      <c r="AY449">
        <v>6300</v>
      </c>
      <c r="AZ449" t="s">
        <v>1</v>
      </c>
      <c r="BA449" t="s">
        <v>1</v>
      </c>
      <c r="BB449" t="s">
        <v>1</v>
      </c>
      <c r="BC449" t="s">
        <v>3252</v>
      </c>
      <c r="BD449" t="s">
        <v>3310</v>
      </c>
      <c r="BE449" t="s">
        <v>3</v>
      </c>
      <c r="BF449" t="s">
        <v>3</v>
      </c>
      <c r="BG449" t="s">
        <v>3</v>
      </c>
      <c r="BH449" t="s">
        <v>3</v>
      </c>
      <c r="BI449" t="s">
        <v>3</v>
      </c>
      <c r="BJ449" t="s">
        <v>3362</v>
      </c>
      <c r="BK449" t="s">
        <v>3</v>
      </c>
      <c r="BL449" t="s">
        <v>132</v>
      </c>
      <c r="BM449" t="s">
        <v>1</v>
      </c>
      <c r="BN449">
        <f>Tabla1[[#This Row],[precio del paquete]]</f>
        <v>12900</v>
      </c>
      <c r="BO449" t="s">
        <v>1</v>
      </c>
      <c r="BP449" t="s">
        <v>1</v>
      </c>
      <c r="BQ449" t="s">
        <v>1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0</v>
      </c>
      <c r="BX449" t="s">
        <v>1</v>
      </c>
      <c r="BY449" t="s">
        <v>1</v>
      </c>
      <c r="BZ449" t="s">
        <v>1</v>
      </c>
      <c r="CA449" t="s">
        <v>1</v>
      </c>
      <c r="CB449" t="s">
        <v>3382</v>
      </c>
      <c r="CD449" t="str" cm="1">
        <f t="array" aca="1" ref="CD449" ca="1">eConcatenar(A449:CB449,"|")</f>
        <v>1f9VyR6ZaBjQOaK2|CAR2020-1683|3|IMPERIAL DE LUJO|TABASCO|CARDENAS|CARDENAS|2020-07-20|12900|0|100|50|0|0|0|0|0|0|0|0|0|0|0||0|0|0|HUBORT|GONZALEZ|EDGAR JAVIER|SOLTERO|X|X|ANDADOR TARDOS|UNIDAD HABITACIONAL INFONAVIT DEPORTIVA|X|9372831668|X|X|X|ANDADOR TARDOS|X|LUNES|x|x|x|x|x|DOMICILIO |6600|6300|X|X|X|2022-02-19|2022-02-26|x|x|x|x|x|QX002LYO9KVTQO|x|HOMBRE|X|12900|X|X|X|X|X|X|X|X|CARDENAS|X|X|X|X|FINAL</v>
      </c>
    </row>
    <row r="450" spans="1:82" x14ac:dyDescent="0.25">
      <c r="A450" t="s">
        <v>1007</v>
      </c>
      <c r="B450" t="s">
        <v>1008</v>
      </c>
      <c r="C450">
        <v>3</v>
      </c>
      <c r="D450" t="s">
        <v>1368</v>
      </c>
      <c r="E450" t="s">
        <v>1380</v>
      </c>
      <c r="F450" t="s">
        <v>0</v>
      </c>
      <c r="G450" t="s">
        <v>0</v>
      </c>
      <c r="H450" t="s">
        <v>1557</v>
      </c>
      <c r="I450">
        <v>24500</v>
      </c>
      <c r="J450">
        <v>0</v>
      </c>
      <c r="K450">
        <v>100</v>
      </c>
      <c r="L450">
        <v>50</v>
      </c>
      <c r="M450">
        <v>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Y450">
        <v>0</v>
      </c>
      <c r="Z450">
        <v>0</v>
      </c>
      <c r="AA450">
        <v>0</v>
      </c>
      <c r="AB450" t="s">
        <v>1922</v>
      </c>
      <c r="AC450" t="s">
        <v>1708</v>
      </c>
      <c r="AD450" t="s">
        <v>2271</v>
      </c>
      <c r="AE450" t="s">
        <v>4</v>
      </c>
      <c r="AF450" t="s">
        <v>1</v>
      </c>
      <c r="AG450" t="s">
        <v>1</v>
      </c>
      <c r="AH450" t="s">
        <v>2824</v>
      </c>
      <c r="AI450" t="s">
        <v>3174</v>
      </c>
      <c r="AJ450" t="s">
        <v>1</v>
      </c>
      <c r="AK450">
        <v>9931935719</v>
      </c>
      <c r="AL450" t="s">
        <v>1</v>
      </c>
      <c r="AM450" t="s">
        <v>1</v>
      </c>
      <c r="AN450" t="s">
        <v>1</v>
      </c>
      <c r="AO450" t="s">
        <v>2824</v>
      </c>
      <c r="AP450" t="s">
        <v>1</v>
      </c>
      <c r="AQ450" t="s">
        <v>2</v>
      </c>
      <c r="AR450" t="s">
        <v>3</v>
      </c>
      <c r="AS450" t="s">
        <v>3</v>
      </c>
      <c r="AT450" t="s">
        <v>3</v>
      </c>
      <c r="AU450" t="s">
        <v>3</v>
      </c>
      <c r="AV450" t="s">
        <v>3</v>
      </c>
      <c r="AW450" t="s">
        <v>11</v>
      </c>
      <c r="AX450">
        <f>Tabla1[[#This Row],[precio del paquete]]-Tabla1[[#This Row],[Saldo_Deudor]]</f>
        <v>700</v>
      </c>
      <c r="AY450">
        <v>23800</v>
      </c>
      <c r="AZ450" t="s">
        <v>1</v>
      </c>
      <c r="BA450" t="s">
        <v>1</v>
      </c>
      <c r="BB450" t="s">
        <v>1</v>
      </c>
      <c r="BC450" t="s">
        <v>3277</v>
      </c>
      <c r="BD450" t="s">
        <v>3327</v>
      </c>
      <c r="BE450" t="s">
        <v>3</v>
      </c>
      <c r="BF450" t="s">
        <v>3</v>
      </c>
      <c r="BG450" t="s">
        <v>3</v>
      </c>
      <c r="BH450" t="s">
        <v>3</v>
      </c>
      <c r="BI450" t="s">
        <v>3</v>
      </c>
      <c r="BJ450" t="s">
        <v>3362</v>
      </c>
      <c r="BK450" t="s">
        <v>3</v>
      </c>
      <c r="BL450" t="s">
        <v>132</v>
      </c>
      <c r="BM450" t="s">
        <v>1</v>
      </c>
      <c r="BN450">
        <f>Tabla1[[#This Row],[precio del paquete]]</f>
        <v>24500</v>
      </c>
      <c r="BO450" t="s">
        <v>1</v>
      </c>
      <c r="BP450" t="s">
        <v>1</v>
      </c>
      <c r="BQ450" t="s">
        <v>1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0</v>
      </c>
      <c r="BX450" t="s">
        <v>1</v>
      </c>
      <c r="BY450" t="s">
        <v>1</v>
      </c>
      <c r="BZ450" t="s">
        <v>1</v>
      </c>
      <c r="CA450" t="s">
        <v>1</v>
      </c>
      <c r="CB450" t="s">
        <v>3382</v>
      </c>
      <c r="CD450" t="str" cm="1">
        <f t="array" aca="1" ref="CD450" ca="1">eConcatenar(A450:CB450,"|")</f>
        <v>UUrhnAIx7CLn4waL|CAR2021-7514|3|DIGNITY|TABASCO|CARDENAS|CARDENAS|2021-12-10|24500|0|100|50|1|0|0|0|0|0|0|0|0|0|0||0|0|0|GUADALUPE||ESTHER|SOLTERO|X|X|CALLE CEIBA PASANDO EL KINDER|FRACCIONAMIENTO EL ENCANTO|X|9931935719|X|X|X|CALLE CEIBA PASANDO EL KINDER|X|LUNES|x|x|x|x|x|DOMICILIO |700|23800|X|X|X|2022-02-17|2022-02-24|x|x|x|x|x|QX002LYO9KVTQO|x|HOMBRE|X|24500|X|X|X|X|X|X|X|X|CARDENAS|X|X|X|X|FINAL</v>
      </c>
    </row>
    <row r="451" spans="1:82" x14ac:dyDescent="0.25">
      <c r="A451" t="s">
        <v>1009</v>
      </c>
      <c r="B451" t="s">
        <v>1010</v>
      </c>
      <c r="C451">
        <v>3</v>
      </c>
      <c r="D451" t="s">
        <v>1369</v>
      </c>
      <c r="E451" t="s">
        <v>1380</v>
      </c>
      <c r="F451" t="s">
        <v>0</v>
      </c>
      <c r="G451" t="s">
        <v>0</v>
      </c>
      <c r="H451" t="s">
        <v>1604</v>
      </c>
      <c r="I451">
        <v>14800</v>
      </c>
      <c r="J451">
        <v>0</v>
      </c>
      <c r="K451">
        <v>100</v>
      </c>
      <c r="L451">
        <v>50</v>
      </c>
      <c r="M451">
        <v>1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Y451">
        <v>0</v>
      </c>
      <c r="Z451">
        <v>0</v>
      </c>
      <c r="AA451">
        <v>0</v>
      </c>
      <c r="AB451" t="s">
        <v>2100</v>
      </c>
      <c r="AC451" t="s">
        <v>1851</v>
      </c>
      <c r="AD451" t="s">
        <v>2272</v>
      </c>
      <c r="AE451" t="s">
        <v>4</v>
      </c>
      <c r="AF451" t="s">
        <v>1</v>
      </c>
      <c r="AG451" t="s">
        <v>1</v>
      </c>
      <c r="AH451" t="s">
        <v>2825</v>
      </c>
      <c r="AI451" t="s">
        <v>3175</v>
      </c>
      <c r="AJ451" t="s">
        <v>1</v>
      </c>
      <c r="AK451">
        <v>9371709355</v>
      </c>
      <c r="AL451" t="s">
        <v>1</v>
      </c>
      <c r="AM451" t="s">
        <v>1</v>
      </c>
      <c r="AN451" t="s">
        <v>1</v>
      </c>
      <c r="AO451" t="s">
        <v>2825</v>
      </c>
      <c r="AP451" t="s">
        <v>1</v>
      </c>
      <c r="AQ451" t="s">
        <v>2</v>
      </c>
      <c r="AR451" t="s">
        <v>3</v>
      </c>
      <c r="AS451" t="s">
        <v>3</v>
      </c>
      <c r="AT451" t="s">
        <v>3</v>
      </c>
      <c r="AU451" t="s">
        <v>3</v>
      </c>
      <c r="AV451" t="s">
        <v>3</v>
      </c>
      <c r="AW451" t="s">
        <v>11</v>
      </c>
      <c r="AX451">
        <f>Tabla1[[#This Row],[precio del paquete]]-Tabla1[[#This Row],[Saldo_Deudor]]</f>
        <v>2900</v>
      </c>
      <c r="AY451">
        <v>11900</v>
      </c>
      <c r="AZ451" t="s">
        <v>1</v>
      </c>
      <c r="BA451" t="s">
        <v>1</v>
      </c>
      <c r="BB451" t="s">
        <v>1</v>
      </c>
      <c r="BC451" t="s">
        <v>3277</v>
      </c>
      <c r="BD451" t="s">
        <v>3327</v>
      </c>
      <c r="BE451" t="s">
        <v>3</v>
      </c>
      <c r="BF451" t="s">
        <v>3</v>
      </c>
      <c r="BG451" t="s">
        <v>3</v>
      </c>
      <c r="BH451" t="s">
        <v>3</v>
      </c>
      <c r="BI451" t="s">
        <v>3</v>
      </c>
      <c r="BJ451" t="s">
        <v>3362</v>
      </c>
      <c r="BK451" t="s">
        <v>3</v>
      </c>
      <c r="BL451" t="s">
        <v>132</v>
      </c>
      <c r="BM451" t="s">
        <v>1</v>
      </c>
      <c r="BN451">
        <f>Tabla1[[#This Row],[precio del paquete]]</f>
        <v>14800</v>
      </c>
      <c r="BO451" t="s">
        <v>1</v>
      </c>
      <c r="BP451" t="s">
        <v>1</v>
      </c>
      <c r="BQ451" t="s">
        <v>1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0</v>
      </c>
      <c r="BX451" t="s">
        <v>1</v>
      </c>
      <c r="BY451" t="s">
        <v>1</v>
      </c>
      <c r="BZ451" t="s">
        <v>1</v>
      </c>
      <c r="CA451" t="s">
        <v>1</v>
      </c>
      <c r="CB451" t="s">
        <v>3382</v>
      </c>
      <c r="CD451" t="str" cm="1">
        <f t="array" aca="1" ref="CD451" ca="1">eConcatenar(A451:CB451,"|")</f>
        <v>0w7oujfZdc05QeVP|CAR2021-1648|3|MEMORIAL|TABASCO|CARDENAS|CARDENAS|2021-04-28|14800|0|100|50|1|0|0|0|0|0|0|0|0|0|0||0|0|0|ALEGRIA|JAVIER|FAUSTINO|SOLTERO|X|X|CALLE ROTARIO SIN NUMERO|COLONIA EL CAMPO VILLA BENITO JUAREZ|X|9371709355|X|X|X|CALLE ROTARIO SIN NUMERO|X|LUNES|x|x|x|x|x|DOMICILIO |2900|11900|X|X|X|2022-02-17|2022-02-24|x|x|x|x|x|QX002LYO9KVTQO|x|HOMBRE|X|14800|X|X|X|X|X|X|X|X|CARDENAS|X|X|X|X|FINAL</v>
      </c>
    </row>
    <row r="452" spans="1:82" x14ac:dyDescent="0.25">
      <c r="A452" t="s">
        <v>1011</v>
      </c>
      <c r="B452" t="s">
        <v>1012</v>
      </c>
      <c r="C452">
        <v>3</v>
      </c>
      <c r="D452" t="s">
        <v>1371</v>
      </c>
      <c r="E452" t="s">
        <v>1380</v>
      </c>
      <c r="F452" t="s">
        <v>0</v>
      </c>
      <c r="G452" t="s">
        <v>0</v>
      </c>
      <c r="H452" t="s">
        <v>1605</v>
      </c>
      <c r="I452">
        <v>11500</v>
      </c>
      <c r="J452">
        <v>0</v>
      </c>
      <c r="K452">
        <v>100</v>
      </c>
      <c r="L452">
        <v>50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Y452">
        <v>0</v>
      </c>
      <c r="Z452">
        <v>0</v>
      </c>
      <c r="AA452">
        <v>0</v>
      </c>
      <c r="AB452" t="s">
        <v>1774</v>
      </c>
      <c r="AC452" t="s">
        <v>1772</v>
      </c>
      <c r="AD452" t="s">
        <v>2031</v>
      </c>
      <c r="AE452" t="s">
        <v>4</v>
      </c>
      <c r="AF452" t="s">
        <v>1</v>
      </c>
      <c r="AG452" t="s">
        <v>1</v>
      </c>
      <c r="AH452" t="s">
        <v>2826</v>
      </c>
      <c r="AI452" t="s">
        <v>2705</v>
      </c>
      <c r="AJ452" t="s">
        <v>1</v>
      </c>
      <c r="AK452" t="s">
        <v>1</v>
      </c>
      <c r="AL452" t="s">
        <v>1</v>
      </c>
      <c r="AM452" t="s">
        <v>1</v>
      </c>
      <c r="AN452" t="s">
        <v>1</v>
      </c>
      <c r="AO452" t="s">
        <v>2826</v>
      </c>
      <c r="AP452" t="s">
        <v>1</v>
      </c>
      <c r="AQ452" t="s">
        <v>2</v>
      </c>
      <c r="AR452" t="s">
        <v>3</v>
      </c>
      <c r="AS452" t="s">
        <v>3</v>
      </c>
      <c r="AT452" t="s">
        <v>3</v>
      </c>
      <c r="AU452" t="s">
        <v>3</v>
      </c>
      <c r="AV452" t="s">
        <v>3</v>
      </c>
      <c r="AW452" t="s">
        <v>11</v>
      </c>
      <c r="AX452">
        <f>Tabla1[[#This Row],[precio del paquete]]-Tabla1[[#This Row],[Saldo_Deudor]]</f>
        <v>7550</v>
      </c>
      <c r="AY452">
        <v>3950</v>
      </c>
      <c r="AZ452" t="s">
        <v>1</v>
      </c>
      <c r="BA452" t="s">
        <v>1</v>
      </c>
      <c r="BB452" t="s">
        <v>1</v>
      </c>
      <c r="BC452" t="s">
        <v>3277</v>
      </c>
      <c r="BD452" t="s">
        <v>3327</v>
      </c>
      <c r="BE452" t="s">
        <v>3</v>
      </c>
      <c r="BF452" t="s">
        <v>3</v>
      </c>
      <c r="BG452" t="s">
        <v>3</v>
      </c>
      <c r="BH452" t="s">
        <v>3</v>
      </c>
      <c r="BI452" t="s">
        <v>3</v>
      </c>
      <c r="BJ452" t="s">
        <v>3362</v>
      </c>
      <c r="BK452" t="s">
        <v>3</v>
      </c>
      <c r="BL452" t="s">
        <v>132</v>
      </c>
      <c r="BM452" t="s">
        <v>1</v>
      </c>
      <c r="BN452">
        <f>Tabla1[[#This Row],[precio del paquete]]</f>
        <v>11500</v>
      </c>
      <c r="BO452" t="s">
        <v>1</v>
      </c>
      <c r="BP452" t="s">
        <v>1</v>
      </c>
      <c r="BQ452" t="s">
        <v>1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0</v>
      </c>
      <c r="BX452" t="s">
        <v>1</v>
      </c>
      <c r="BY452" t="s">
        <v>1</v>
      </c>
      <c r="BZ452" t="s">
        <v>1</v>
      </c>
      <c r="CA452" t="s">
        <v>1</v>
      </c>
      <c r="CB452" t="s">
        <v>3382</v>
      </c>
      <c r="CD452" t="str" cm="1">
        <f t="array" aca="1" ref="CD452" ca="1">eConcatenar(A452:CB452,"|")</f>
        <v>e01nHc6YFwwoB2Gh|CAR2016-2370|3|ECONOLINE|TABASCO|CARDENAS|CARDENAS|2016-12-26|11500|0|100|50|0|0|0|0|0|0|0|0|0|0|0||0|0|0|GONZALEZ|LANDERO|MARIA DEL CARMEN|SOLTERO|X|X|A UN COSTADO DEL HOTEL EL DORADO|RANCHERIA PASO Y PLAYA|X|X|X|X|X|A UN COSTADO DEL HOTEL EL DORADO|X|LUNES|x|x|x|x|x|DOMICILIO |7550|3950|X|X|X|2022-02-17|2022-02-24|x|x|x|x|x|QX002LYO9KVTQO|x|HOMBRE|X|11500|X|X|X|X|X|X|X|X|CARDENAS|X|X|X|X|FINAL</v>
      </c>
    </row>
    <row r="453" spans="1:82" x14ac:dyDescent="0.25">
      <c r="A453" t="s">
        <v>1013</v>
      </c>
      <c r="B453" t="s">
        <v>1014</v>
      </c>
      <c r="C453">
        <v>3</v>
      </c>
      <c r="D453" t="s">
        <v>1372</v>
      </c>
      <c r="E453" t="s">
        <v>1380</v>
      </c>
      <c r="F453" t="s">
        <v>0</v>
      </c>
      <c r="G453" t="s">
        <v>0</v>
      </c>
      <c r="H453" t="s">
        <v>1606</v>
      </c>
      <c r="I453">
        <v>12900</v>
      </c>
      <c r="J453">
        <v>0</v>
      </c>
      <c r="K453">
        <v>100</v>
      </c>
      <c r="L453">
        <v>50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Y453">
        <v>0</v>
      </c>
      <c r="Z453">
        <v>0</v>
      </c>
      <c r="AA453">
        <v>0</v>
      </c>
      <c r="AB453" t="s">
        <v>2273</v>
      </c>
      <c r="AC453" t="s">
        <v>1713</v>
      </c>
      <c r="AD453" t="s">
        <v>1922</v>
      </c>
      <c r="AE453" t="s">
        <v>4</v>
      </c>
      <c r="AF453" t="s">
        <v>1</v>
      </c>
      <c r="AG453" t="s">
        <v>1</v>
      </c>
      <c r="AH453" t="s">
        <v>2827</v>
      </c>
      <c r="AI453" t="s">
        <v>3176</v>
      </c>
      <c r="AJ453" t="s">
        <v>1</v>
      </c>
      <c r="AK453">
        <v>9371210745</v>
      </c>
      <c r="AL453" t="s">
        <v>1</v>
      </c>
      <c r="AM453" t="s">
        <v>1</v>
      </c>
      <c r="AN453" t="s">
        <v>1</v>
      </c>
      <c r="AO453" t="s">
        <v>2827</v>
      </c>
      <c r="AP453" t="s">
        <v>1</v>
      </c>
      <c r="AQ453" t="s">
        <v>2</v>
      </c>
      <c r="AR453" t="s">
        <v>3</v>
      </c>
      <c r="AS453" t="s">
        <v>3</v>
      </c>
      <c r="AT453" t="s">
        <v>3</v>
      </c>
      <c r="AU453" t="s">
        <v>3</v>
      </c>
      <c r="AV453" t="s">
        <v>3</v>
      </c>
      <c r="AW453" t="s">
        <v>11</v>
      </c>
      <c r="AX453">
        <f>Tabla1[[#This Row],[precio del paquete]]-Tabla1[[#This Row],[Saldo_Deudor]]</f>
        <v>3300</v>
      </c>
      <c r="AY453">
        <v>9600</v>
      </c>
      <c r="AZ453" t="s">
        <v>1</v>
      </c>
      <c r="BA453" t="s">
        <v>1</v>
      </c>
      <c r="BB453" t="s">
        <v>1</v>
      </c>
      <c r="BC453" t="s">
        <v>3277</v>
      </c>
      <c r="BD453" t="s">
        <v>3327</v>
      </c>
      <c r="BE453" t="s">
        <v>3</v>
      </c>
      <c r="BF453" t="s">
        <v>3</v>
      </c>
      <c r="BG453" t="s">
        <v>3</v>
      </c>
      <c r="BH453" t="s">
        <v>3</v>
      </c>
      <c r="BI453" t="s">
        <v>3</v>
      </c>
      <c r="BJ453" t="s">
        <v>3362</v>
      </c>
      <c r="BK453" t="s">
        <v>3</v>
      </c>
      <c r="BL453" t="s">
        <v>132</v>
      </c>
      <c r="BM453" t="s">
        <v>1</v>
      </c>
      <c r="BN453">
        <f>Tabla1[[#This Row],[precio del paquete]]</f>
        <v>12900</v>
      </c>
      <c r="BO453" t="s">
        <v>1</v>
      </c>
      <c r="BP453" t="s">
        <v>1</v>
      </c>
      <c r="BQ453" t="s">
        <v>1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0</v>
      </c>
      <c r="BX453" t="s">
        <v>1</v>
      </c>
      <c r="BY453" t="s">
        <v>1</v>
      </c>
      <c r="BZ453" t="s">
        <v>1</v>
      </c>
      <c r="CA453" t="s">
        <v>1</v>
      </c>
      <c r="CB453" t="s">
        <v>3382</v>
      </c>
      <c r="CD453" t="str" cm="1">
        <f t="array" aca="1" ref="CD453" ca="1">eConcatenar(A453:CB453,"|")</f>
        <v>oczzswESwTy9lKNT|CAR2021-1026|3|IMPERIAL DE LUJO|TABASCO|CARDENAS|CARDENAS|2021-03-18|12900|0|100|50|0|0|0|0|0|0|0|0|0|0|0||0|0|0|BALAN|DE LA CRUZ|GUADALUPE|SOLTERO|X|X|ENTRADA LA VIA CUARTA CASA|RANCHERIA RIO SECO Y MONTAÑA|X|9371210745|X|X|X|ENTRADA LA VIA CUARTA CASA|X|LUNES|x|x|x|x|x|DOMICILIO |3300|9600|X|X|X|2022-02-17|2022-02-24|x|x|x|x|x|QX002LYO9KVTQO|x|HOMBRE|X|12900|X|X|X|X|X|X|X|X|CARDENAS|X|X|X|X|FINAL</v>
      </c>
    </row>
    <row r="454" spans="1:82" x14ac:dyDescent="0.25">
      <c r="A454" t="s">
        <v>1015</v>
      </c>
      <c r="B454" t="s">
        <v>1016</v>
      </c>
      <c r="C454">
        <v>3</v>
      </c>
      <c r="D454" t="s">
        <v>1369</v>
      </c>
      <c r="E454" t="s">
        <v>1380</v>
      </c>
      <c r="F454" t="s">
        <v>0</v>
      </c>
      <c r="G454" t="s">
        <v>0</v>
      </c>
      <c r="H454" t="s">
        <v>1607</v>
      </c>
      <c r="I454">
        <v>14800</v>
      </c>
      <c r="J454">
        <v>0</v>
      </c>
      <c r="K454">
        <v>200</v>
      </c>
      <c r="L454">
        <v>50</v>
      </c>
      <c r="M454">
        <v>1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Y454">
        <v>0</v>
      </c>
      <c r="Z454">
        <v>0</v>
      </c>
      <c r="AA454">
        <v>0</v>
      </c>
      <c r="AB454" t="s">
        <v>1758</v>
      </c>
      <c r="AC454" t="s">
        <v>1919</v>
      </c>
      <c r="AD454" t="s">
        <v>1753</v>
      </c>
      <c r="AE454" t="s">
        <v>4</v>
      </c>
      <c r="AF454" t="s">
        <v>1</v>
      </c>
      <c r="AG454" t="s">
        <v>1</v>
      </c>
      <c r="AH454" t="s">
        <v>2828</v>
      </c>
      <c r="AI454" t="s">
        <v>2993</v>
      </c>
      <c r="AJ454" t="s">
        <v>1</v>
      </c>
      <c r="AK454">
        <v>9371177415</v>
      </c>
      <c r="AL454" t="s">
        <v>1</v>
      </c>
      <c r="AM454" t="s">
        <v>1</v>
      </c>
      <c r="AN454" t="s">
        <v>1</v>
      </c>
      <c r="AO454" t="s">
        <v>2828</v>
      </c>
      <c r="AP454" t="s">
        <v>1</v>
      </c>
      <c r="AQ454" t="s">
        <v>2</v>
      </c>
      <c r="AR454" t="s">
        <v>3</v>
      </c>
      <c r="AS454" t="s">
        <v>3</v>
      </c>
      <c r="AT454" t="s">
        <v>3</v>
      </c>
      <c r="AU454" t="s">
        <v>3</v>
      </c>
      <c r="AV454" t="s">
        <v>3</v>
      </c>
      <c r="AW454" t="s">
        <v>11</v>
      </c>
      <c r="AX454">
        <f>Tabla1[[#This Row],[precio del paquete]]-Tabla1[[#This Row],[Saldo_Deudor]]</f>
        <v>1400</v>
      </c>
      <c r="AY454">
        <v>13400</v>
      </c>
      <c r="AZ454" t="s">
        <v>1</v>
      </c>
      <c r="BA454" t="s">
        <v>1</v>
      </c>
      <c r="BB454" t="s">
        <v>1</v>
      </c>
      <c r="BC454" t="s">
        <v>3277</v>
      </c>
      <c r="BD454" t="s">
        <v>3327</v>
      </c>
      <c r="BE454" t="s">
        <v>3</v>
      </c>
      <c r="BF454" t="s">
        <v>3</v>
      </c>
      <c r="BG454" t="s">
        <v>3</v>
      </c>
      <c r="BH454" t="s">
        <v>3</v>
      </c>
      <c r="BI454" t="s">
        <v>3</v>
      </c>
      <c r="BJ454" t="s">
        <v>3362</v>
      </c>
      <c r="BK454" t="s">
        <v>3</v>
      </c>
      <c r="BL454" t="s">
        <v>132</v>
      </c>
      <c r="BM454" t="s">
        <v>1</v>
      </c>
      <c r="BN454">
        <f>Tabla1[[#This Row],[precio del paquete]]</f>
        <v>14800</v>
      </c>
      <c r="BO454" t="s">
        <v>1</v>
      </c>
      <c r="BP454" t="s">
        <v>1</v>
      </c>
      <c r="BQ454" t="s">
        <v>1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0</v>
      </c>
      <c r="BX454" t="s">
        <v>1</v>
      </c>
      <c r="BY454" t="s">
        <v>1</v>
      </c>
      <c r="BZ454" t="s">
        <v>1</v>
      </c>
      <c r="CA454" t="s">
        <v>1</v>
      </c>
      <c r="CB454" t="s">
        <v>3382</v>
      </c>
      <c r="CD454" t="str" cm="1">
        <f t="array" aca="1" ref="CD454" ca="1">eConcatenar(A454:CB454,"|")</f>
        <v>6SpPLKwpX261svs3|CAR2021-7286|3|MEMORIAL|TABASCO|CARDENAS|CARDENAS|2021-11-30|14800|0|200|50|1|0|0|0|0|0|0|0|0|0|0||0|0|0|ARIAS|RAMIREZ|JOSE|SOLTERO|X|X|CALLE 14 MANZANA 28 LOTE 11|FRACCIONAMIENTO CAÑALES TERCERA ETAPA NORTE|X|9371177415|X|X|X|CALLE 14 MANZANA 28 LOTE 11|X|LUNES|x|x|x|x|x|DOMICILIO |1400|13400|X|X|X|2022-02-17|2022-02-24|x|x|x|x|x|QX002LYO9KVTQO|x|HOMBRE|X|14800|X|X|X|X|X|X|X|X|CARDENAS|X|X|X|X|FINAL</v>
      </c>
    </row>
    <row r="455" spans="1:82" x14ac:dyDescent="0.25">
      <c r="A455" t="s">
        <v>1017</v>
      </c>
      <c r="B455" t="s">
        <v>1018</v>
      </c>
      <c r="C455">
        <v>3</v>
      </c>
      <c r="D455" t="s">
        <v>1371</v>
      </c>
      <c r="E455" t="s">
        <v>1380</v>
      </c>
      <c r="F455" t="s">
        <v>0</v>
      </c>
      <c r="G455" t="s">
        <v>0</v>
      </c>
      <c r="H455" t="s">
        <v>1608</v>
      </c>
      <c r="I455">
        <v>12900</v>
      </c>
      <c r="J455">
        <v>0</v>
      </c>
      <c r="K455">
        <v>200</v>
      </c>
      <c r="L455">
        <v>50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Y455">
        <v>0</v>
      </c>
      <c r="Z455">
        <v>0</v>
      </c>
      <c r="AA455">
        <v>0</v>
      </c>
      <c r="AB455" t="s">
        <v>1816</v>
      </c>
      <c r="AC455" t="s">
        <v>1748</v>
      </c>
      <c r="AD455" t="s">
        <v>2274</v>
      </c>
      <c r="AE455" t="s">
        <v>4</v>
      </c>
      <c r="AF455" t="s">
        <v>1</v>
      </c>
      <c r="AG455" t="s">
        <v>1</v>
      </c>
      <c r="AH455" t="s">
        <v>2829</v>
      </c>
      <c r="AI455" t="s">
        <v>3135</v>
      </c>
      <c r="AJ455" t="s">
        <v>1</v>
      </c>
      <c r="AK455">
        <v>9371248739</v>
      </c>
      <c r="AL455" t="s">
        <v>1</v>
      </c>
      <c r="AM455" t="s">
        <v>1</v>
      </c>
      <c r="AN455" t="s">
        <v>1</v>
      </c>
      <c r="AO455" t="s">
        <v>2829</v>
      </c>
      <c r="AP455" t="s">
        <v>1</v>
      </c>
      <c r="AQ455" t="s">
        <v>2</v>
      </c>
      <c r="AR455" t="s">
        <v>3</v>
      </c>
      <c r="AS455" t="s">
        <v>3</v>
      </c>
      <c r="AT455" t="s">
        <v>3</v>
      </c>
      <c r="AU455" t="s">
        <v>3</v>
      </c>
      <c r="AV455" t="s">
        <v>3</v>
      </c>
      <c r="AW455" t="s">
        <v>11</v>
      </c>
      <c r="AX455">
        <f>Tabla1[[#This Row],[precio del paquete]]-Tabla1[[#This Row],[Saldo_Deudor]]</f>
        <v>8400</v>
      </c>
      <c r="AY455">
        <v>4500</v>
      </c>
      <c r="AZ455" t="s">
        <v>1</v>
      </c>
      <c r="BA455" t="s">
        <v>1</v>
      </c>
      <c r="BB455" t="s">
        <v>1</v>
      </c>
      <c r="BC455" t="s">
        <v>3277</v>
      </c>
      <c r="BD455" t="s">
        <v>3327</v>
      </c>
      <c r="BE455" t="s">
        <v>3</v>
      </c>
      <c r="BF455" t="s">
        <v>3</v>
      </c>
      <c r="BG455" t="s">
        <v>3</v>
      </c>
      <c r="BH455" t="s">
        <v>3</v>
      </c>
      <c r="BI455" t="s">
        <v>3</v>
      </c>
      <c r="BJ455" t="s">
        <v>3362</v>
      </c>
      <c r="BK455" t="s">
        <v>3</v>
      </c>
      <c r="BL455" t="s">
        <v>132</v>
      </c>
      <c r="BM455" t="s">
        <v>1</v>
      </c>
      <c r="BN455">
        <f>Tabla1[[#This Row],[precio del paquete]]</f>
        <v>12900</v>
      </c>
      <c r="BO455" t="s">
        <v>1</v>
      </c>
      <c r="BP455" t="s">
        <v>1</v>
      </c>
      <c r="BQ455" t="s">
        <v>1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0</v>
      </c>
      <c r="BX455" t="s">
        <v>1</v>
      </c>
      <c r="BY455" t="s">
        <v>1</v>
      </c>
      <c r="BZ455" t="s">
        <v>1</v>
      </c>
      <c r="CA455" t="s">
        <v>1</v>
      </c>
      <c r="CB455" t="s">
        <v>3382</v>
      </c>
      <c r="CD455" t="str" cm="1">
        <f t="array" aca="1" ref="CD455" ca="1">eConcatenar(A455:CB455,"|")</f>
        <v>9Y28YsMnFeIqxqNf|CAR2019-1717|3|ECONOLINE|TABASCO|CARDENAS|CARDENAS|2019-06-24|12900|0|200|50|1|0|0|0|0|0|0|0|0|0|0||0|0|0|DE DIOS|JIMENEZ|ELIAS|SOLTERO|X|X|CALLE IGNACIO GUTIERREZ NUMERO 3|COLONIA MELCHOR OCAMPO|X|9371248739|X|X|X|CALLE IGNACIO GUTIERREZ NUMERO 3|X|LUNES|x|x|x|x|x|DOMICILIO |8400|4500|X|X|X|2022-02-17|2022-02-24|x|x|x|x|x|QX002LYO9KVTQO|x|HOMBRE|X|12900|X|X|X|X|X|X|X|X|CARDENAS|X|X|X|X|FINAL</v>
      </c>
    </row>
    <row r="456" spans="1:82" x14ac:dyDescent="0.25">
      <c r="A456" t="s">
        <v>1019</v>
      </c>
      <c r="B456" t="s">
        <v>1020</v>
      </c>
      <c r="C456">
        <v>3</v>
      </c>
      <c r="D456" t="s">
        <v>1372</v>
      </c>
      <c r="E456" t="s">
        <v>1380</v>
      </c>
      <c r="F456" t="s">
        <v>0</v>
      </c>
      <c r="G456" t="s">
        <v>0</v>
      </c>
      <c r="H456" t="s">
        <v>1609</v>
      </c>
      <c r="I456">
        <v>12900</v>
      </c>
      <c r="J456">
        <v>0</v>
      </c>
      <c r="K456">
        <v>100</v>
      </c>
      <c r="L456">
        <v>50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Y456">
        <v>0</v>
      </c>
      <c r="Z456">
        <v>0</v>
      </c>
      <c r="AA456">
        <v>0</v>
      </c>
      <c r="AB456" t="s">
        <v>1866</v>
      </c>
      <c r="AC456" t="s">
        <v>1711</v>
      </c>
      <c r="AD456" t="s">
        <v>2275</v>
      </c>
      <c r="AE456" t="s">
        <v>4</v>
      </c>
      <c r="AF456" t="s">
        <v>1</v>
      </c>
      <c r="AG456" t="s">
        <v>1</v>
      </c>
      <c r="AH456" t="s">
        <v>2830</v>
      </c>
      <c r="AI456" t="s">
        <v>2705</v>
      </c>
      <c r="AJ456" t="s">
        <v>1</v>
      </c>
      <c r="AK456">
        <v>9372296197</v>
      </c>
      <c r="AL456" t="s">
        <v>1</v>
      </c>
      <c r="AM456" t="s">
        <v>1</v>
      </c>
      <c r="AN456" t="s">
        <v>1</v>
      </c>
      <c r="AO456" t="s">
        <v>2830</v>
      </c>
      <c r="AP456" t="s">
        <v>1</v>
      </c>
      <c r="AQ456" t="s">
        <v>2</v>
      </c>
      <c r="AR456" t="s">
        <v>3</v>
      </c>
      <c r="AS456" t="s">
        <v>3</v>
      </c>
      <c r="AT456" t="s">
        <v>3</v>
      </c>
      <c r="AU456" t="s">
        <v>3</v>
      </c>
      <c r="AV456" t="s">
        <v>3</v>
      </c>
      <c r="AW456" t="s">
        <v>11</v>
      </c>
      <c r="AX456">
        <f>Tabla1[[#This Row],[precio del paquete]]-Tabla1[[#This Row],[Saldo_Deudor]]</f>
        <v>9500</v>
      </c>
      <c r="AY456">
        <v>3400</v>
      </c>
      <c r="AZ456" t="s">
        <v>1</v>
      </c>
      <c r="BA456" t="s">
        <v>1</v>
      </c>
      <c r="BB456" t="s">
        <v>1</v>
      </c>
      <c r="BC456" t="s">
        <v>3277</v>
      </c>
      <c r="BD456" t="s">
        <v>3327</v>
      </c>
      <c r="BE456" t="s">
        <v>3</v>
      </c>
      <c r="BF456" t="s">
        <v>3</v>
      </c>
      <c r="BG456" t="s">
        <v>3</v>
      </c>
      <c r="BH456" t="s">
        <v>3</v>
      </c>
      <c r="BI456" t="s">
        <v>3</v>
      </c>
      <c r="BJ456" t="s">
        <v>3362</v>
      </c>
      <c r="BK456" t="s">
        <v>3</v>
      </c>
      <c r="BL456" t="s">
        <v>132</v>
      </c>
      <c r="BM456" t="s">
        <v>1</v>
      </c>
      <c r="BN456">
        <f>Tabla1[[#This Row],[precio del paquete]]</f>
        <v>12900</v>
      </c>
      <c r="BO456" t="s">
        <v>1</v>
      </c>
      <c r="BP456" t="s">
        <v>1</v>
      </c>
      <c r="BQ456" t="s">
        <v>1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0</v>
      </c>
      <c r="BX456" t="s">
        <v>1</v>
      </c>
      <c r="BY456" t="s">
        <v>1</v>
      </c>
      <c r="BZ456" t="s">
        <v>1</v>
      </c>
      <c r="CA456" t="s">
        <v>1</v>
      </c>
      <c r="CB456" t="s">
        <v>3382</v>
      </c>
      <c r="CD456" t="str" cm="1">
        <f t="array" aca="1" ref="CD456" ca="1">eConcatenar(A456:CB456,"|")</f>
        <v>Y6Roeq8aqhTcq4WY|CAR2020-0444|3|IMPERIAL DE LUJO|TABASCO|CARDENAS|CARDENAS|2020-02-11|12900|0|100|50|0|0|0|0|0|0|0|0|0|0|0||0|0|0|BAUTISTA|HERNANDEZ|GERINO|SOLTERO|X|X|CALLE A NUEVA ZELANDIA|RANCHERIA PASO Y PLAYA|X|9372296197|X|X|X|CALLE A NUEVA ZELANDIA|X|LUNES|x|x|x|x|x|DOMICILIO |9500|3400|X|X|X|2022-02-17|2022-02-24|x|x|x|x|x|QX002LYO9KVTQO|x|HOMBRE|X|12900|X|X|X|X|X|X|X|X|CARDENAS|X|X|X|X|FINAL</v>
      </c>
    </row>
    <row r="457" spans="1:82" x14ac:dyDescent="0.25">
      <c r="A457" t="s">
        <v>1021</v>
      </c>
      <c r="B457" t="s">
        <v>1022</v>
      </c>
      <c r="C457">
        <v>3</v>
      </c>
      <c r="D457" t="s">
        <v>1369</v>
      </c>
      <c r="E457" t="s">
        <v>1380</v>
      </c>
      <c r="F457" t="s">
        <v>0</v>
      </c>
      <c r="G457" t="s">
        <v>0</v>
      </c>
      <c r="H457" t="s">
        <v>1610</v>
      </c>
      <c r="I457">
        <v>14800</v>
      </c>
      <c r="J457">
        <v>0</v>
      </c>
      <c r="K457">
        <v>500</v>
      </c>
      <c r="L457">
        <v>50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Y457">
        <v>0</v>
      </c>
      <c r="Z457">
        <v>0</v>
      </c>
      <c r="AA457">
        <v>0</v>
      </c>
      <c r="AB457" t="s">
        <v>1815</v>
      </c>
      <c r="AC457" t="s">
        <v>1711</v>
      </c>
      <c r="AD457" t="s">
        <v>1740</v>
      </c>
      <c r="AE457" t="s">
        <v>4</v>
      </c>
      <c r="AF457" t="s">
        <v>1</v>
      </c>
      <c r="AG457" t="s">
        <v>1</v>
      </c>
      <c r="AH457" t="s">
        <v>2831</v>
      </c>
      <c r="AI457" t="s">
        <v>3177</v>
      </c>
      <c r="AJ457" t="s">
        <v>1</v>
      </c>
      <c r="AK457">
        <v>9371220409</v>
      </c>
      <c r="AL457" t="s">
        <v>1</v>
      </c>
      <c r="AM457" t="s">
        <v>1</v>
      </c>
      <c r="AN457" t="s">
        <v>1</v>
      </c>
      <c r="AO457" t="s">
        <v>2831</v>
      </c>
      <c r="AP457" t="s">
        <v>1</v>
      </c>
      <c r="AQ457" t="s">
        <v>2</v>
      </c>
      <c r="AR457" t="s">
        <v>3</v>
      </c>
      <c r="AS457" t="s">
        <v>3</v>
      </c>
      <c r="AT457" t="s">
        <v>3</v>
      </c>
      <c r="AU457" t="s">
        <v>3</v>
      </c>
      <c r="AV457" t="s">
        <v>3</v>
      </c>
      <c r="AW457" t="s">
        <v>11</v>
      </c>
      <c r="AX457">
        <f>Tabla1[[#This Row],[precio del paquete]]-Tabla1[[#This Row],[Saldo_Deudor]]</f>
        <v>10500</v>
      </c>
      <c r="AY457">
        <v>4300</v>
      </c>
      <c r="AZ457" t="s">
        <v>1</v>
      </c>
      <c r="BA457" t="s">
        <v>1</v>
      </c>
      <c r="BB457" t="s">
        <v>1</v>
      </c>
      <c r="BC457" t="s">
        <v>1610</v>
      </c>
      <c r="BD457" t="s">
        <v>3289</v>
      </c>
      <c r="BE457" t="s">
        <v>3</v>
      </c>
      <c r="BF457" t="s">
        <v>3</v>
      </c>
      <c r="BG457" t="s">
        <v>3</v>
      </c>
      <c r="BH457" t="s">
        <v>3</v>
      </c>
      <c r="BI457" t="s">
        <v>3</v>
      </c>
      <c r="BJ457" t="s">
        <v>3362</v>
      </c>
      <c r="BK457" t="s">
        <v>3</v>
      </c>
      <c r="BL457" t="s">
        <v>132</v>
      </c>
      <c r="BM457" t="s">
        <v>1</v>
      </c>
      <c r="BN457">
        <f>Tabla1[[#This Row],[precio del paquete]]</f>
        <v>14800</v>
      </c>
      <c r="BO457" t="s">
        <v>1</v>
      </c>
      <c r="BP457" t="s">
        <v>1</v>
      </c>
      <c r="BQ457" t="s">
        <v>1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0</v>
      </c>
      <c r="BX457" t="s">
        <v>1</v>
      </c>
      <c r="BY457" t="s">
        <v>1</v>
      </c>
      <c r="BZ457" t="s">
        <v>1</v>
      </c>
      <c r="CA457" t="s">
        <v>1</v>
      </c>
      <c r="CB457" t="s">
        <v>3382</v>
      </c>
      <c r="CD457" t="str" cm="1">
        <f t="array" aca="1" ref="CD457" ca="1">eConcatenar(A457:CB457,"|")</f>
        <v>Q5gETXIC8imM7kpw|CAR2021-5824|3|MEMORIAL|TABASCO|CARDENAS|CARDENAS|2021-10-04|14800|0|500|50|0|0|0|0|0|0|0|0|0|0|0||0|0|0|LEON|HERNANDEZ|PETRONILA|SOLTERO|X|X|ENTRADA A CAMELLON NUMERO 7|COLONIA NUEVA ZELANDIA|X|9371220409|X|X|X|ENTRADA A CAMELLON NUMERO 7|X|LUNES|x|x|x|x|x|DOMICILIO |10500|4300|X|X|X|2021-10-04|2021-10-11|x|x|x|x|x|QX002LYO9KVTQO|x|HOMBRE|X|14800|X|X|X|X|X|X|X|X|CARDENAS|X|X|X|X|FINAL</v>
      </c>
    </row>
    <row r="458" spans="1:82" x14ac:dyDescent="0.25">
      <c r="A458" t="s">
        <v>1023</v>
      </c>
      <c r="B458" t="s">
        <v>1024</v>
      </c>
      <c r="C458">
        <v>3</v>
      </c>
      <c r="D458" t="s">
        <v>1369</v>
      </c>
      <c r="E458" t="s">
        <v>1380</v>
      </c>
      <c r="F458" t="s">
        <v>0</v>
      </c>
      <c r="G458" t="s">
        <v>0</v>
      </c>
      <c r="H458" t="s">
        <v>1456</v>
      </c>
      <c r="I458">
        <v>14800</v>
      </c>
      <c r="J458">
        <v>0</v>
      </c>
      <c r="K458">
        <v>200</v>
      </c>
      <c r="L458">
        <v>50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Y458">
        <v>0</v>
      </c>
      <c r="Z458">
        <v>0</v>
      </c>
      <c r="AA458">
        <v>0</v>
      </c>
      <c r="AB458" t="s">
        <v>2276</v>
      </c>
      <c r="AC458" t="s">
        <v>2043</v>
      </c>
      <c r="AD458" t="s">
        <v>2277</v>
      </c>
      <c r="AE458" t="s">
        <v>4</v>
      </c>
      <c r="AF458" t="s">
        <v>1</v>
      </c>
      <c r="AG458" t="s">
        <v>1</v>
      </c>
      <c r="AH458" t="s">
        <v>2705</v>
      </c>
      <c r="AI458" t="s">
        <v>2705</v>
      </c>
      <c r="AJ458" t="s">
        <v>1</v>
      </c>
      <c r="AK458">
        <v>9371225430</v>
      </c>
      <c r="AL458" t="s">
        <v>1</v>
      </c>
      <c r="AM458" t="s">
        <v>1</v>
      </c>
      <c r="AN458" t="s">
        <v>1</v>
      </c>
      <c r="AO458" t="s">
        <v>2705</v>
      </c>
      <c r="AP458" t="s">
        <v>1</v>
      </c>
      <c r="AQ458" t="s">
        <v>2</v>
      </c>
      <c r="AR458" t="s">
        <v>3</v>
      </c>
      <c r="AS458" t="s">
        <v>3</v>
      </c>
      <c r="AT458" t="s">
        <v>3</v>
      </c>
      <c r="AU458" t="s">
        <v>3</v>
      </c>
      <c r="AV458" t="s">
        <v>3</v>
      </c>
      <c r="AW458" t="s">
        <v>11</v>
      </c>
      <c r="AX458">
        <f>Tabla1[[#This Row],[precio del paquete]]-Tabla1[[#This Row],[Saldo_Deudor]]</f>
        <v>3600</v>
      </c>
      <c r="AY458">
        <v>11200</v>
      </c>
      <c r="AZ458" t="s">
        <v>1</v>
      </c>
      <c r="BA458" t="s">
        <v>1</v>
      </c>
      <c r="BB458" t="s">
        <v>1</v>
      </c>
      <c r="BC458" t="s">
        <v>3277</v>
      </c>
      <c r="BD458" t="s">
        <v>3327</v>
      </c>
      <c r="BE458" t="s">
        <v>3</v>
      </c>
      <c r="BF458" t="s">
        <v>3</v>
      </c>
      <c r="BG458" t="s">
        <v>3</v>
      </c>
      <c r="BH458" t="s">
        <v>3</v>
      </c>
      <c r="BI458" t="s">
        <v>3</v>
      </c>
      <c r="BJ458" t="s">
        <v>3362</v>
      </c>
      <c r="BK458" t="s">
        <v>3</v>
      </c>
      <c r="BL458" t="s">
        <v>132</v>
      </c>
      <c r="BM458" t="s">
        <v>1</v>
      </c>
      <c r="BN458">
        <f>Tabla1[[#This Row],[precio del paquete]]</f>
        <v>14800</v>
      </c>
      <c r="BO458" t="s">
        <v>1</v>
      </c>
      <c r="BP458" t="s">
        <v>1</v>
      </c>
      <c r="BQ458" t="s">
        <v>1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0</v>
      </c>
      <c r="BX458" t="s">
        <v>1</v>
      </c>
      <c r="BY458" t="s">
        <v>1</v>
      </c>
      <c r="BZ458" t="s">
        <v>1</v>
      </c>
      <c r="CA458" t="s">
        <v>1</v>
      </c>
      <c r="CB458" t="s">
        <v>3382</v>
      </c>
      <c r="CD458" t="str" cm="1">
        <f t="array" aca="1" ref="CD458" ca="1">eConcatenar(A458:CB458,"|")</f>
        <v>S3Y0jo01EMkVKv8A|CAR2021-2224|3|MEMORIAL|TABASCO|CARDENAS|CARDENAS|2021-10-09|14800|0|200|50|1|0|0|0|0|0|0|0|0|0|0||0|0|0|PEÑA|SUAREZ|DOLFINA|SOLTERO|X|X|RANCHERIA PASO Y PLAYA|RANCHERIA PASO Y PLAYA|X|9371225430|X|X|X|RANCHERIA PASO Y PLAYA|X|LUNES|x|x|x|x|x|DOMICILIO |3600|11200|X|X|X|2022-02-17|2022-02-24|x|x|x|x|x|QX002LYO9KVTQO|x|HOMBRE|X|14800|X|X|X|X|X|X|X|X|CARDENAS|X|X|X|X|FINAL</v>
      </c>
    </row>
    <row r="459" spans="1:82" x14ac:dyDescent="0.25">
      <c r="A459" t="s">
        <v>1025</v>
      </c>
      <c r="B459" t="s">
        <v>1026</v>
      </c>
      <c r="C459">
        <v>3</v>
      </c>
      <c r="D459" t="s">
        <v>1372</v>
      </c>
      <c r="E459" t="s">
        <v>1380</v>
      </c>
      <c r="F459" t="s">
        <v>0</v>
      </c>
      <c r="G459" t="s">
        <v>0</v>
      </c>
      <c r="H459" t="s">
        <v>1611</v>
      </c>
      <c r="I459">
        <v>12900</v>
      </c>
      <c r="J459">
        <v>0</v>
      </c>
      <c r="K459">
        <v>200</v>
      </c>
      <c r="L459">
        <v>50</v>
      </c>
      <c r="M459">
        <v>1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Y459">
        <v>0</v>
      </c>
      <c r="Z459">
        <v>0</v>
      </c>
      <c r="AA459">
        <v>0</v>
      </c>
      <c r="AB459" t="s">
        <v>2136</v>
      </c>
      <c r="AC459" t="s">
        <v>1889</v>
      </c>
      <c r="AD459" t="s">
        <v>2278</v>
      </c>
      <c r="AE459" t="s">
        <v>4</v>
      </c>
      <c r="AF459" t="s">
        <v>1</v>
      </c>
      <c r="AG459" t="s">
        <v>1</v>
      </c>
      <c r="AH459" t="s">
        <v>2465</v>
      </c>
      <c r="AI459" t="s">
        <v>3178</v>
      </c>
      <c r="AJ459" t="s">
        <v>1</v>
      </c>
      <c r="AK459">
        <v>9371222944</v>
      </c>
      <c r="AL459" t="s">
        <v>1</v>
      </c>
      <c r="AM459" t="s">
        <v>1</v>
      </c>
      <c r="AN459" t="s">
        <v>1</v>
      </c>
      <c r="AO459" t="s">
        <v>2465</v>
      </c>
      <c r="AP459" t="s">
        <v>1</v>
      </c>
      <c r="AQ459" t="s">
        <v>2</v>
      </c>
      <c r="AR459" t="s">
        <v>3</v>
      </c>
      <c r="AS459" t="s">
        <v>3</v>
      </c>
      <c r="AT459" t="s">
        <v>3</v>
      </c>
      <c r="AU459" t="s">
        <v>3</v>
      </c>
      <c r="AV459" t="s">
        <v>3</v>
      </c>
      <c r="AW459" t="s">
        <v>11</v>
      </c>
      <c r="AX459">
        <f>Tabla1[[#This Row],[precio del paquete]]-Tabla1[[#This Row],[Saldo_Deudor]]</f>
        <v>7200</v>
      </c>
      <c r="AY459">
        <v>5700</v>
      </c>
      <c r="AZ459" t="s">
        <v>1</v>
      </c>
      <c r="BA459" t="s">
        <v>1</v>
      </c>
      <c r="BB459" t="s">
        <v>1</v>
      </c>
      <c r="BC459" t="s">
        <v>3277</v>
      </c>
      <c r="BD459" t="s">
        <v>3327</v>
      </c>
      <c r="BE459" t="s">
        <v>3</v>
      </c>
      <c r="BF459" t="s">
        <v>3</v>
      </c>
      <c r="BG459" t="s">
        <v>3</v>
      </c>
      <c r="BH459" t="s">
        <v>3</v>
      </c>
      <c r="BI459" t="s">
        <v>3</v>
      </c>
      <c r="BJ459" t="s">
        <v>3362</v>
      </c>
      <c r="BK459" t="s">
        <v>3</v>
      </c>
      <c r="BL459" t="s">
        <v>132</v>
      </c>
      <c r="BM459" t="s">
        <v>1</v>
      </c>
      <c r="BN459">
        <f>Tabla1[[#This Row],[precio del paquete]]</f>
        <v>12900</v>
      </c>
      <c r="BO459" t="s">
        <v>1</v>
      </c>
      <c r="BP459" t="s">
        <v>1</v>
      </c>
      <c r="BQ459" t="s">
        <v>1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0</v>
      </c>
      <c r="BX459" t="s">
        <v>1</v>
      </c>
      <c r="BY459" t="s">
        <v>1</v>
      </c>
      <c r="BZ459" t="s">
        <v>1</v>
      </c>
      <c r="CA459" t="s">
        <v>1</v>
      </c>
      <c r="CB459" t="s">
        <v>3382</v>
      </c>
      <c r="CD459" t="str" cm="1">
        <f t="array" aca="1" ref="CD459" ca="1">eConcatenar(A459:CB459,"|")</f>
        <v>DiBhUX2folC98fvx|CAR2020-1283|3|IMPERIAL DE LUJO|TABASCO|CARDENAS|CARDENAS|2020-07-03|12900|0|200|50|1|0|0|0|0|0|0|0|0|0|0||0|0|0|CALIZ|SANTIAGO|CARLOS MARIO|SOLTERO|X|X|CARRETERA PRINCIPAL SIN NUMERO|RANCHERIA SANTANA SEGUNDA SECCION|X|9371222944|X|X|X|CARRETERA PRINCIPAL SIN NUMERO|X|LUNES|x|x|x|x|x|DOMICILIO |7200|5700|X|X|X|2022-02-17|2022-02-24|x|x|x|x|x|QX002LYO9KVTQO|x|HOMBRE|X|12900|X|X|X|X|X|X|X|X|CARDENAS|X|X|X|X|FINAL</v>
      </c>
    </row>
    <row r="460" spans="1:82" x14ac:dyDescent="0.25">
      <c r="A460" t="s">
        <v>1027</v>
      </c>
      <c r="B460" t="s">
        <v>1028</v>
      </c>
      <c r="C460">
        <v>3</v>
      </c>
      <c r="D460" t="s">
        <v>1371</v>
      </c>
      <c r="E460" t="s">
        <v>1380</v>
      </c>
      <c r="F460" t="s">
        <v>0</v>
      </c>
      <c r="G460" t="s">
        <v>0</v>
      </c>
      <c r="H460" t="s">
        <v>1609</v>
      </c>
      <c r="I460">
        <v>12900</v>
      </c>
      <c r="J460">
        <v>0</v>
      </c>
      <c r="K460">
        <v>200</v>
      </c>
      <c r="L460">
        <v>50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Y460">
        <v>0</v>
      </c>
      <c r="Z460">
        <v>0</v>
      </c>
      <c r="AA460">
        <v>0</v>
      </c>
      <c r="AB460" t="s">
        <v>2279</v>
      </c>
      <c r="AC460" t="s">
        <v>1711</v>
      </c>
      <c r="AD460" t="s">
        <v>2219</v>
      </c>
      <c r="AE460" t="s">
        <v>4</v>
      </c>
      <c r="AF460" t="s">
        <v>1</v>
      </c>
      <c r="AG460" t="s">
        <v>1</v>
      </c>
      <c r="AH460" t="s">
        <v>2832</v>
      </c>
      <c r="AI460" t="s">
        <v>2855</v>
      </c>
      <c r="AJ460" t="s">
        <v>1</v>
      </c>
      <c r="AK460">
        <v>9371631588</v>
      </c>
      <c r="AL460" t="s">
        <v>1</v>
      </c>
      <c r="AM460" t="s">
        <v>1</v>
      </c>
      <c r="AN460" t="s">
        <v>1</v>
      </c>
      <c r="AO460" t="s">
        <v>2832</v>
      </c>
      <c r="AP460" t="s">
        <v>1</v>
      </c>
      <c r="AQ460" t="s">
        <v>2</v>
      </c>
      <c r="AR460" t="s">
        <v>3</v>
      </c>
      <c r="AS460" t="s">
        <v>3</v>
      </c>
      <c r="AT460" t="s">
        <v>3</v>
      </c>
      <c r="AU460" t="s">
        <v>3</v>
      </c>
      <c r="AV460" t="s">
        <v>3</v>
      </c>
      <c r="AW460" t="s">
        <v>11</v>
      </c>
      <c r="AX460">
        <f>Tabla1[[#This Row],[precio del paquete]]-Tabla1[[#This Row],[Saldo_Deudor]]</f>
        <v>5300</v>
      </c>
      <c r="AY460">
        <v>7600</v>
      </c>
      <c r="AZ460" t="s">
        <v>1</v>
      </c>
      <c r="BA460" t="s">
        <v>1</v>
      </c>
      <c r="BB460" t="s">
        <v>1</v>
      </c>
      <c r="BC460" t="s">
        <v>3277</v>
      </c>
      <c r="BD460" t="s">
        <v>3327</v>
      </c>
      <c r="BE460" t="s">
        <v>3</v>
      </c>
      <c r="BF460" t="s">
        <v>3</v>
      </c>
      <c r="BG460" t="s">
        <v>3</v>
      </c>
      <c r="BH460" t="s">
        <v>3</v>
      </c>
      <c r="BI460" t="s">
        <v>3</v>
      </c>
      <c r="BJ460" t="s">
        <v>3362</v>
      </c>
      <c r="BK460" t="s">
        <v>3</v>
      </c>
      <c r="BL460" t="s">
        <v>132</v>
      </c>
      <c r="BM460" t="s">
        <v>1</v>
      </c>
      <c r="BN460">
        <f>Tabla1[[#This Row],[precio del paquete]]</f>
        <v>12900</v>
      </c>
      <c r="BO460" t="s">
        <v>1</v>
      </c>
      <c r="BP460" t="s">
        <v>1</v>
      </c>
      <c r="BQ460" t="s">
        <v>1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0</v>
      </c>
      <c r="BX460" t="s">
        <v>1</v>
      </c>
      <c r="BY460" t="s">
        <v>1</v>
      </c>
      <c r="BZ460" t="s">
        <v>1</v>
      </c>
      <c r="CA460" t="s">
        <v>1</v>
      </c>
      <c r="CB460" t="s">
        <v>3382</v>
      </c>
      <c r="CD460" t="str" cm="1">
        <f t="array" aca="1" ref="CD460" ca="1">eConcatenar(A460:CB460,"|")</f>
        <v>WQ7opurA7Nem8l61|CAR2020-0445|3|ECONOLINE|TABASCO|CARDENAS|CARDENAS|2020-02-11|12900|0|200|50|1|0|0|0|0|0|0|0|0|0|0||0|0|0|CABRERA|HERNANDEZ|ALFREDO|SOLTERO|X|X|CALLE TOMAS GARRIDO|FRACCIONAMIENTO EL BAJIO|X|9371631588|X|X|X|CALLE TOMAS GARRIDO|X|LUNES|x|x|x|x|x|DOMICILIO |5300|7600|X|X|X|2022-02-17|2022-02-24|x|x|x|x|x|QX002LYO9KVTQO|x|HOMBRE|X|12900|X|X|X|X|X|X|X|X|CARDENAS|X|X|X|X|FINAL</v>
      </c>
    </row>
    <row r="461" spans="1:82" x14ac:dyDescent="0.25">
      <c r="A461" t="s">
        <v>1029</v>
      </c>
      <c r="B461" t="s">
        <v>1030</v>
      </c>
      <c r="C461">
        <v>3</v>
      </c>
      <c r="D461" t="s">
        <v>1371</v>
      </c>
      <c r="E461" t="s">
        <v>1380</v>
      </c>
      <c r="F461" t="s">
        <v>0</v>
      </c>
      <c r="G461" t="s">
        <v>0</v>
      </c>
      <c r="H461" t="s">
        <v>1612</v>
      </c>
      <c r="I461">
        <v>12900</v>
      </c>
      <c r="J461">
        <v>0</v>
      </c>
      <c r="K461">
        <v>200</v>
      </c>
      <c r="L461">
        <v>50</v>
      </c>
      <c r="M461">
        <v>1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Y461">
        <v>0</v>
      </c>
      <c r="Z461">
        <v>0</v>
      </c>
      <c r="AA461">
        <v>0</v>
      </c>
      <c r="AB461" t="s">
        <v>2030</v>
      </c>
      <c r="AC461" t="s">
        <v>2280</v>
      </c>
      <c r="AD461" t="s">
        <v>2281</v>
      </c>
      <c r="AE461" t="s">
        <v>4</v>
      </c>
      <c r="AF461" t="s">
        <v>1</v>
      </c>
      <c r="AG461" t="s">
        <v>1</v>
      </c>
      <c r="AH461" t="s">
        <v>2833</v>
      </c>
      <c r="AI461" t="s">
        <v>2833</v>
      </c>
      <c r="AJ461" t="s">
        <v>1</v>
      </c>
      <c r="AK461">
        <v>9934949598</v>
      </c>
      <c r="AL461" t="s">
        <v>1</v>
      </c>
      <c r="AM461" t="s">
        <v>1</v>
      </c>
      <c r="AN461" t="s">
        <v>1</v>
      </c>
      <c r="AO461" t="s">
        <v>2833</v>
      </c>
      <c r="AP461" t="s">
        <v>1</v>
      </c>
      <c r="AQ461" t="s">
        <v>2</v>
      </c>
      <c r="AR461" t="s">
        <v>3</v>
      </c>
      <c r="AS461" t="s">
        <v>3</v>
      </c>
      <c r="AT461" t="s">
        <v>3</v>
      </c>
      <c r="AU461" t="s">
        <v>3</v>
      </c>
      <c r="AV461" t="s">
        <v>3</v>
      </c>
      <c r="AW461" t="s">
        <v>11</v>
      </c>
      <c r="AX461">
        <f>Tabla1[[#This Row],[precio del paquete]]-Tabla1[[#This Row],[Saldo_Deudor]]</f>
        <v>10800</v>
      </c>
      <c r="AY461">
        <v>2100</v>
      </c>
      <c r="AZ461" t="s">
        <v>1</v>
      </c>
      <c r="BA461" t="s">
        <v>1</v>
      </c>
      <c r="BB461" t="s">
        <v>1</v>
      </c>
      <c r="BC461" t="s">
        <v>1406</v>
      </c>
      <c r="BD461" t="s">
        <v>3308</v>
      </c>
      <c r="BE461" t="s">
        <v>3</v>
      </c>
      <c r="BF461" t="s">
        <v>3</v>
      </c>
      <c r="BG461" t="s">
        <v>3</v>
      </c>
      <c r="BH461" t="s">
        <v>3</v>
      </c>
      <c r="BI461" t="s">
        <v>3</v>
      </c>
      <c r="BJ461" t="s">
        <v>3362</v>
      </c>
      <c r="BK461" t="s">
        <v>3</v>
      </c>
      <c r="BL461" t="s">
        <v>132</v>
      </c>
      <c r="BM461" t="s">
        <v>1</v>
      </c>
      <c r="BN461">
        <f>Tabla1[[#This Row],[precio del paquete]]</f>
        <v>12900</v>
      </c>
      <c r="BO461" t="s">
        <v>1</v>
      </c>
      <c r="BP461" t="s">
        <v>1</v>
      </c>
      <c r="BQ461" t="s">
        <v>1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0</v>
      </c>
      <c r="BX461" t="s">
        <v>1</v>
      </c>
      <c r="BY461" t="s">
        <v>1</v>
      </c>
      <c r="BZ461" t="s">
        <v>1</v>
      </c>
      <c r="CA461" t="s">
        <v>1</v>
      </c>
      <c r="CB461" t="s">
        <v>3382</v>
      </c>
      <c r="CD461" t="str" cm="1">
        <f t="array" aca="1" ref="CD461" ca="1">eConcatenar(A461:CB461,"|")</f>
        <v>K75LucPh1FA3iZz6|CAR2020-0265|3|ECONOLINE|TABASCO|CARDENAS|CARDENAS|2020-08-17|12900|0|200|50|1|0|0|0|0|0|0|0|0|0|0||0|0|0|VELAZQUEZ|MAGO|NORMA YANET|SOLTERO|X|X|COLONIA ZOILA PEÑA|COLONIA ZOILA PEÑA|X|9934949598|X|X|X|COLONIA ZOILA PEÑA|X|LUNES|x|x|x|x|x|DOMICILIO |10800|2100|X|X|X|2022-02-16|2022-02-23|x|x|x|x|x|QX002LYO9KVTQO|x|HOMBRE|X|12900|X|X|X|X|X|X|X|X|CARDENAS|X|X|X|X|FINAL</v>
      </c>
    </row>
    <row r="462" spans="1:82" x14ac:dyDescent="0.25">
      <c r="A462" t="s">
        <v>1031</v>
      </c>
      <c r="B462" t="s">
        <v>1032</v>
      </c>
      <c r="C462">
        <v>3</v>
      </c>
      <c r="D462" t="s">
        <v>1376</v>
      </c>
      <c r="E462" t="s">
        <v>1380</v>
      </c>
      <c r="F462" t="s">
        <v>0</v>
      </c>
      <c r="G462" t="s">
        <v>0</v>
      </c>
      <c r="H462" t="s">
        <v>1613</v>
      </c>
      <c r="I462">
        <v>46000</v>
      </c>
      <c r="J462">
        <v>0</v>
      </c>
      <c r="K462">
        <v>500</v>
      </c>
      <c r="L462">
        <v>50</v>
      </c>
      <c r="M462">
        <v>1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Y462">
        <v>0</v>
      </c>
      <c r="Z462">
        <v>0</v>
      </c>
      <c r="AA462">
        <v>0</v>
      </c>
      <c r="AB462" t="s">
        <v>1731</v>
      </c>
      <c r="AC462" t="s">
        <v>1812</v>
      </c>
      <c r="AD462" t="s">
        <v>1822</v>
      </c>
      <c r="AE462" t="s">
        <v>4</v>
      </c>
      <c r="AF462" t="s">
        <v>1</v>
      </c>
      <c r="AG462" t="s">
        <v>1</v>
      </c>
      <c r="AH462" t="s">
        <v>2834</v>
      </c>
      <c r="AI462" t="s">
        <v>3112</v>
      </c>
      <c r="AJ462" t="s">
        <v>1</v>
      </c>
      <c r="AK462">
        <v>9931993901</v>
      </c>
      <c r="AL462" t="s">
        <v>1</v>
      </c>
      <c r="AM462" t="s">
        <v>1</v>
      </c>
      <c r="AN462" t="s">
        <v>1</v>
      </c>
      <c r="AO462" t="s">
        <v>2834</v>
      </c>
      <c r="AP462" t="s">
        <v>1</v>
      </c>
      <c r="AQ462" t="s">
        <v>2</v>
      </c>
      <c r="AR462" t="s">
        <v>3</v>
      </c>
      <c r="AS462" t="s">
        <v>3</v>
      </c>
      <c r="AT462" t="s">
        <v>3</v>
      </c>
      <c r="AU462" t="s">
        <v>3</v>
      </c>
      <c r="AV462" t="s">
        <v>3</v>
      </c>
      <c r="AW462" t="s">
        <v>11</v>
      </c>
      <c r="AX462">
        <f>Tabla1[[#This Row],[precio del paquete]]-Tabla1[[#This Row],[Saldo_Deudor]]</f>
        <v>4500</v>
      </c>
      <c r="AY462">
        <v>41500</v>
      </c>
      <c r="AZ462" t="s">
        <v>1</v>
      </c>
      <c r="BA462" t="s">
        <v>1</v>
      </c>
      <c r="BB462" t="s">
        <v>1</v>
      </c>
      <c r="BC462" t="s">
        <v>3277</v>
      </c>
      <c r="BD462" t="s">
        <v>3327</v>
      </c>
      <c r="BE462" t="s">
        <v>3</v>
      </c>
      <c r="BF462" t="s">
        <v>3</v>
      </c>
      <c r="BG462" t="s">
        <v>3</v>
      </c>
      <c r="BH462" t="s">
        <v>3</v>
      </c>
      <c r="BI462" t="s">
        <v>3</v>
      </c>
      <c r="BJ462" t="s">
        <v>3362</v>
      </c>
      <c r="BK462" t="s">
        <v>3</v>
      </c>
      <c r="BL462" t="s">
        <v>132</v>
      </c>
      <c r="BM462" t="s">
        <v>1</v>
      </c>
      <c r="BN462">
        <f>Tabla1[[#This Row],[precio del paquete]]</f>
        <v>46000</v>
      </c>
      <c r="BO462" t="s">
        <v>1</v>
      </c>
      <c r="BP462" t="s">
        <v>1</v>
      </c>
      <c r="BQ462" t="s">
        <v>1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0</v>
      </c>
      <c r="BX462" t="s">
        <v>1</v>
      </c>
      <c r="BY462" t="s">
        <v>1</v>
      </c>
      <c r="BZ462" t="s">
        <v>1</v>
      </c>
      <c r="CA462" t="s">
        <v>1</v>
      </c>
      <c r="CB462" t="s">
        <v>3382</v>
      </c>
      <c r="CD462" t="str" cm="1">
        <f t="array" aca="1" ref="CD462" ca="1">eConcatenar(A462:CB462,"|")</f>
        <v>II8dIbVRSlAvLqYn|CAR2021-6009|3|ESPECIAL ANGELES|TABASCO|CARDENAS|CARDENAS|2021-10-08|46000|0|500|50|1|0|0|0|0|0|0|0|0|0|0||0|0|0|GARCIA|SANCHEZ|JOSE DEL CARMEN|SOLTERO|X|X|CALLE SECCION 10 CASA NUMERO 4 MANZANA 10|COLONIA PETROLERA|X|9931993901|X|X|X|CALLE SECCION 10 CASA NUMERO 4 MANZANA 10|X|LUNES|x|x|x|x|x|DOMICILIO |4500|41500|X|X|X|2022-02-17|2022-02-24|x|x|x|x|x|QX002LYO9KVTQO|x|HOMBRE|X|46000|X|X|X|X|X|X|X|X|CARDENAS|X|X|X|X|FINAL</v>
      </c>
    </row>
    <row r="463" spans="1:82" x14ac:dyDescent="0.25">
      <c r="A463" t="s">
        <v>1033</v>
      </c>
      <c r="B463" t="s">
        <v>1034</v>
      </c>
      <c r="C463">
        <v>3</v>
      </c>
      <c r="D463" t="s">
        <v>1369</v>
      </c>
      <c r="E463" t="s">
        <v>1380</v>
      </c>
      <c r="F463" t="s">
        <v>0</v>
      </c>
      <c r="G463" t="s">
        <v>0</v>
      </c>
      <c r="H463" t="s">
        <v>1518</v>
      </c>
      <c r="I463">
        <v>14800</v>
      </c>
      <c r="J463">
        <v>0</v>
      </c>
      <c r="K463">
        <v>400</v>
      </c>
      <c r="L463">
        <v>50</v>
      </c>
      <c r="M463">
        <v>2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Y463">
        <v>0</v>
      </c>
      <c r="Z463">
        <v>0</v>
      </c>
      <c r="AA463">
        <v>0</v>
      </c>
      <c r="AB463" t="s">
        <v>7</v>
      </c>
      <c r="AC463" t="s">
        <v>2282</v>
      </c>
      <c r="AD463" t="s">
        <v>2283</v>
      </c>
      <c r="AE463" t="s">
        <v>4</v>
      </c>
      <c r="AF463" t="s">
        <v>1</v>
      </c>
      <c r="AG463" t="s">
        <v>1</v>
      </c>
      <c r="AH463" t="s">
        <v>2835</v>
      </c>
      <c r="AI463" t="s">
        <v>3112</v>
      </c>
      <c r="AJ463" t="s">
        <v>1</v>
      </c>
      <c r="AK463">
        <v>9371701627</v>
      </c>
      <c r="AL463" t="s">
        <v>1</v>
      </c>
      <c r="AM463" t="s">
        <v>1</v>
      </c>
      <c r="AN463" t="s">
        <v>1</v>
      </c>
      <c r="AO463" t="s">
        <v>2835</v>
      </c>
      <c r="AP463" t="s">
        <v>1</v>
      </c>
      <c r="AQ463" t="s">
        <v>2</v>
      </c>
      <c r="AR463" t="s">
        <v>3</v>
      </c>
      <c r="AS463" t="s">
        <v>3</v>
      </c>
      <c r="AT463" t="s">
        <v>3</v>
      </c>
      <c r="AU463" t="s">
        <v>3</v>
      </c>
      <c r="AV463" t="s">
        <v>3</v>
      </c>
      <c r="AW463" t="s">
        <v>11</v>
      </c>
      <c r="AX463">
        <f>Tabla1[[#This Row],[precio del paquete]]-Tabla1[[#This Row],[Saldo_Deudor]]</f>
        <v>1200</v>
      </c>
      <c r="AY463">
        <v>13600</v>
      </c>
      <c r="AZ463" t="s">
        <v>1</v>
      </c>
      <c r="BA463" t="s">
        <v>1</v>
      </c>
      <c r="BB463" t="s">
        <v>1</v>
      </c>
      <c r="BC463" t="s">
        <v>3277</v>
      </c>
      <c r="BD463" t="s">
        <v>3327</v>
      </c>
      <c r="BE463" t="s">
        <v>3</v>
      </c>
      <c r="BF463" t="s">
        <v>3</v>
      </c>
      <c r="BG463" t="s">
        <v>3</v>
      </c>
      <c r="BH463" t="s">
        <v>3</v>
      </c>
      <c r="BI463" t="s">
        <v>3</v>
      </c>
      <c r="BJ463" t="s">
        <v>3362</v>
      </c>
      <c r="BK463" t="s">
        <v>3</v>
      </c>
      <c r="BL463" t="s">
        <v>132</v>
      </c>
      <c r="BM463" t="s">
        <v>1</v>
      </c>
      <c r="BN463">
        <f>Tabla1[[#This Row],[precio del paquete]]</f>
        <v>14800</v>
      </c>
      <c r="BO463" t="s">
        <v>1</v>
      </c>
      <c r="BP463" t="s">
        <v>1</v>
      </c>
      <c r="BQ463" t="s">
        <v>1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0</v>
      </c>
      <c r="BX463" t="s">
        <v>1</v>
      </c>
      <c r="BY463" t="s">
        <v>1</v>
      </c>
      <c r="BZ463" t="s">
        <v>1</v>
      </c>
      <c r="CA463" t="s">
        <v>1</v>
      </c>
      <c r="CB463" t="s">
        <v>3382</v>
      </c>
      <c r="CD463" t="str" cm="1">
        <f t="array" aca="1" ref="CD463" ca="1">eConcatenar(A463:CB463,"|")</f>
        <v>VTfUtBeWr8IxzzFN|CAR2021-7070|3|MEMORIAL|TABASCO|CARDENAS|CARDENAS|2021-11-20|14800|0|400|50|2|0|0|0|0|0|0|0|0|0|0||0|0|0|LOPEZ|ROVIRA|FELICIANO|SOLTERO|X|X|CALLE SECCION 29 MANZANA 45 LOTE 20|COLONIA PETROLERA|X|9371701627|X|X|X|CALLE SECCION 29 MANZANA 45 LOTE 20|X|LUNES|x|x|x|x|x|DOMICILIO |1200|13600|X|X|X|2022-02-17|2022-02-24|x|x|x|x|x|QX002LYO9KVTQO|x|HOMBRE|X|14800|X|X|X|X|X|X|X|X|CARDENAS|X|X|X|X|FINAL</v>
      </c>
    </row>
    <row r="464" spans="1:82" x14ac:dyDescent="0.25">
      <c r="A464" t="s">
        <v>1035</v>
      </c>
      <c r="B464" t="s">
        <v>1036</v>
      </c>
      <c r="C464">
        <v>3</v>
      </c>
      <c r="D464" t="s">
        <v>1371</v>
      </c>
      <c r="E464" t="s">
        <v>1380</v>
      </c>
      <c r="F464" t="s">
        <v>0</v>
      </c>
      <c r="G464" t="s">
        <v>0</v>
      </c>
      <c r="H464" t="s">
        <v>1614</v>
      </c>
      <c r="I464">
        <v>11500</v>
      </c>
      <c r="J464">
        <v>0</v>
      </c>
      <c r="K464">
        <v>100</v>
      </c>
      <c r="L464">
        <v>50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Y464">
        <v>0</v>
      </c>
      <c r="Z464">
        <v>0</v>
      </c>
      <c r="AA464">
        <v>0</v>
      </c>
      <c r="AB464" t="s">
        <v>1919</v>
      </c>
      <c r="AC464" t="s">
        <v>1736</v>
      </c>
      <c r="AD464" t="s">
        <v>2284</v>
      </c>
      <c r="AE464" t="s">
        <v>4</v>
      </c>
      <c r="AF464" t="s">
        <v>1</v>
      </c>
      <c r="AG464" t="s">
        <v>1</v>
      </c>
      <c r="AH464" t="s">
        <v>2548</v>
      </c>
      <c r="AI464" t="s">
        <v>3085</v>
      </c>
      <c r="AJ464" t="s">
        <v>1</v>
      </c>
      <c r="AK464">
        <v>9373726216</v>
      </c>
      <c r="AL464" t="s">
        <v>1</v>
      </c>
      <c r="AM464" t="s">
        <v>1</v>
      </c>
      <c r="AN464" t="s">
        <v>1</v>
      </c>
      <c r="AO464" t="s">
        <v>2548</v>
      </c>
      <c r="AP464" t="s">
        <v>1</v>
      </c>
      <c r="AQ464" t="s">
        <v>2</v>
      </c>
      <c r="AR464" t="s">
        <v>3</v>
      </c>
      <c r="AS464" t="s">
        <v>3</v>
      </c>
      <c r="AT464" t="s">
        <v>3</v>
      </c>
      <c r="AU464" t="s">
        <v>3</v>
      </c>
      <c r="AV464" t="s">
        <v>3</v>
      </c>
      <c r="AW464" t="s">
        <v>11</v>
      </c>
      <c r="AX464">
        <f>Tabla1[[#This Row],[precio del paquete]]-Tabla1[[#This Row],[Saldo_Deudor]]</f>
        <v>2600</v>
      </c>
      <c r="AY464">
        <v>8900</v>
      </c>
      <c r="AZ464" t="s">
        <v>1</v>
      </c>
      <c r="BA464" t="s">
        <v>1</v>
      </c>
      <c r="BB464" t="s">
        <v>1</v>
      </c>
      <c r="BC464" t="s">
        <v>3277</v>
      </c>
      <c r="BD464" t="s">
        <v>3327</v>
      </c>
      <c r="BE464" t="s">
        <v>3</v>
      </c>
      <c r="BF464" t="s">
        <v>3</v>
      </c>
      <c r="BG464" t="s">
        <v>3</v>
      </c>
      <c r="BH464" t="s">
        <v>3</v>
      </c>
      <c r="BI464" t="s">
        <v>3</v>
      </c>
      <c r="BJ464" t="s">
        <v>3362</v>
      </c>
      <c r="BK464" t="s">
        <v>3</v>
      </c>
      <c r="BL464" t="s">
        <v>132</v>
      </c>
      <c r="BM464" t="s">
        <v>1</v>
      </c>
      <c r="BN464">
        <f>Tabla1[[#This Row],[precio del paquete]]</f>
        <v>11500</v>
      </c>
      <c r="BO464" t="s">
        <v>1</v>
      </c>
      <c r="BP464" t="s">
        <v>1</v>
      </c>
      <c r="BQ464" t="s">
        <v>1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0</v>
      </c>
      <c r="BX464" t="s">
        <v>1</v>
      </c>
      <c r="BY464" t="s">
        <v>1</v>
      </c>
      <c r="BZ464" t="s">
        <v>1</v>
      </c>
      <c r="CA464" t="s">
        <v>1</v>
      </c>
      <c r="CB464" t="s">
        <v>3382</v>
      </c>
      <c r="CD464" t="str" cm="1">
        <f t="array" aca="1" ref="CD464" ca="1">eConcatenar(A464:CB464,"|")</f>
        <v>GxxIf57TAe8QrxVO|CAR2017-2830|3|ECONOLINE|TABASCO|CARDENAS|CARDENAS|2017-03-02|11500|0|100|50|0|0|0|0|0|0|0|0|0|0|0||0|0|0|RAMIREZ|AGUILAR|FRANCISCO JAVIER|SOLTERO|X|X|CALLE FRONTERA|COLONIA SECCION 40|X|9373726216|X|X|X|CALLE FRONTERA|X|LUNES|x|x|x|x|x|DOMICILIO |2600|8900|X|X|X|2022-02-17|2022-02-24|x|x|x|x|x|QX002LYO9KVTQO|x|HOMBRE|X|11500|X|X|X|X|X|X|X|X|CARDENAS|X|X|X|X|FINAL</v>
      </c>
    </row>
    <row r="465" spans="1:82" x14ac:dyDescent="0.25">
      <c r="A465" t="s">
        <v>1037</v>
      </c>
      <c r="B465" t="s">
        <v>1038</v>
      </c>
      <c r="C465">
        <v>3</v>
      </c>
      <c r="D465" t="s">
        <v>1371</v>
      </c>
      <c r="E465" t="s">
        <v>1380</v>
      </c>
      <c r="F465" t="s">
        <v>0</v>
      </c>
      <c r="G465" t="s">
        <v>0</v>
      </c>
      <c r="H465" t="s">
        <v>1615</v>
      </c>
      <c r="I465">
        <v>12900</v>
      </c>
      <c r="J465">
        <v>0</v>
      </c>
      <c r="K465">
        <v>100</v>
      </c>
      <c r="L465">
        <v>50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Y465">
        <v>0</v>
      </c>
      <c r="Z465">
        <v>0</v>
      </c>
      <c r="AA465">
        <v>0</v>
      </c>
      <c r="AB465" t="s">
        <v>1748</v>
      </c>
      <c r="AC465" t="s">
        <v>1693</v>
      </c>
      <c r="AD465" t="s">
        <v>2285</v>
      </c>
      <c r="AE465" t="s">
        <v>4</v>
      </c>
      <c r="AF465" t="s">
        <v>1</v>
      </c>
      <c r="AG465" t="s">
        <v>1</v>
      </c>
      <c r="AH465" t="s">
        <v>2836</v>
      </c>
      <c r="AI465" t="s">
        <v>3060</v>
      </c>
      <c r="AJ465" t="s">
        <v>1</v>
      </c>
      <c r="AK465">
        <v>9371661269</v>
      </c>
      <c r="AL465" t="s">
        <v>1</v>
      </c>
      <c r="AM465" t="s">
        <v>1</v>
      </c>
      <c r="AN465" t="s">
        <v>1</v>
      </c>
      <c r="AO465" t="s">
        <v>2836</v>
      </c>
      <c r="AP465" t="s">
        <v>1</v>
      </c>
      <c r="AQ465" t="s">
        <v>2</v>
      </c>
      <c r="AR465" t="s">
        <v>3</v>
      </c>
      <c r="AS465" t="s">
        <v>3</v>
      </c>
      <c r="AT465" t="s">
        <v>3</v>
      </c>
      <c r="AU465" t="s">
        <v>3</v>
      </c>
      <c r="AV465" t="s">
        <v>3</v>
      </c>
      <c r="AW465" t="s">
        <v>11</v>
      </c>
      <c r="AX465">
        <f>Tabla1[[#This Row],[precio del paquete]]-Tabla1[[#This Row],[Saldo_Deudor]]</f>
        <v>6900</v>
      </c>
      <c r="AY465">
        <v>6000</v>
      </c>
      <c r="AZ465" t="s">
        <v>1</v>
      </c>
      <c r="BA465" t="s">
        <v>1</v>
      </c>
      <c r="BB465" t="s">
        <v>1</v>
      </c>
      <c r="BC465" t="s">
        <v>3277</v>
      </c>
      <c r="BD465" t="s">
        <v>3327</v>
      </c>
      <c r="BE465" t="s">
        <v>3</v>
      </c>
      <c r="BF465" t="s">
        <v>3</v>
      </c>
      <c r="BG465" t="s">
        <v>3</v>
      </c>
      <c r="BH465" t="s">
        <v>3</v>
      </c>
      <c r="BI465" t="s">
        <v>3</v>
      </c>
      <c r="BJ465" t="s">
        <v>3362</v>
      </c>
      <c r="BK465" t="s">
        <v>3</v>
      </c>
      <c r="BL465" t="s">
        <v>132</v>
      </c>
      <c r="BM465" t="s">
        <v>1</v>
      </c>
      <c r="BN465">
        <f>Tabla1[[#This Row],[precio del paquete]]</f>
        <v>12900</v>
      </c>
      <c r="BO465" t="s">
        <v>1</v>
      </c>
      <c r="BP465" t="s">
        <v>1</v>
      </c>
      <c r="BQ465" t="s">
        <v>1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0</v>
      </c>
      <c r="BX465" t="s">
        <v>1</v>
      </c>
      <c r="BY465" t="s">
        <v>1</v>
      </c>
      <c r="BZ465" t="s">
        <v>1</v>
      </c>
      <c r="CA465" t="s">
        <v>1</v>
      </c>
      <c r="CB465" t="s">
        <v>3382</v>
      </c>
      <c r="CD465" t="str" cm="1">
        <f t="array" aca="1" ref="CD465" ca="1">eConcatenar(A465:CB465,"|")</f>
        <v>VDTZvtdjR3Za0vv7|CAR2019-3527|3|ECONOLINE|TABASCO|CARDENAS|CARDENAS|2019-11-18|12900|0|100|50|0|0|0|0|0|0|0|0|0|0|0||0|0|0|JIMENEZ|RODRIGUEZ|DAVID|SOLTERO|X|X|CALLE 27 DE FEBRERO|COLONIA PUEBLO NUEVO|X|9371661269|X|X|X|CALLE 27 DE FEBRERO|X|LUNES|x|x|x|x|x|DOMICILIO |6900|6000|X|X|X|2022-02-17|2022-02-24|x|x|x|x|x|QX002LYO9KVTQO|x|HOMBRE|X|12900|X|X|X|X|X|X|X|X|CARDENAS|X|X|X|X|FINAL</v>
      </c>
    </row>
    <row r="466" spans="1:82" x14ac:dyDescent="0.25">
      <c r="A466" t="s">
        <v>1039</v>
      </c>
      <c r="B466" t="s">
        <v>1040</v>
      </c>
      <c r="C466">
        <v>3</v>
      </c>
      <c r="D466" t="s">
        <v>1369</v>
      </c>
      <c r="E466" t="s">
        <v>1380</v>
      </c>
      <c r="F466" t="s">
        <v>0</v>
      </c>
      <c r="G466" t="s">
        <v>0</v>
      </c>
      <c r="H466" t="s">
        <v>1616</v>
      </c>
      <c r="I466">
        <v>14800</v>
      </c>
      <c r="J466">
        <v>0</v>
      </c>
      <c r="K466">
        <v>50</v>
      </c>
      <c r="L466">
        <v>50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Y466">
        <v>0</v>
      </c>
      <c r="Z466">
        <v>0</v>
      </c>
      <c r="AA466">
        <v>0</v>
      </c>
      <c r="AB466" t="s">
        <v>1987</v>
      </c>
      <c r="AC466" t="s">
        <v>1713</v>
      </c>
      <c r="AD466" t="s">
        <v>2286</v>
      </c>
      <c r="AE466" t="s">
        <v>4</v>
      </c>
      <c r="AF466" t="s">
        <v>1</v>
      </c>
      <c r="AG466" t="s">
        <v>1</v>
      </c>
      <c r="AH466" t="s">
        <v>2837</v>
      </c>
      <c r="AI466" t="s">
        <v>3179</v>
      </c>
      <c r="AJ466" t="s">
        <v>1</v>
      </c>
      <c r="AK466">
        <v>9371090283</v>
      </c>
      <c r="AL466" t="s">
        <v>1</v>
      </c>
      <c r="AM466" t="s">
        <v>1</v>
      </c>
      <c r="AN466" t="s">
        <v>1</v>
      </c>
      <c r="AO466" t="s">
        <v>2837</v>
      </c>
      <c r="AP466" t="s">
        <v>1</v>
      </c>
      <c r="AQ466" t="s">
        <v>2</v>
      </c>
      <c r="AR466" t="s">
        <v>3</v>
      </c>
      <c r="AS466" t="s">
        <v>3</v>
      </c>
      <c r="AT466" t="s">
        <v>3</v>
      </c>
      <c r="AU466" t="s">
        <v>3</v>
      </c>
      <c r="AV466" t="s">
        <v>3</v>
      </c>
      <c r="AW466" t="s">
        <v>11</v>
      </c>
      <c r="AX466">
        <f>Tabla1[[#This Row],[precio del paquete]]-Tabla1[[#This Row],[Saldo_Deudor]]</f>
        <v>1150</v>
      </c>
      <c r="AY466">
        <v>13650</v>
      </c>
      <c r="AZ466" t="s">
        <v>1</v>
      </c>
      <c r="BA466" t="s">
        <v>1</v>
      </c>
      <c r="BB466" t="s">
        <v>1</v>
      </c>
      <c r="BC466" t="s">
        <v>3277</v>
      </c>
      <c r="BD466" t="s">
        <v>3327</v>
      </c>
      <c r="BE466" t="s">
        <v>3</v>
      </c>
      <c r="BF466" t="s">
        <v>3</v>
      </c>
      <c r="BG466" t="s">
        <v>3</v>
      </c>
      <c r="BH466" t="s">
        <v>3</v>
      </c>
      <c r="BI466" t="s">
        <v>3</v>
      </c>
      <c r="BJ466" t="s">
        <v>3362</v>
      </c>
      <c r="BK466" t="s">
        <v>3</v>
      </c>
      <c r="BL466" t="s">
        <v>132</v>
      </c>
      <c r="BM466" t="s">
        <v>1</v>
      </c>
      <c r="BN466">
        <f>Tabla1[[#This Row],[precio del paquete]]</f>
        <v>14800</v>
      </c>
      <c r="BO466" t="s">
        <v>1</v>
      </c>
      <c r="BP466" t="s">
        <v>1</v>
      </c>
      <c r="BQ466" t="s">
        <v>1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0</v>
      </c>
      <c r="BX466" t="s">
        <v>1</v>
      </c>
      <c r="BY466" t="s">
        <v>1</v>
      </c>
      <c r="BZ466" t="s">
        <v>1</v>
      </c>
      <c r="CA466" t="s">
        <v>1</v>
      </c>
      <c r="CB466" t="s">
        <v>3382</v>
      </c>
      <c r="CD466" t="str" cm="1">
        <f t="array" aca="1" ref="CD466" ca="1">eConcatenar(A466:CB466,"|")</f>
        <v>NrYhEfSUSVgK5HxZ|CAR2021-6822|3|MEMORIAL|TABASCO|CARDENAS|CARDENAS|2021-11-09|14800|0|50|50|0|0|0|0|0|0|0|0|0|0|0||0|0|0|CHABLE|DE LA CRUZ|JESUS DEL CARMEN|SOLTERO|X|X|CALLE MIGUEL ORRICO DE LOS LLANOS|COLONIA EL PALMAR|X|9371090283|X|X|X|CALLE MIGUEL ORRICO DE LOS LLANOS|X|LUNES|x|x|x|x|x|DOMICILIO |1150|13650|X|X|X|2022-02-17|2022-02-24|x|x|x|x|x|QX002LYO9KVTQO|x|HOMBRE|X|14800|X|X|X|X|X|X|X|X|CARDENAS|X|X|X|X|FINAL</v>
      </c>
    </row>
    <row r="467" spans="1:82" x14ac:dyDescent="0.25">
      <c r="A467" t="s">
        <v>1041</v>
      </c>
      <c r="B467" t="s">
        <v>1042</v>
      </c>
      <c r="C467">
        <v>3</v>
      </c>
      <c r="D467" t="s">
        <v>1371</v>
      </c>
      <c r="E467" t="s">
        <v>1380</v>
      </c>
      <c r="F467" t="s">
        <v>0</v>
      </c>
      <c r="G467" t="s">
        <v>0</v>
      </c>
      <c r="H467" t="s">
        <v>1528</v>
      </c>
      <c r="I467">
        <v>12900</v>
      </c>
      <c r="J467">
        <v>0</v>
      </c>
      <c r="K467">
        <v>100</v>
      </c>
      <c r="L467">
        <v>50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Y467">
        <v>0</v>
      </c>
      <c r="Z467">
        <v>0</v>
      </c>
      <c r="AA467">
        <v>0</v>
      </c>
      <c r="AB467" t="s">
        <v>1842</v>
      </c>
      <c r="AC467" t="s">
        <v>2287</v>
      </c>
      <c r="AD467" t="s">
        <v>2288</v>
      </c>
      <c r="AE467" t="s">
        <v>4</v>
      </c>
      <c r="AF467" t="s">
        <v>1</v>
      </c>
      <c r="AG467" t="s">
        <v>1</v>
      </c>
      <c r="AH467" t="s">
        <v>2838</v>
      </c>
      <c r="AI467" t="s">
        <v>3060</v>
      </c>
      <c r="AJ467" t="s">
        <v>1</v>
      </c>
      <c r="AK467">
        <v>9371384704</v>
      </c>
      <c r="AL467" t="s">
        <v>1</v>
      </c>
      <c r="AM467" t="s">
        <v>1</v>
      </c>
      <c r="AN467" t="s">
        <v>1</v>
      </c>
      <c r="AO467" t="s">
        <v>2838</v>
      </c>
      <c r="AP467" t="s">
        <v>1</v>
      </c>
      <c r="AQ467" t="s">
        <v>2</v>
      </c>
      <c r="AR467" t="s">
        <v>3</v>
      </c>
      <c r="AS467" t="s">
        <v>3</v>
      </c>
      <c r="AT467" t="s">
        <v>3</v>
      </c>
      <c r="AU467" t="s">
        <v>3</v>
      </c>
      <c r="AV467" t="s">
        <v>3</v>
      </c>
      <c r="AW467" t="s">
        <v>11</v>
      </c>
      <c r="AX467">
        <f>Tabla1[[#This Row],[precio del paquete]]-Tabla1[[#This Row],[Saldo_Deudor]]</f>
        <v>10600</v>
      </c>
      <c r="AY467">
        <v>2300</v>
      </c>
      <c r="AZ467" t="s">
        <v>1</v>
      </c>
      <c r="BA467" t="s">
        <v>1</v>
      </c>
      <c r="BB467" t="s">
        <v>1</v>
      </c>
      <c r="BC467" t="s">
        <v>3277</v>
      </c>
      <c r="BD467" t="s">
        <v>3327</v>
      </c>
      <c r="BE467" t="s">
        <v>3</v>
      </c>
      <c r="BF467" t="s">
        <v>3</v>
      </c>
      <c r="BG467" t="s">
        <v>3</v>
      </c>
      <c r="BH467" t="s">
        <v>3</v>
      </c>
      <c r="BI467" t="s">
        <v>3</v>
      </c>
      <c r="BJ467" t="s">
        <v>3362</v>
      </c>
      <c r="BK467" t="s">
        <v>3</v>
      </c>
      <c r="BL467" t="s">
        <v>132</v>
      </c>
      <c r="BM467" t="s">
        <v>1</v>
      </c>
      <c r="BN467">
        <f>Tabla1[[#This Row],[precio del paquete]]</f>
        <v>12900</v>
      </c>
      <c r="BO467" t="s">
        <v>1</v>
      </c>
      <c r="BP467" t="s">
        <v>1</v>
      </c>
      <c r="BQ467" t="s">
        <v>1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0</v>
      </c>
      <c r="BX467" t="s">
        <v>1</v>
      </c>
      <c r="BY467" t="s">
        <v>1</v>
      </c>
      <c r="BZ467" t="s">
        <v>1</v>
      </c>
      <c r="CA467" t="s">
        <v>1</v>
      </c>
      <c r="CB467" t="s">
        <v>3382</v>
      </c>
      <c r="CD467" t="str" cm="1">
        <f t="array" aca="1" ref="CD467" ca="1">eConcatenar(A467:CB467,"|")</f>
        <v>5OKjT0b4X3TKEZzz|CAR2019-3512|3|ECONOLINE|TABASCO|CARDENAS|CARDENAS|2019-11-15|12900|0|100|50|0|0|0|0|0|0|0|0|0|0|0||0|0|0|ORTIZ|BRITO|CARLOS ENRIQUE|SOLTERO|X|X|CALLE REPUBLICA DE ARGENTINA|COLONIA PUEBLO NUEVO|X|9371384704|X|X|X|CALLE REPUBLICA DE ARGENTINA|X|LUNES|x|x|x|x|x|DOMICILIO |10600|2300|X|X|X|2022-02-17|2022-02-24|x|x|x|x|x|QX002LYO9KVTQO|x|HOMBRE|X|12900|X|X|X|X|X|X|X|X|CARDENAS|X|X|X|X|FINAL</v>
      </c>
    </row>
    <row r="468" spans="1:82" x14ac:dyDescent="0.25">
      <c r="A468" t="s">
        <v>1043</v>
      </c>
      <c r="B468" t="s">
        <v>1044</v>
      </c>
      <c r="C468">
        <v>3</v>
      </c>
      <c r="D468" t="s">
        <v>1372</v>
      </c>
      <c r="E468" t="s">
        <v>1380</v>
      </c>
      <c r="F468" t="s">
        <v>0</v>
      </c>
      <c r="G468" t="s">
        <v>0</v>
      </c>
      <c r="H468" t="s">
        <v>1617</v>
      </c>
      <c r="I468">
        <v>12900</v>
      </c>
      <c r="J468">
        <v>0</v>
      </c>
      <c r="K468">
        <v>100</v>
      </c>
      <c r="L468">
        <v>50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Y468">
        <v>0</v>
      </c>
      <c r="Z468">
        <v>0</v>
      </c>
      <c r="AA468">
        <v>0</v>
      </c>
      <c r="AB468" t="s">
        <v>2289</v>
      </c>
      <c r="AC468" t="s">
        <v>2133</v>
      </c>
      <c r="AD468" t="s">
        <v>2290</v>
      </c>
      <c r="AE468" t="s">
        <v>4</v>
      </c>
      <c r="AF468" t="s">
        <v>1</v>
      </c>
      <c r="AG468" t="s">
        <v>1</v>
      </c>
      <c r="AH468" t="s">
        <v>2839</v>
      </c>
      <c r="AI468" t="s">
        <v>3180</v>
      </c>
      <c r="AJ468" t="s">
        <v>1</v>
      </c>
      <c r="AK468">
        <v>9331221824</v>
      </c>
      <c r="AL468" t="s">
        <v>1</v>
      </c>
      <c r="AM468" t="s">
        <v>1</v>
      </c>
      <c r="AN468" t="s">
        <v>1</v>
      </c>
      <c r="AO468" t="s">
        <v>2839</v>
      </c>
      <c r="AP468" t="s">
        <v>1</v>
      </c>
      <c r="AQ468" t="s">
        <v>2</v>
      </c>
      <c r="AR468" t="s">
        <v>3</v>
      </c>
      <c r="AS468" t="s">
        <v>3</v>
      </c>
      <c r="AT468" t="s">
        <v>3</v>
      </c>
      <c r="AU468" t="s">
        <v>3</v>
      </c>
      <c r="AV468" t="s">
        <v>3</v>
      </c>
      <c r="AW468" t="s">
        <v>11</v>
      </c>
      <c r="AX468">
        <f>Tabla1[[#This Row],[precio del paquete]]-Tabla1[[#This Row],[Saldo_Deudor]]</f>
        <v>5300</v>
      </c>
      <c r="AY468">
        <v>7600</v>
      </c>
      <c r="AZ468" t="s">
        <v>1</v>
      </c>
      <c r="BA468" t="s">
        <v>1</v>
      </c>
      <c r="BB468" t="s">
        <v>1</v>
      </c>
      <c r="BC468" t="s">
        <v>3277</v>
      </c>
      <c r="BD468" t="s">
        <v>3327</v>
      </c>
      <c r="BE468" t="s">
        <v>3</v>
      </c>
      <c r="BF468" t="s">
        <v>3</v>
      </c>
      <c r="BG468" t="s">
        <v>3</v>
      </c>
      <c r="BH468" t="s">
        <v>3</v>
      </c>
      <c r="BI468" t="s">
        <v>3</v>
      </c>
      <c r="BJ468" t="s">
        <v>3362</v>
      </c>
      <c r="BK468" t="s">
        <v>3</v>
      </c>
      <c r="BL468" t="s">
        <v>132</v>
      </c>
      <c r="BM468" t="s">
        <v>1</v>
      </c>
      <c r="BN468">
        <f>Tabla1[[#This Row],[precio del paquete]]</f>
        <v>12900</v>
      </c>
      <c r="BO468" t="s">
        <v>1</v>
      </c>
      <c r="BP468" t="s">
        <v>1</v>
      </c>
      <c r="BQ468" t="s">
        <v>1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0</v>
      </c>
      <c r="BX468" t="s">
        <v>1</v>
      </c>
      <c r="BY468" t="s">
        <v>1</v>
      </c>
      <c r="BZ468" t="s">
        <v>1</v>
      </c>
      <c r="CA468" t="s">
        <v>1</v>
      </c>
      <c r="CB468" t="s">
        <v>3382</v>
      </c>
      <c r="CD468" t="str" cm="1">
        <f t="array" aca="1" ref="CD468" ca="1">eConcatenar(A468:CB468,"|")</f>
        <v>NN7gjkijSB4UrkpQ|CAR2020-4689|3|IMPERIAL DE LUJO|TABASCO|CARDENAS|CARDENAS|2020-11-20|12900|0|100|50|0|0|0|0|0|0|0|0|0|0|0||0|0|0|TORIBIO|FRANCISCO|MIGUEL|SOLTERO|X|X|AVENIDA 9 NUMERO 206|COLONIA ALAMEDA|X|9331221824|X|X|X|AVENIDA 9 NUMERO 206|X|LUNES|x|x|x|x|x|DOMICILIO |5300|7600|X|X|X|2022-02-17|2022-02-24|x|x|x|x|x|QX002LYO9KVTQO|x|HOMBRE|X|12900|X|X|X|X|X|X|X|X|CARDENAS|X|X|X|X|FINAL</v>
      </c>
    </row>
    <row r="469" spans="1:82" x14ac:dyDescent="0.25">
      <c r="A469" t="s">
        <v>1045</v>
      </c>
      <c r="B469" t="s">
        <v>1046</v>
      </c>
      <c r="C469">
        <v>3</v>
      </c>
      <c r="D469" t="s">
        <v>1373</v>
      </c>
      <c r="E469" t="s">
        <v>1380</v>
      </c>
      <c r="F469" t="s">
        <v>0</v>
      </c>
      <c r="G469" t="s">
        <v>0</v>
      </c>
      <c r="H469" t="s">
        <v>1618</v>
      </c>
      <c r="I469">
        <v>19800</v>
      </c>
      <c r="J469">
        <v>0</v>
      </c>
      <c r="K469">
        <v>100</v>
      </c>
      <c r="L469">
        <v>50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Y469">
        <v>0</v>
      </c>
      <c r="Z469">
        <v>0</v>
      </c>
      <c r="AA469">
        <v>0</v>
      </c>
      <c r="AB469" t="s">
        <v>1711</v>
      </c>
      <c r="AC469" t="s">
        <v>2291</v>
      </c>
      <c r="AD469" t="s">
        <v>2292</v>
      </c>
      <c r="AE469" t="s">
        <v>4</v>
      </c>
      <c r="AF469" t="s">
        <v>1</v>
      </c>
      <c r="AG469" t="s">
        <v>1</v>
      </c>
      <c r="AH469" t="s">
        <v>2840</v>
      </c>
      <c r="AI469" t="s">
        <v>3086</v>
      </c>
      <c r="AJ469" t="s">
        <v>1</v>
      </c>
      <c r="AK469">
        <v>9371689834</v>
      </c>
      <c r="AL469" t="s">
        <v>1</v>
      </c>
      <c r="AM469" t="s">
        <v>1</v>
      </c>
      <c r="AN469" t="s">
        <v>1</v>
      </c>
      <c r="AO469" t="s">
        <v>2840</v>
      </c>
      <c r="AP469" t="s">
        <v>1</v>
      </c>
      <c r="AQ469" t="s">
        <v>2</v>
      </c>
      <c r="AR469" t="s">
        <v>3</v>
      </c>
      <c r="AS469" t="s">
        <v>3</v>
      </c>
      <c r="AT469" t="s">
        <v>3</v>
      </c>
      <c r="AU469" t="s">
        <v>3</v>
      </c>
      <c r="AV469" t="s">
        <v>3</v>
      </c>
      <c r="AW469" t="s">
        <v>11</v>
      </c>
      <c r="AX469">
        <f>Tabla1[[#This Row],[precio del paquete]]-Tabla1[[#This Row],[Saldo_Deudor]]</f>
        <v>5900</v>
      </c>
      <c r="AY469">
        <v>13900</v>
      </c>
      <c r="AZ469" t="s">
        <v>1</v>
      </c>
      <c r="BA469" t="s">
        <v>1</v>
      </c>
      <c r="BB469" t="s">
        <v>1</v>
      </c>
      <c r="BC469" t="s">
        <v>3277</v>
      </c>
      <c r="BD469" t="s">
        <v>3327</v>
      </c>
      <c r="BE469" t="s">
        <v>3</v>
      </c>
      <c r="BF469" t="s">
        <v>3</v>
      </c>
      <c r="BG469" t="s">
        <v>3</v>
      </c>
      <c r="BH469" t="s">
        <v>3</v>
      </c>
      <c r="BI469" t="s">
        <v>3</v>
      </c>
      <c r="BJ469" t="s">
        <v>3362</v>
      </c>
      <c r="BK469" t="s">
        <v>3</v>
      </c>
      <c r="BL469" t="s">
        <v>132</v>
      </c>
      <c r="BM469" t="s">
        <v>1</v>
      </c>
      <c r="BN469">
        <f>Tabla1[[#This Row],[precio del paquete]]</f>
        <v>19800</v>
      </c>
      <c r="BO469" t="s">
        <v>1</v>
      </c>
      <c r="BP469" t="s">
        <v>1</v>
      </c>
      <c r="BQ469" t="s">
        <v>1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0</v>
      </c>
      <c r="BX469" t="s">
        <v>1</v>
      </c>
      <c r="BY469" t="s">
        <v>1</v>
      </c>
      <c r="BZ469" t="s">
        <v>1</v>
      </c>
      <c r="CA469" t="s">
        <v>1</v>
      </c>
      <c r="CB469" t="s">
        <v>3382</v>
      </c>
      <c r="CD469" t="str" cm="1">
        <f t="array" aca="1" ref="CD469" ca="1">eConcatenar(A469:CB469,"|")</f>
        <v>yLvG0NSF8iowt940|CAR2020-4810|3|ZAFIRO|TABASCO|CARDENAS|CARDENAS|2020-11-24|19800|0|100|50|0|0|0|0|0|0|0|0|0|0|0||0|0|0|HERNANDEZ|PERALTA|YARELI|SOLTERO|X|X|CALLE CUAHUTEMOC|COLONIA CARDENAS CENTRO|X|9371689834|X|X|X|CALLE CUAHUTEMOC|X|LUNES|x|x|x|x|x|DOMICILIO |5900|13900|X|X|X|2022-02-17|2022-02-24|x|x|x|x|x|QX002LYO9KVTQO|x|HOMBRE|X|19800|X|X|X|X|X|X|X|X|CARDENAS|X|X|X|X|FINAL</v>
      </c>
    </row>
    <row r="470" spans="1:82" x14ac:dyDescent="0.25">
      <c r="A470" t="s">
        <v>1047</v>
      </c>
      <c r="B470" t="s">
        <v>1048</v>
      </c>
      <c r="C470">
        <v>3</v>
      </c>
      <c r="D470" t="s">
        <v>1372</v>
      </c>
      <c r="E470" t="s">
        <v>1380</v>
      </c>
      <c r="F470" t="s">
        <v>0</v>
      </c>
      <c r="G470" t="s">
        <v>0</v>
      </c>
      <c r="H470" t="s">
        <v>1619</v>
      </c>
      <c r="I470">
        <v>12900</v>
      </c>
      <c r="J470">
        <v>0</v>
      </c>
      <c r="K470">
        <v>100</v>
      </c>
      <c r="L470">
        <v>50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Y470">
        <v>0</v>
      </c>
      <c r="Z470">
        <v>0</v>
      </c>
      <c r="AA470">
        <v>0</v>
      </c>
      <c r="AB470" t="s">
        <v>1842</v>
      </c>
      <c r="AC470" t="s">
        <v>1815</v>
      </c>
      <c r="AD470" t="s">
        <v>2293</v>
      </c>
      <c r="AE470" t="s">
        <v>4</v>
      </c>
      <c r="AF470" t="s">
        <v>1</v>
      </c>
      <c r="AG470" t="s">
        <v>1</v>
      </c>
      <c r="AH470" t="s">
        <v>2841</v>
      </c>
      <c r="AI470" t="s">
        <v>3086</v>
      </c>
      <c r="AJ470" t="s">
        <v>1</v>
      </c>
      <c r="AK470">
        <v>9371107997</v>
      </c>
      <c r="AL470" t="s">
        <v>1</v>
      </c>
      <c r="AM470" t="s">
        <v>1</v>
      </c>
      <c r="AN470" t="s">
        <v>1</v>
      </c>
      <c r="AO470" t="s">
        <v>2841</v>
      </c>
      <c r="AP470" t="s">
        <v>1</v>
      </c>
      <c r="AQ470" t="s">
        <v>2</v>
      </c>
      <c r="AR470" t="s">
        <v>3</v>
      </c>
      <c r="AS470" t="s">
        <v>3</v>
      </c>
      <c r="AT470" t="s">
        <v>3</v>
      </c>
      <c r="AU470" t="s">
        <v>3</v>
      </c>
      <c r="AV470" t="s">
        <v>3</v>
      </c>
      <c r="AW470" t="s">
        <v>11</v>
      </c>
      <c r="AX470">
        <f>Tabla1[[#This Row],[precio del paquete]]-Tabla1[[#This Row],[Saldo_Deudor]]</f>
        <v>8100</v>
      </c>
      <c r="AY470">
        <v>4800</v>
      </c>
      <c r="AZ470" t="s">
        <v>1</v>
      </c>
      <c r="BA470" t="s">
        <v>1</v>
      </c>
      <c r="BB470" t="s">
        <v>1</v>
      </c>
      <c r="BC470" t="s">
        <v>3277</v>
      </c>
      <c r="BD470" t="s">
        <v>3327</v>
      </c>
      <c r="BE470" t="s">
        <v>3</v>
      </c>
      <c r="BF470" t="s">
        <v>3</v>
      </c>
      <c r="BG470" t="s">
        <v>3</v>
      </c>
      <c r="BH470" t="s">
        <v>3</v>
      </c>
      <c r="BI470" t="s">
        <v>3</v>
      </c>
      <c r="BJ470" t="s">
        <v>3362</v>
      </c>
      <c r="BK470" t="s">
        <v>3</v>
      </c>
      <c r="BL470" t="s">
        <v>132</v>
      </c>
      <c r="BM470" t="s">
        <v>1</v>
      </c>
      <c r="BN470">
        <f>Tabla1[[#This Row],[precio del paquete]]</f>
        <v>12900</v>
      </c>
      <c r="BO470" t="s">
        <v>1</v>
      </c>
      <c r="BP470" t="s">
        <v>1</v>
      </c>
      <c r="BQ470" t="s">
        <v>1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0</v>
      </c>
      <c r="BX470" t="s">
        <v>1</v>
      </c>
      <c r="BY470" t="s">
        <v>1</v>
      </c>
      <c r="BZ470" t="s">
        <v>1</v>
      </c>
      <c r="CA470" t="s">
        <v>1</v>
      </c>
      <c r="CB470" t="s">
        <v>3382</v>
      </c>
      <c r="CD470" t="str" cm="1">
        <f t="array" aca="1" ref="CD470" ca="1">eConcatenar(A470:CB470,"|")</f>
        <v>7KD4nRrNqaeJgcpA|CAR2020-0603|3|IMPERIAL DE LUJO|TABASCO|CARDENAS|CARDENAS|2020-02-18|12900|0|100|50|0|0|0|0|0|0|0|0|0|0|0||0|0|0|ORTIZ|LEON|ERICK EMANUEL|SOLTERO|X|X|CALLE ALLENDE NUMERO 407|COLONIA CARDENAS CENTRO|X|9371107997|X|X|X|CALLE ALLENDE NUMERO 407|X|LUNES|x|x|x|x|x|DOMICILIO |8100|4800|X|X|X|2022-02-17|2022-02-24|x|x|x|x|x|QX002LYO9KVTQO|x|HOMBRE|X|12900|X|X|X|X|X|X|X|X|CARDENAS|X|X|X|X|FINAL</v>
      </c>
    </row>
    <row r="471" spans="1:82" x14ac:dyDescent="0.25">
      <c r="A471" t="s">
        <v>1049</v>
      </c>
      <c r="B471" t="s">
        <v>1050</v>
      </c>
      <c r="C471">
        <v>3</v>
      </c>
      <c r="D471" t="s">
        <v>1371</v>
      </c>
      <c r="E471" t="s">
        <v>1380</v>
      </c>
      <c r="F471" t="s">
        <v>0</v>
      </c>
      <c r="G471" t="s">
        <v>0</v>
      </c>
      <c r="H471" t="s">
        <v>1599</v>
      </c>
      <c r="I471">
        <v>12900</v>
      </c>
      <c r="J471">
        <v>0</v>
      </c>
      <c r="K471">
        <v>100</v>
      </c>
      <c r="L471">
        <v>50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Y471">
        <v>0</v>
      </c>
      <c r="Z471">
        <v>0</v>
      </c>
      <c r="AA471">
        <v>0</v>
      </c>
      <c r="AB471" t="s">
        <v>1784</v>
      </c>
      <c r="AC471" t="s">
        <v>2257</v>
      </c>
      <c r="AD471" t="s">
        <v>1848</v>
      </c>
      <c r="AE471" t="s">
        <v>4</v>
      </c>
      <c r="AF471" t="s">
        <v>1</v>
      </c>
      <c r="AG471" t="s">
        <v>1</v>
      </c>
      <c r="AH471" t="s">
        <v>2842</v>
      </c>
      <c r="AI471" t="s">
        <v>3060</v>
      </c>
      <c r="AJ471" t="s">
        <v>1</v>
      </c>
      <c r="AK471">
        <v>9373780980</v>
      </c>
      <c r="AL471" t="s">
        <v>1</v>
      </c>
      <c r="AM471" t="s">
        <v>1</v>
      </c>
      <c r="AN471" t="s">
        <v>1</v>
      </c>
      <c r="AO471" t="s">
        <v>2842</v>
      </c>
      <c r="AP471" t="s">
        <v>1</v>
      </c>
      <c r="AQ471" t="s">
        <v>2</v>
      </c>
      <c r="AR471" t="s">
        <v>3</v>
      </c>
      <c r="AS471" t="s">
        <v>3</v>
      </c>
      <c r="AT471" t="s">
        <v>3</v>
      </c>
      <c r="AU471" t="s">
        <v>3</v>
      </c>
      <c r="AV471" t="s">
        <v>3</v>
      </c>
      <c r="AW471" t="s">
        <v>11</v>
      </c>
      <c r="AX471">
        <f>Tabla1[[#This Row],[precio del paquete]]-Tabla1[[#This Row],[Saldo_Deudor]]</f>
        <v>7100</v>
      </c>
      <c r="AY471">
        <v>5800</v>
      </c>
      <c r="AZ471" t="s">
        <v>1</v>
      </c>
      <c r="BA471" t="s">
        <v>1</v>
      </c>
      <c r="BB471" t="s">
        <v>1</v>
      </c>
      <c r="BC471" t="s">
        <v>3277</v>
      </c>
      <c r="BD471" t="s">
        <v>3327</v>
      </c>
      <c r="BE471" t="s">
        <v>3</v>
      </c>
      <c r="BF471" t="s">
        <v>3</v>
      </c>
      <c r="BG471" t="s">
        <v>3</v>
      </c>
      <c r="BH471" t="s">
        <v>3</v>
      </c>
      <c r="BI471" t="s">
        <v>3</v>
      </c>
      <c r="BJ471" t="s">
        <v>3362</v>
      </c>
      <c r="BK471" t="s">
        <v>3</v>
      </c>
      <c r="BL471" t="s">
        <v>132</v>
      </c>
      <c r="BM471" t="s">
        <v>1</v>
      </c>
      <c r="BN471">
        <f>Tabla1[[#This Row],[precio del paquete]]</f>
        <v>12900</v>
      </c>
      <c r="BO471" t="s">
        <v>1</v>
      </c>
      <c r="BP471" t="s">
        <v>1</v>
      </c>
      <c r="BQ471" t="s">
        <v>1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0</v>
      </c>
      <c r="BX471" t="s">
        <v>1</v>
      </c>
      <c r="BY471" t="s">
        <v>1</v>
      </c>
      <c r="BZ471" t="s">
        <v>1</v>
      </c>
      <c r="CA471" t="s">
        <v>1</v>
      </c>
      <c r="CB471" t="s">
        <v>3382</v>
      </c>
      <c r="CD471" t="str" cm="1">
        <f t="array" aca="1" ref="CD471" ca="1">eConcatenar(A471:CB471,"|")</f>
        <v>9zHsVVS4RuI81jXW|CAR2020-0487|3|ECONOLINE|TABASCO|CARDENAS|CARDENAS|2020-02-17|12900|0|100|50|0|0|0|0|0|0|0|0|0|0|0||0|0|0|GAMAS|FUENTES|MARIBEL|SOLTERO|X|X|CALLE JOAQUIN CUEVAS|COLONIA PUEBLO NUEVO|X|9373780980|X|X|X|CALLE JOAQUIN CUEVAS|X|LUNES|x|x|x|x|x|DOMICILIO |7100|5800|X|X|X|2022-02-17|2022-02-24|x|x|x|x|x|QX002LYO9KVTQO|x|HOMBRE|X|12900|X|X|X|X|X|X|X|X|CARDENAS|X|X|X|X|FINAL</v>
      </c>
    </row>
    <row r="472" spans="1:82" x14ac:dyDescent="0.25">
      <c r="A472" t="s">
        <v>1051</v>
      </c>
      <c r="B472" t="s">
        <v>1052</v>
      </c>
      <c r="C472">
        <v>3</v>
      </c>
      <c r="D472" t="s">
        <v>1373</v>
      </c>
      <c r="E472" t="s">
        <v>1380</v>
      </c>
      <c r="F472" t="s">
        <v>0</v>
      </c>
      <c r="G472" t="s">
        <v>0</v>
      </c>
      <c r="H472" t="s">
        <v>1620</v>
      </c>
      <c r="I472">
        <v>19800</v>
      </c>
      <c r="J472">
        <v>0</v>
      </c>
      <c r="K472">
        <v>100</v>
      </c>
      <c r="L472">
        <v>50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Y472">
        <v>0</v>
      </c>
      <c r="Z472">
        <v>0</v>
      </c>
      <c r="AA472">
        <v>0</v>
      </c>
      <c r="AB472" t="s">
        <v>1784</v>
      </c>
      <c r="AC472" t="s">
        <v>1919</v>
      </c>
      <c r="AD472" t="s">
        <v>2294</v>
      </c>
      <c r="AE472" t="s">
        <v>4</v>
      </c>
      <c r="AF472" t="s">
        <v>1</v>
      </c>
      <c r="AG472" t="s">
        <v>1</v>
      </c>
      <c r="AH472" t="s">
        <v>2843</v>
      </c>
      <c r="AI472" t="s">
        <v>3060</v>
      </c>
      <c r="AJ472" t="s">
        <v>1</v>
      </c>
      <c r="AK472">
        <v>9371712857</v>
      </c>
      <c r="AL472" t="s">
        <v>1</v>
      </c>
      <c r="AM472" t="s">
        <v>1</v>
      </c>
      <c r="AN472" t="s">
        <v>1</v>
      </c>
      <c r="AO472" t="s">
        <v>2843</v>
      </c>
      <c r="AP472" t="s">
        <v>1</v>
      </c>
      <c r="AQ472" t="s">
        <v>2</v>
      </c>
      <c r="AR472" t="s">
        <v>3</v>
      </c>
      <c r="AS472" t="s">
        <v>3</v>
      </c>
      <c r="AT472" t="s">
        <v>3</v>
      </c>
      <c r="AU472" t="s">
        <v>3</v>
      </c>
      <c r="AV472" t="s">
        <v>3</v>
      </c>
      <c r="AW472" t="s">
        <v>11</v>
      </c>
      <c r="AX472">
        <f>Tabla1[[#This Row],[precio del paquete]]-Tabla1[[#This Row],[Saldo_Deudor]]</f>
        <v>7400</v>
      </c>
      <c r="AY472">
        <v>12400</v>
      </c>
      <c r="AZ472" t="s">
        <v>1</v>
      </c>
      <c r="BA472" t="s">
        <v>1</v>
      </c>
      <c r="BB472" t="s">
        <v>1</v>
      </c>
      <c r="BC472" t="s">
        <v>3277</v>
      </c>
      <c r="BD472" t="s">
        <v>3327</v>
      </c>
      <c r="BE472" t="s">
        <v>3</v>
      </c>
      <c r="BF472" t="s">
        <v>3</v>
      </c>
      <c r="BG472" t="s">
        <v>3</v>
      </c>
      <c r="BH472" t="s">
        <v>3</v>
      </c>
      <c r="BI472" t="s">
        <v>3</v>
      </c>
      <c r="BJ472" t="s">
        <v>3362</v>
      </c>
      <c r="BK472" t="s">
        <v>3</v>
      </c>
      <c r="BL472" t="s">
        <v>132</v>
      </c>
      <c r="BM472" t="s">
        <v>1</v>
      </c>
      <c r="BN472">
        <f>Tabla1[[#This Row],[precio del paquete]]</f>
        <v>19800</v>
      </c>
      <c r="BO472" t="s">
        <v>1</v>
      </c>
      <c r="BP472" t="s">
        <v>1</v>
      </c>
      <c r="BQ472" t="s">
        <v>1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0</v>
      </c>
      <c r="BX472" t="s">
        <v>1</v>
      </c>
      <c r="BY472" t="s">
        <v>1</v>
      </c>
      <c r="BZ472" t="s">
        <v>1</v>
      </c>
      <c r="CA472" t="s">
        <v>1</v>
      </c>
      <c r="CB472" t="s">
        <v>3382</v>
      </c>
      <c r="CD472" t="str" cm="1">
        <f t="array" aca="1" ref="CD472" ca="1">eConcatenar(A472:CB472,"|")</f>
        <v>mqHX9SNZHUEutAFU|CAR2020-0658|3|ZAFIRO|TABASCO|CARDENAS|CARDENAS|2019-02-27|19800|0|100|50|0|0|0|0|0|0|0|0|0|0|0||0|0|0|GAMAS|RAMIREZ|ROSA CARMINA|SOLTERO|X|X|CALLE JOAQUIN CUEVAS NUMERO 304|COLONIA PUEBLO NUEVO|X|9371712857|X|X|X|CALLE JOAQUIN CUEVAS NUMERO 304|X|LUNES|x|x|x|x|x|DOMICILIO |7400|12400|X|X|X|2022-02-17|2022-02-24|x|x|x|x|x|QX002LYO9KVTQO|x|HOMBRE|X|19800|X|X|X|X|X|X|X|X|CARDENAS|X|X|X|X|FINAL</v>
      </c>
    </row>
    <row r="473" spans="1:82" x14ac:dyDescent="0.25">
      <c r="A473" t="s">
        <v>1053</v>
      </c>
      <c r="B473" t="s">
        <v>1054</v>
      </c>
      <c r="C473">
        <v>3</v>
      </c>
      <c r="D473" t="s">
        <v>1372</v>
      </c>
      <c r="E473" t="s">
        <v>1380</v>
      </c>
      <c r="F473" t="s">
        <v>0</v>
      </c>
      <c r="G473" t="s">
        <v>0</v>
      </c>
      <c r="H473" t="s">
        <v>1621</v>
      </c>
      <c r="I473">
        <v>12900</v>
      </c>
      <c r="J473">
        <v>0</v>
      </c>
      <c r="K473">
        <v>100</v>
      </c>
      <c r="L473">
        <v>50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Y473">
        <v>0</v>
      </c>
      <c r="Z473">
        <v>0</v>
      </c>
      <c r="AA473">
        <v>0</v>
      </c>
      <c r="AB473" t="s">
        <v>2295</v>
      </c>
      <c r="AC473" t="s">
        <v>2257</v>
      </c>
      <c r="AD473" t="s">
        <v>2296</v>
      </c>
      <c r="AE473" t="s">
        <v>4</v>
      </c>
      <c r="AF473" t="s">
        <v>1</v>
      </c>
      <c r="AG473" t="s">
        <v>1</v>
      </c>
      <c r="AH473" t="s">
        <v>2844</v>
      </c>
      <c r="AI473" t="s">
        <v>3060</v>
      </c>
      <c r="AJ473" t="s">
        <v>1</v>
      </c>
      <c r="AK473">
        <v>9371669225</v>
      </c>
      <c r="AL473" t="s">
        <v>1</v>
      </c>
      <c r="AM473" t="s">
        <v>1</v>
      </c>
      <c r="AN473" t="s">
        <v>1</v>
      </c>
      <c r="AO473" t="s">
        <v>2844</v>
      </c>
      <c r="AP473" t="s">
        <v>1</v>
      </c>
      <c r="AQ473" t="s">
        <v>2</v>
      </c>
      <c r="AR473" t="s">
        <v>3</v>
      </c>
      <c r="AS473" t="s">
        <v>3</v>
      </c>
      <c r="AT473" t="s">
        <v>3</v>
      </c>
      <c r="AU473" t="s">
        <v>3</v>
      </c>
      <c r="AV473" t="s">
        <v>3</v>
      </c>
      <c r="AW473" t="s">
        <v>11</v>
      </c>
      <c r="AX473">
        <f>Tabla1[[#This Row],[precio del paquete]]-Tabla1[[#This Row],[Saldo_Deudor]]</f>
        <v>7800</v>
      </c>
      <c r="AY473">
        <v>5100</v>
      </c>
      <c r="AZ473" t="s">
        <v>1</v>
      </c>
      <c r="BA473" t="s">
        <v>1</v>
      </c>
      <c r="BB473" t="s">
        <v>1</v>
      </c>
      <c r="BC473" t="s">
        <v>3277</v>
      </c>
      <c r="BD473" t="s">
        <v>3327</v>
      </c>
      <c r="BE473" t="s">
        <v>3</v>
      </c>
      <c r="BF473" t="s">
        <v>3</v>
      </c>
      <c r="BG473" t="s">
        <v>3</v>
      </c>
      <c r="BH473" t="s">
        <v>3</v>
      </c>
      <c r="BI473" t="s">
        <v>3</v>
      </c>
      <c r="BJ473" t="s">
        <v>3362</v>
      </c>
      <c r="BK473" t="s">
        <v>3</v>
      </c>
      <c r="BL473" t="s">
        <v>132</v>
      </c>
      <c r="BM473" t="s">
        <v>1</v>
      </c>
      <c r="BN473">
        <f>Tabla1[[#This Row],[precio del paquete]]</f>
        <v>12900</v>
      </c>
      <c r="BO473" t="s">
        <v>1</v>
      </c>
      <c r="BP473" t="s">
        <v>1</v>
      </c>
      <c r="BQ473" t="s">
        <v>1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0</v>
      </c>
      <c r="BX473" t="s">
        <v>1</v>
      </c>
      <c r="BY473" t="s">
        <v>1</v>
      </c>
      <c r="BZ473" t="s">
        <v>1</v>
      </c>
      <c r="CA473" t="s">
        <v>1</v>
      </c>
      <c r="CB473" t="s">
        <v>3382</v>
      </c>
      <c r="CD473" t="str" cm="1">
        <f t="array" aca="1" ref="CD473" ca="1">eConcatenar(A473:CB473,"|")</f>
        <v>m2jNjtgKnf15QlD2|CAR2020-0631|3|IMPERIAL DE LUJO|TABASCO|CARDENAS|CARDENAS|2020-02-21|12900|0|100|50|0|0|0|0|0|0|0|0|0|0|0||0|0|0|CACHO|FUENTES|ISABEL|SOLTERO|X|X|CALLE REVOLUCION|COLONIA PUEBLO NUEVO|X|9371669225|X|X|X|CALLE REVOLUCION|X|LUNES|x|x|x|x|x|DOMICILIO |7800|5100|X|X|X|2022-02-17|2022-02-24|x|x|x|x|x|QX002LYO9KVTQO|x|HOMBRE|X|12900|X|X|X|X|X|X|X|X|CARDENAS|X|X|X|X|FINAL</v>
      </c>
    </row>
    <row r="474" spans="1:82" x14ac:dyDescent="0.25">
      <c r="A474" t="s">
        <v>1055</v>
      </c>
      <c r="B474" t="s">
        <v>1056</v>
      </c>
      <c r="C474">
        <v>3</v>
      </c>
      <c r="D474" t="s">
        <v>1368</v>
      </c>
      <c r="E474" t="s">
        <v>1380</v>
      </c>
      <c r="F474" t="s">
        <v>0</v>
      </c>
      <c r="G474" t="s">
        <v>0</v>
      </c>
      <c r="H474" t="s">
        <v>1443</v>
      </c>
      <c r="I474">
        <v>24500</v>
      </c>
      <c r="J474">
        <v>0</v>
      </c>
      <c r="K474">
        <v>500</v>
      </c>
      <c r="L474">
        <v>50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Y474">
        <v>0</v>
      </c>
      <c r="Z474">
        <v>0</v>
      </c>
      <c r="AA474">
        <v>0</v>
      </c>
      <c r="AB474" t="s">
        <v>2297</v>
      </c>
      <c r="AC474" t="s">
        <v>2298</v>
      </c>
      <c r="AD474" t="s">
        <v>2022</v>
      </c>
      <c r="AE474" t="s">
        <v>4</v>
      </c>
      <c r="AF474" t="s">
        <v>1</v>
      </c>
      <c r="AG474" t="s">
        <v>1</v>
      </c>
      <c r="AH474" t="s">
        <v>2845</v>
      </c>
      <c r="AI474" t="s">
        <v>3086</v>
      </c>
      <c r="AJ474" t="s">
        <v>1</v>
      </c>
      <c r="AK474">
        <v>9371700195</v>
      </c>
      <c r="AL474" t="s">
        <v>1</v>
      </c>
      <c r="AM474" t="s">
        <v>1</v>
      </c>
      <c r="AN474" t="s">
        <v>1</v>
      </c>
      <c r="AO474" t="s">
        <v>2845</v>
      </c>
      <c r="AP474" t="s">
        <v>1</v>
      </c>
      <c r="AQ474" t="s">
        <v>2</v>
      </c>
      <c r="AR474" t="s">
        <v>3</v>
      </c>
      <c r="AS474" t="s">
        <v>3</v>
      </c>
      <c r="AT474" t="s">
        <v>3</v>
      </c>
      <c r="AU474" t="s">
        <v>3</v>
      </c>
      <c r="AV474" t="s">
        <v>3</v>
      </c>
      <c r="AW474" t="s">
        <v>11</v>
      </c>
      <c r="AX474">
        <f>Tabla1[[#This Row],[precio del paquete]]-Tabla1[[#This Row],[Saldo_Deudor]]</f>
        <v>3300</v>
      </c>
      <c r="AY474">
        <v>21200</v>
      </c>
      <c r="AZ474" t="s">
        <v>1</v>
      </c>
      <c r="BA474" t="s">
        <v>1</v>
      </c>
      <c r="BB474" t="s">
        <v>1</v>
      </c>
      <c r="BC474" t="s">
        <v>3277</v>
      </c>
      <c r="BD474" t="s">
        <v>3327</v>
      </c>
      <c r="BE474" t="s">
        <v>3</v>
      </c>
      <c r="BF474" t="s">
        <v>3</v>
      </c>
      <c r="BG474" t="s">
        <v>3</v>
      </c>
      <c r="BH474" t="s">
        <v>3</v>
      </c>
      <c r="BI474" t="s">
        <v>3</v>
      </c>
      <c r="BJ474" t="s">
        <v>3362</v>
      </c>
      <c r="BK474" t="s">
        <v>3</v>
      </c>
      <c r="BL474" t="s">
        <v>132</v>
      </c>
      <c r="BM474" t="s">
        <v>1</v>
      </c>
      <c r="BN474">
        <f>Tabla1[[#This Row],[precio del paquete]]</f>
        <v>24500</v>
      </c>
      <c r="BO474" t="s">
        <v>1</v>
      </c>
      <c r="BP474" t="s">
        <v>1</v>
      </c>
      <c r="BQ474" t="s">
        <v>1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0</v>
      </c>
      <c r="BX474" t="s">
        <v>1</v>
      </c>
      <c r="BY474" t="s">
        <v>1</v>
      </c>
      <c r="BZ474" t="s">
        <v>1</v>
      </c>
      <c r="CA474" t="s">
        <v>1</v>
      </c>
      <c r="CB474" t="s">
        <v>3382</v>
      </c>
      <c r="CD474" t="str" cm="1">
        <f t="array" aca="1" ref="CD474" ca="1">eConcatenar(A474:CB474,"|")</f>
        <v>7sczYljUqIYxUtPN|CAR2021-6689|3|DIGNITY|TABASCO|CARDENAS|CARDENAS|2021-11-06|24500|0|500|50|0|0|0|0|0|0|0|0|0|0|0||0|0|0|GUERRERO|ROSAS|ISIDRO|SOLTERO|X|X|CALLE JUAREZ 423 Y 425|COLONIA CARDENAS CENTRO|X|9371700195|X|X|X|CALLE JUAREZ 423 Y 425|X|LUNES|x|x|x|x|x|DOMICILIO |3300|21200|X|X|X|2022-02-17|2022-02-24|x|x|x|x|x|QX002LYO9KVTQO|x|HOMBRE|X|24500|X|X|X|X|X|X|X|X|CARDENAS|X|X|X|X|FINAL</v>
      </c>
    </row>
    <row r="475" spans="1:82" x14ac:dyDescent="0.25">
      <c r="A475" t="s">
        <v>1057</v>
      </c>
      <c r="B475" t="s">
        <v>1058</v>
      </c>
      <c r="C475">
        <v>3</v>
      </c>
      <c r="D475" t="s">
        <v>1371</v>
      </c>
      <c r="E475" t="s">
        <v>1380</v>
      </c>
      <c r="F475" t="s">
        <v>0</v>
      </c>
      <c r="G475" t="s">
        <v>0</v>
      </c>
      <c r="H475" t="s">
        <v>1622</v>
      </c>
      <c r="I475">
        <v>12900</v>
      </c>
      <c r="J475">
        <v>0</v>
      </c>
      <c r="K475">
        <v>100</v>
      </c>
      <c r="L475">
        <v>50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Y475">
        <v>0</v>
      </c>
      <c r="Z475">
        <v>0</v>
      </c>
      <c r="AA475">
        <v>0</v>
      </c>
      <c r="AB475" t="s">
        <v>1919</v>
      </c>
      <c r="AC475" t="s">
        <v>1810</v>
      </c>
      <c r="AD475" t="s">
        <v>2299</v>
      </c>
      <c r="AE475" t="s">
        <v>4</v>
      </c>
      <c r="AF475" t="s">
        <v>1</v>
      </c>
      <c r="AG475" t="s">
        <v>1</v>
      </c>
      <c r="AH475" t="s">
        <v>2846</v>
      </c>
      <c r="AI475" t="s">
        <v>3086</v>
      </c>
      <c r="AJ475" t="s">
        <v>1</v>
      </c>
      <c r="AK475">
        <v>9932407926</v>
      </c>
      <c r="AL475" t="s">
        <v>1</v>
      </c>
      <c r="AM475" t="s">
        <v>1</v>
      </c>
      <c r="AN475" t="s">
        <v>1</v>
      </c>
      <c r="AO475" t="s">
        <v>2846</v>
      </c>
      <c r="AP475" t="s">
        <v>1</v>
      </c>
      <c r="AQ475" t="s">
        <v>2</v>
      </c>
      <c r="AR475" t="s">
        <v>3</v>
      </c>
      <c r="AS475" t="s">
        <v>3</v>
      </c>
      <c r="AT475" t="s">
        <v>3</v>
      </c>
      <c r="AU475" t="s">
        <v>3</v>
      </c>
      <c r="AV475" t="s">
        <v>3</v>
      </c>
      <c r="AW475" t="s">
        <v>11</v>
      </c>
      <c r="AX475">
        <f>Tabla1[[#This Row],[precio del paquete]]-Tabla1[[#This Row],[Saldo_Deudor]]</f>
        <v>8600</v>
      </c>
      <c r="AY475">
        <v>4300</v>
      </c>
      <c r="AZ475" t="s">
        <v>1</v>
      </c>
      <c r="BA475" t="s">
        <v>1</v>
      </c>
      <c r="BB475" t="s">
        <v>1</v>
      </c>
      <c r="BC475" t="s">
        <v>3277</v>
      </c>
      <c r="BD475" t="s">
        <v>3327</v>
      </c>
      <c r="BE475" t="s">
        <v>3</v>
      </c>
      <c r="BF475" t="s">
        <v>3</v>
      </c>
      <c r="BG475" t="s">
        <v>3</v>
      </c>
      <c r="BH475" t="s">
        <v>3</v>
      </c>
      <c r="BI475" t="s">
        <v>3</v>
      </c>
      <c r="BJ475" t="s">
        <v>3362</v>
      </c>
      <c r="BK475" t="s">
        <v>3</v>
      </c>
      <c r="BL475" t="s">
        <v>132</v>
      </c>
      <c r="BM475" t="s">
        <v>1</v>
      </c>
      <c r="BN475">
        <f>Tabla1[[#This Row],[precio del paquete]]</f>
        <v>12900</v>
      </c>
      <c r="BO475" t="s">
        <v>1</v>
      </c>
      <c r="BP475" t="s">
        <v>1</v>
      </c>
      <c r="BQ475" t="s">
        <v>1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0</v>
      </c>
      <c r="BX475" t="s">
        <v>1</v>
      </c>
      <c r="BY475" t="s">
        <v>1</v>
      </c>
      <c r="BZ475" t="s">
        <v>1</v>
      </c>
      <c r="CA475" t="s">
        <v>1</v>
      </c>
      <c r="CB475" t="s">
        <v>3382</v>
      </c>
      <c r="CD475" t="str" cm="1">
        <f t="array" aca="1" ref="CD475" ca="1">eConcatenar(A475:CB475,"|")</f>
        <v>RC5MUuQqkIuJxCbV|CAR2019-2548|3|ECONOLINE|TABASCO|CARDENAS|CARDENAS|2019-09-19|12900|0|100|50|0|0|0|0|0|0|0|0|0|0|0||0|0|0|RAMIREZ|CRUZ|LETICIA|SOLTERO|X|X|CALLE AUREO L CALLES|COLONIA CARDENAS CENTRO|X|9932407926|X|X|X|CALLE AUREO L CALLES|X|LUNES|x|x|x|x|x|DOMICILIO |8600|4300|X|X|X|2022-02-17|2022-02-24|x|x|x|x|x|QX002LYO9KVTQO|x|HOMBRE|X|12900|X|X|X|X|X|X|X|X|CARDENAS|X|X|X|X|FINAL</v>
      </c>
    </row>
    <row r="476" spans="1:82" x14ac:dyDescent="0.25">
      <c r="A476" t="s">
        <v>1059</v>
      </c>
      <c r="B476" t="s">
        <v>1060</v>
      </c>
      <c r="C476">
        <v>3</v>
      </c>
      <c r="D476" t="s">
        <v>1371</v>
      </c>
      <c r="E476" t="s">
        <v>1380</v>
      </c>
      <c r="F476" t="s">
        <v>1381</v>
      </c>
      <c r="G476" t="s">
        <v>1381</v>
      </c>
      <c r="H476" t="s">
        <v>1623</v>
      </c>
      <c r="I476">
        <v>12900</v>
      </c>
      <c r="J476">
        <v>0</v>
      </c>
      <c r="K476">
        <v>200</v>
      </c>
      <c r="L476">
        <v>50</v>
      </c>
      <c r="M476">
        <v>1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Y476">
        <v>0</v>
      </c>
      <c r="Z476">
        <v>0</v>
      </c>
      <c r="AA476">
        <v>0</v>
      </c>
      <c r="AB476" t="s">
        <v>2140</v>
      </c>
      <c r="AC476" t="s">
        <v>7</v>
      </c>
      <c r="AD476" t="s">
        <v>2300</v>
      </c>
      <c r="AE476" t="s">
        <v>4</v>
      </c>
      <c r="AF476" t="s">
        <v>1</v>
      </c>
      <c r="AG476" t="s">
        <v>1</v>
      </c>
      <c r="AH476" t="s">
        <v>2847</v>
      </c>
      <c r="AI476" t="s">
        <v>3181</v>
      </c>
      <c r="AJ476" t="s">
        <v>1</v>
      </c>
      <c r="AK476">
        <v>9373742027</v>
      </c>
      <c r="AL476" t="s">
        <v>1</v>
      </c>
      <c r="AM476" t="s">
        <v>1</v>
      </c>
      <c r="AN476" t="s">
        <v>1</v>
      </c>
      <c r="AO476" t="s">
        <v>2847</v>
      </c>
      <c r="AP476" t="s">
        <v>1</v>
      </c>
      <c r="AQ476" t="s">
        <v>2</v>
      </c>
      <c r="AR476" t="s">
        <v>3</v>
      </c>
      <c r="AS476" t="s">
        <v>3</v>
      </c>
      <c r="AT476" t="s">
        <v>3</v>
      </c>
      <c r="AU476" t="s">
        <v>3</v>
      </c>
      <c r="AV476" t="s">
        <v>3</v>
      </c>
      <c r="AW476" t="s">
        <v>11</v>
      </c>
      <c r="AX476">
        <f>Tabla1[[#This Row],[precio del paquete]]-Tabla1[[#This Row],[Saldo_Deudor]]</f>
        <v>11200</v>
      </c>
      <c r="AY476">
        <v>1700</v>
      </c>
      <c r="AZ476" t="s">
        <v>1</v>
      </c>
      <c r="BA476" t="s">
        <v>1</v>
      </c>
      <c r="BB476" t="s">
        <v>1</v>
      </c>
      <c r="BC476" t="s">
        <v>3277</v>
      </c>
      <c r="BD476" t="s">
        <v>3327</v>
      </c>
      <c r="BE476" t="s">
        <v>3</v>
      </c>
      <c r="BF476" t="s">
        <v>3</v>
      </c>
      <c r="BG476" t="s">
        <v>3</v>
      </c>
      <c r="BH476" t="s">
        <v>3</v>
      </c>
      <c r="BI476" t="s">
        <v>3</v>
      </c>
      <c r="BJ476" t="s">
        <v>3362</v>
      </c>
      <c r="BK476" t="s">
        <v>3</v>
      </c>
      <c r="BL476" t="s">
        <v>132</v>
      </c>
      <c r="BM476" t="s">
        <v>1</v>
      </c>
      <c r="BN476">
        <f>Tabla1[[#This Row],[precio del paquete]]</f>
        <v>12900</v>
      </c>
      <c r="BO476" t="s">
        <v>1</v>
      </c>
      <c r="BP476" t="s">
        <v>1</v>
      </c>
      <c r="BQ476" t="s">
        <v>1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0</v>
      </c>
      <c r="BX476" t="s">
        <v>1</v>
      </c>
      <c r="BY476" t="s">
        <v>1</v>
      </c>
      <c r="BZ476" t="s">
        <v>1</v>
      </c>
      <c r="CA476" t="s">
        <v>1</v>
      </c>
      <c r="CB476" t="s">
        <v>3382</v>
      </c>
      <c r="CD476" t="str" cm="1">
        <f t="array" aca="1" ref="CD476" ca="1">eConcatenar(A476:CB476,"|")</f>
        <v>7PYgyQ0p4Ve13sBy|CAR2019-1204|3|ECONOLINE|TABASCO|CUNDUACAN|CUNDUACAN|2019-05-14|12900|0|200|50|1|0|0|0|0|0|0|0|0|0|0||0|0|0|RUEDA|LOPEZ|ROXANA|SOLTERO|X|X|COBRANZA EN FISCALIA|COLONIA CENTRO CUNDUACAN |X|9373742027|X|X|X|COBRANZA EN FISCALIA|X|LUNES|x|x|x|x|x|DOMICILIO |11200|1700|X|X|X|2022-02-17|2022-02-24|x|x|x|x|x|QX002LYO9KVTQO|x|HOMBRE|X|12900|X|X|X|X|X|X|X|X|CARDENAS|X|X|X|X|FINAL</v>
      </c>
    </row>
    <row r="477" spans="1:82" x14ac:dyDescent="0.25">
      <c r="A477" t="s">
        <v>1061</v>
      </c>
      <c r="B477" t="s">
        <v>1062</v>
      </c>
      <c r="C477">
        <v>3</v>
      </c>
      <c r="D477" t="s">
        <v>1369</v>
      </c>
      <c r="E477" t="s">
        <v>1380</v>
      </c>
      <c r="F477" t="s">
        <v>0</v>
      </c>
      <c r="G477" t="s">
        <v>0</v>
      </c>
      <c r="H477" t="s">
        <v>1624</v>
      </c>
      <c r="I477">
        <v>14800</v>
      </c>
      <c r="J477">
        <v>0</v>
      </c>
      <c r="K477">
        <v>200</v>
      </c>
      <c r="L477">
        <v>50</v>
      </c>
      <c r="M477">
        <v>1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Y477">
        <v>0</v>
      </c>
      <c r="Z477">
        <v>0</v>
      </c>
      <c r="AA477">
        <v>0</v>
      </c>
      <c r="AB477" t="s">
        <v>1703</v>
      </c>
      <c r="AC477" t="s">
        <v>1703</v>
      </c>
      <c r="AD477" t="s">
        <v>2214</v>
      </c>
      <c r="AE477" t="s">
        <v>4</v>
      </c>
      <c r="AF477" t="s">
        <v>1</v>
      </c>
      <c r="AG477" t="s">
        <v>1</v>
      </c>
      <c r="AH477" t="s">
        <v>2848</v>
      </c>
      <c r="AI477" t="s">
        <v>3165</v>
      </c>
      <c r="AJ477" t="s">
        <v>1</v>
      </c>
      <c r="AK477">
        <v>9371678922</v>
      </c>
      <c r="AL477" t="s">
        <v>1</v>
      </c>
      <c r="AM477" t="s">
        <v>1</v>
      </c>
      <c r="AN477" t="s">
        <v>1</v>
      </c>
      <c r="AO477" t="s">
        <v>2848</v>
      </c>
      <c r="AP477" t="s">
        <v>1</v>
      </c>
      <c r="AQ477" t="s">
        <v>2</v>
      </c>
      <c r="AR477" t="s">
        <v>3</v>
      </c>
      <c r="AS477" t="s">
        <v>3</v>
      </c>
      <c r="AT477" t="s">
        <v>3</v>
      </c>
      <c r="AU477" t="s">
        <v>3</v>
      </c>
      <c r="AV477" t="s">
        <v>3</v>
      </c>
      <c r="AW477" t="s">
        <v>11</v>
      </c>
      <c r="AX477">
        <f>Tabla1[[#This Row],[precio del paquete]]-Tabla1[[#This Row],[Saldo_Deudor]]</f>
        <v>2100</v>
      </c>
      <c r="AY477">
        <v>12700</v>
      </c>
      <c r="AZ477" t="s">
        <v>1</v>
      </c>
      <c r="BA477" t="s">
        <v>1</v>
      </c>
      <c r="BB477" t="s">
        <v>1</v>
      </c>
      <c r="BC477" t="s">
        <v>3277</v>
      </c>
      <c r="BD477" t="s">
        <v>3327</v>
      </c>
      <c r="BE477" t="s">
        <v>3</v>
      </c>
      <c r="BF477" t="s">
        <v>3</v>
      </c>
      <c r="BG477" t="s">
        <v>3</v>
      </c>
      <c r="BH477" t="s">
        <v>3</v>
      </c>
      <c r="BI477" t="s">
        <v>3</v>
      </c>
      <c r="BJ477" t="s">
        <v>3362</v>
      </c>
      <c r="BK477" t="s">
        <v>3</v>
      </c>
      <c r="BL477" t="s">
        <v>132</v>
      </c>
      <c r="BM477" t="s">
        <v>1</v>
      </c>
      <c r="BN477">
        <f>Tabla1[[#This Row],[precio del paquete]]</f>
        <v>14800</v>
      </c>
      <c r="BO477" t="s">
        <v>1</v>
      </c>
      <c r="BP477" t="s">
        <v>1</v>
      </c>
      <c r="BQ477" t="s">
        <v>1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0</v>
      </c>
      <c r="BX477" t="s">
        <v>1</v>
      </c>
      <c r="BY477" t="s">
        <v>1</v>
      </c>
      <c r="BZ477" t="s">
        <v>1</v>
      </c>
      <c r="CA477" t="s">
        <v>1</v>
      </c>
      <c r="CB477" t="s">
        <v>3382</v>
      </c>
      <c r="CD477" t="str" cm="1">
        <f t="array" aca="1" ref="CD477" ca="1">eConcatenar(A477:CB477,"|")</f>
        <v>griM0Mmo8zDKIrOJ|CAR2021-5098|3|MEMORIAL|TABASCO|CARDENAS|CARDENAS|2021-09-06|14800|0|200|50|1|0|0|0|0|0|0|0|0|0|0||0|0|0|RAMOS|RAMOS|LUIS ENRIQUE|SOLTERO|X|X|CERRADA DE FRANCISCO VILLA CASA NUMERO 96|COLONIA SANTA MARIA DE GUADALUPE|X|9371678922|X|X|X|CERRADA DE FRANCISCO VILLA CASA NUMERO 96|X|LUNES|x|x|x|x|x|DOMICILIO |2100|12700|X|X|X|2022-02-17|2022-02-24|x|x|x|x|x|QX002LYO9KVTQO|x|HOMBRE|X|14800|X|X|X|X|X|X|X|X|CARDENAS|X|X|X|X|FINAL</v>
      </c>
    </row>
    <row r="478" spans="1:82" x14ac:dyDescent="0.25">
      <c r="A478" t="s">
        <v>1063</v>
      </c>
      <c r="B478" t="s">
        <v>1064</v>
      </c>
      <c r="C478">
        <v>3</v>
      </c>
      <c r="D478" t="s">
        <v>1372</v>
      </c>
      <c r="E478" t="s">
        <v>1380</v>
      </c>
      <c r="F478" t="s">
        <v>0</v>
      </c>
      <c r="G478" t="s">
        <v>0</v>
      </c>
      <c r="H478" t="s">
        <v>1410</v>
      </c>
      <c r="I478">
        <v>12900</v>
      </c>
      <c r="J478">
        <v>0</v>
      </c>
      <c r="K478">
        <v>100</v>
      </c>
      <c r="L478">
        <v>50</v>
      </c>
      <c r="M478">
        <v>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Y478">
        <v>0</v>
      </c>
      <c r="Z478">
        <v>0</v>
      </c>
      <c r="AA478">
        <v>0</v>
      </c>
      <c r="AB478" t="s">
        <v>1812</v>
      </c>
      <c r="AC478" t="s">
        <v>7</v>
      </c>
      <c r="AD478" t="s">
        <v>1794</v>
      </c>
      <c r="AE478" t="s">
        <v>4</v>
      </c>
      <c r="AF478" t="s">
        <v>1</v>
      </c>
      <c r="AG478" t="s">
        <v>1</v>
      </c>
      <c r="AH478" t="s">
        <v>2849</v>
      </c>
      <c r="AI478" t="s">
        <v>3182</v>
      </c>
      <c r="AJ478" t="s">
        <v>1</v>
      </c>
      <c r="AK478">
        <v>9933855465</v>
      </c>
      <c r="AL478" t="s">
        <v>1</v>
      </c>
      <c r="AM478" t="s">
        <v>1</v>
      </c>
      <c r="AN478" t="s">
        <v>1</v>
      </c>
      <c r="AO478" t="s">
        <v>2849</v>
      </c>
      <c r="AP478" t="s">
        <v>1</v>
      </c>
      <c r="AQ478" t="s">
        <v>2</v>
      </c>
      <c r="AR478" t="s">
        <v>3</v>
      </c>
      <c r="AS478" t="s">
        <v>3</v>
      </c>
      <c r="AT478" t="s">
        <v>3</v>
      </c>
      <c r="AU478" t="s">
        <v>3</v>
      </c>
      <c r="AV478" t="s">
        <v>3</v>
      </c>
      <c r="AW478" t="s">
        <v>11</v>
      </c>
      <c r="AX478">
        <f>Tabla1[[#This Row],[precio del paquete]]-Tabla1[[#This Row],[Saldo_Deudor]]</f>
        <v>2900</v>
      </c>
      <c r="AY478">
        <v>10000</v>
      </c>
      <c r="AZ478" t="s">
        <v>1</v>
      </c>
      <c r="BA478" t="s">
        <v>1</v>
      </c>
      <c r="BB478" t="s">
        <v>1</v>
      </c>
      <c r="BC478" t="s">
        <v>3277</v>
      </c>
      <c r="BD478" t="s">
        <v>3327</v>
      </c>
      <c r="BE478" t="s">
        <v>3</v>
      </c>
      <c r="BF478" t="s">
        <v>3</v>
      </c>
      <c r="BG478" t="s">
        <v>3</v>
      </c>
      <c r="BH478" t="s">
        <v>3</v>
      </c>
      <c r="BI478" t="s">
        <v>3</v>
      </c>
      <c r="BJ478" t="s">
        <v>3362</v>
      </c>
      <c r="BK478" t="s">
        <v>3</v>
      </c>
      <c r="BL478" t="s">
        <v>132</v>
      </c>
      <c r="BM478" t="s">
        <v>1</v>
      </c>
      <c r="BN478">
        <f>Tabla1[[#This Row],[precio del paquete]]</f>
        <v>12900</v>
      </c>
      <c r="BO478" t="s">
        <v>1</v>
      </c>
      <c r="BP478" t="s">
        <v>1</v>
      </c>
      <c r="BQ478" t="s">
        <v>1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0</v>
      </c>
      <c r="BX478" t="s">
        <v>1</v>
      </c>
      <c r="BY478" t="s">
        <v>1</v>
      </c>
      <c r="BZ478" t="s">
        <v>1</v>
      </c>
      <c r="CA478" t="s">
        <v>1</v>
      </c>
      <c r="CB478" t="s">
        <v>3382</v>
      </c>
      <c r="CD478" t="str" cm="1">
        <f t="array" aca="1" ref="CD478" ca="1">eConcatenar(A478:CB478,"|")</f>
        <v>s4obbKvS90iZLQ6I|CAR2020-2296|3|IMPERIAL DE LUJO|TABASCO|CARDENAS|CARDENAS|2020-08-12|12900|0|100|50|1|0|0|0|0|0|0|0|0|0|0||0|0|0|SANCHEZ|LOPEZ|MARIA JESUS|SOLTERO|X|X|CALLE JUAN DE LA BARRERA|COLONIA SANTOS DEGOLLADOS|X|9933855465|X|X|X|CALLE JUAN DE LA BARRERA|X|LUNES|x|x|x|x|x|DOMICILIO |2900|10000|X|X|X|2022-02-17|2022-02-24|x|x|x|x|x|QX002LYO9KVTQO|x|HOMBRE|X|12900|X|X|X|X|X|X|X|X|CARDENAS|X|X|X|X|FINAL</v>
      </c>
    </row>
    <row r="479" spans="1:82" x14ac:dyDescent="0.25">
      <c r="A479" t="s">
        <v>1065</v>
      </c>
      <c r="B479" t="s">
        <v>1066</v>
      </c>
      <c r="C479">
        <v>3</v>
      </c>
      <c r="D479" t="s">
        <v>1369</v>
      </c>
      <c r="E479" t="s">
        <v>1380</v>
      </c>
      <c r="F479" t="s">
        <v>0</v>
      </c>
      <c r="G479" t="s">
        <v>0</v>
      </c>
      <c r="H479" t="s">
        <v>1499</v>
      </c>
      <c r="I479">
        <v>14800</v>
      </c>
      <c r="J479">
        <v>0</v>
      </c>
      <c r="K479">
        <v>50</v>
      </c>
      <c r="L479">
        <v>50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Y479">
        <v>0</v>
      </c>
      <c r="Z479">
        <v>0</v>
      </c>
      <c r="AA479">
        <v>0</v>
      </c>
      <c r="AB479" t="s">
        <v>2301</v>
      </c>
      <c r="AC479" t="s">
        <v>2017</v>
      </c>
      <c r="AD479" t="s">
        <v>2302</v>
      </c>
      <c r="AE479" t="s">
        <v>4</v>
      </c>
      <c r="AF479" t="s">
        <v>1</v>
      </c>
      <c r="AG479" t="s">
        <v>1</v>
      </c>
      <c r="AH479" t="s">
        <v>2850</v>
      </c>
      <c r="AI479" t="s">
        <v>3183</v>
      </c>
      <c r="AJ479" t="s">
        <v>1</v>
      </c>
      <c r="AK479">
        <v>9371095132</v>
      </c>
      <c r="AL479" t="s">
        <v>1</v>
      </c>
      <c r="AM479" t="s">
        <v>1</v>
      </c>
      <c r="AN479" t="s">
        <v>1</v>
      </c>
      <c r="AO479" t="s">
        <v>2850</v>
      </c>
      <c r="AP479" t="s">
        <v>1</v>
      </c>
      <c r="AQ479" t="s">
        <v>2</v>
      </c>
      <c r="AR479" t="s">
        <v>3</v>
      </c>
      <c r="AS479" t="s">
        <v>3</v>
      </c>
      <c r="AT479" t="s">
        <v>3</v>
      </c>
      <c r="AU479" t="s">
        <v>3</v>
      </c>
      <c r="AV479" t="s">
        <v>3</v>
      </c>
      <c r="AW479" t="s">
        <v>11</v>
      </c>
      <c r="AX479">
        <f>Tabla1[[#This Row],[precio del paquete]]-Tabla1[[#This Row],[Saldo_Deudor]]</f>
        <v>650</v>
      </c>
      <c r="AY479">
        <v>14150</v>
      </c>
      <c r="AZ479" t="s">
        <v>1</v>
      </c>
      <c r="BA479" t="s">
        <v>1</v>
      </c>
      <c r="BB479" t="s">
        <v>1</v>
      </c>
      <c r="BC479" t="s">
        <v>3277</v>
      </c>
      <c r="BD479" t="s">
        <v>3327</v>
      </c>
      <c r="BE479" t="s">
        <v>3</v>
      </c>
      <c r="BF479" t="s">
        <v>3</v>
      </c>
      <c r="BG479" t="s">
        <v>3</v>
      </c>
      <c r="BH479" t="s">
        <v>3</v>
      </c>
      <c r="BI479" t="s">
        <v>3</v>
      </c>
      <c r="BJ479" t="s">
        <v>3362</v>
      </c>
      <c r="BK479" t="s">
        <v>3</v>
      </c>
      <c r="BL479" t="s">
        <v>132</v>
      </c>
      <c r="BM479" t="s">
        <v>1</v>
      </c>
      <c r="BN479">
        <f>Tabla1[[#This Row],[precio del paquete]]</f>
        <v>14800</v>
      </c>
      <c r="BO479" t="s">
        <v>1</v>
      </c>
      <c r="BP479" t="s">
        <v>1</v>
      </c>
      <c r="BQ479" t="s">
        <v>1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0</v>
      </c>
      <c r="BX479" t="s">
        <v>1</v>
      </c>
      <c r="BY479" t="s">
        <v>1</v>
      </c>
      <c r="BZ479" t="s">
        <v>1</v>
      </c>
      <c r="CA479" t="s">
        <v>1</v>
      </c>
      <c r="CB479" t="s">
        <v>3382</v>
      </c>
      <c r="CD479" t="str" cm="1">
        <f t="array" aca="1" ref="CD479" ca="1">eConcatenar(A479:CB479,"|")</f>
        <v>IjvFFMkZGeNN7qNl|CAR2021-7647|3|MEMORIAL|TABASCO|CARDENAS|CARDENAS|2021-12-22|14800|0|50|50|0|0|0|0|0|0|0|0|0|0|0||0|0|0|SOSA|NARVAEZ|PRISCILA|SOLTERO|X|X|CALLE TABSCOOP|COLONIA TABSCOOB|X|9371095132|X|X|X|CALLE TABSCOOP|X|LUNES|x|x|x|x|x|DOMICILIO |650|14150|X|X|X|2022-02-17|2022-02-24|x|x|x|x|x|QX002LYO9KVTQO|x|HOMBRE|X|14800|X|X|X|X|X|X|X|X|CARDENAS|X|X|X|X|FINAL</v>
      </c>
    </row>
    <row r="480" spans="1:82" x14ac:dyDescent="0.25">
      <c r="A480" t="s">
        <v>1067</v>
      </c>
      <c r="B480" t="s">
        <v>1068</v>
      </c>
      <c r="C480">
        <v>3</v>
      </c>
      <c r="D480" t="s">
        <v>1372</v>
      </c>
      <c r="E480" t="s">
        <v>1380</v>
      </c>
      <c r="F480" t="s">
        <v>0</v>
      </c>
      <c r="G480" t="s">
        <v>0</v>
      </c>
      <c r="H480" t="s">
        <v>1625</v>
      </c>
      <c r="I480">
        <v>12900</v>
      </c>
      <c r="J480">
        <v>0</v>
      </c>
      <c r="K480">
        <v>200</v>
      </c>
      <c r="L480">
        <v>50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Y480">
        <v>0</v>
      </c>
      <c r="Z480">
        <v>0</v>
      </c>
      <c r="AA480">
        <v>0</v>
      </c>
      <c r="AB480" t="s">
        <v>2009</v>
      </c>
      <c r="AC480" t="s">
        <v>7</v>
      </c>
      <c r="AD480" t="s">
        <v>2303</v>
      </c>
      <c r="AE480" t="s">
        <v>4</v>
      </c>
      <c r="AF480" t="s">
        <v>1</v>
      </c>
      <c r="AG480" t="s">
        <v>1</v>
      </c>
      <c r="AH480" t="s">
        <v>2851</v>
      </c>
      <c r="AI480" t="s">
        <v>3183</v>
      </c>
      <c r="AJ480" t="s">
        <v>1</v>
      </c>
      <c r="AK480">
        <v>9372830568</v>
      </c>
      <c r="AL480" t="s">
        <v>1</v>
      </c>
      <c r="AM480" t="s">
        <v>1</v>
      </c>
      <c r="AN480" t="s">
        <v>1</v>
      </c>
      <c r="AO480" t="s">
        <v>2851</v>
      </c>
      <c r="AP480" t="s">
        <v>1</v>
      </c>
      <c r="AQ480" t="s">
        <v>2</v>
      </c>
      <c r="AR480" t="s">
        <v>3</v>
      </c>
      <c r="AS480" t="s">
        <v>3</v>
      </c>
      <c r="AT480" t="s">
        <v>3</v>
      </c>
      <c r="AU480" t="s">
        <v>3</v>
      </c>
      <c r="AV480" t="s">
        <v>3</v>
      </c>
      <c r="AW480" t="s">
        <v>11</v>
      </c>
      <c r="AX480">
        <f>Tabla1[[#This Row],[precio del paquete]]-Tabla1[[#This Row],[Saldo_Deudor]]</f>
        <v>7000</v>
      </c>
      <c r="AY480">
        <v>5900</v>
      </c>
      <c r="AZ480" t="s">
        <v>1</v>
      </c>
      <c r="BA480" t="s">
        <v>1</v>
      </c>
      <c r="BB480" t="s">
        <v>1</v>
      </c>
      <c r="BC480" t="s">
        <v>3277</v>
      </c>
      <c r="BD480" t="s">
        <v>3327</v>
      </c>
      <c r="BE480" t="s">
        <v>3</v>
      </c>
      <c r="BF480" t="s">
        <v>3</v>
      </c>
      <c r="BG480" t="s">
        <v>3</v>
      </c>
      <c r="BH480" t="s">
        <v>3</v>
      </c>
      <c r="BI480" t="s">
        <v>3</v>
      </c>
      <c r="BJ480" t="s">
        <v>3362</v>
      </c>
      <c r="BK480" t="s">
        <v>3</v>
      </c>
      <c r="BL480" t="s">
        <v>132</v>
      </c>
      <c r="BM480" t="s">
        <v>1</v>
      </c>
      <c r="BN480">
        <f>Tabla1[[#This Row],[precio del paquete]]</f>
        <v>12900</v>
      </c>
      <c r="BO480" t="s">
        <v>1</v>
      </c>
      <c r="BP480" t="s">
        <v>1</v>
      </c>
      <c r="BQ480" t="s">
        <v>1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0</v>
      </c>
      <c r="BX480" t="s">
        <v>1</v>
      </c>
      <c r="BY480" t="s">
        <v>1</v>
      </c>
      <c r="BZ480" t="s">
        <v>1</v>
      </c>
      <c r="CA480" t="s">
        <v>1</v>
      </c>
      <c r="CB480" t="s">
        <v>3382</v>
      </c>
      <c r="CD480" t="str" cm="1">
        <f t="array" aca="1" ref="CD480" ca="1">eConcatenar(A480:CB480,"|")</f>
        <v>vbOIx02zfI32LOL1|CAR2020-0056|3|IMPERIAL DE LUJO|TABASCO|CARDENAS|CARDENAS|2021-01-15|12900|0|200|50|1|0|0|0|0|0|0|0|0|0|0||0|0|0|CASTELLANOS|LOPEZ|GABRIELA|SOLTERO|X|X|CALLE RIO DE LA SIERRA MANZANA 7 LOTE 03|COLONIA TABSCOOB|X|9372830568|X|X|X|CALLE RIO DE LA SIERRA MANZANA 7 LOTE 03|X|LUNES|x|x|x|x|x|DOMICILIO |7000|5900|X|X|X|2022-02-17|2022-02-24|x|x|x|x|x|QX002LYO9KVTQO|x|HOMBRE|X|12900|X|X|X|X|X|X|X|X|CARDENAS|X|X|X|X|FINAL</v>
      </c>
    </row>
    <row r="481" spans="1:82" x14ac:dyDescent="0.25">
      <c r="A481" t="s">
        <v>1069</v>
      </c>
      <c r="B481" t="s">
        <v>217</v>
      </c>
      <c r="C481">
        <v>3</v>
      </c>
      <c r="D481" t="s">
        <v>1369</v>
      </c>
      <c r="E481" t="s">
        <v>1380</v>
      </c>
      <c r="F481" t="s">
        <v>0</v>
      </c>
      <c r="G481" t="s">
        <v>0</v>
      </c>
      <c r="H481" t="s">
        <v>1389</v>
      </c>
      <c r="I481">
        <v>14800</v>
      </c>
      <c r="J481">
        <v>0</v>
      </c>
      <c r="K481">
        <v>300</v>
      </c>
      <c r="L481">
        <v>50</v>
      </c>
      <c r="M481">
        <v>1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Y481">
        <v>0</v>
      </c>
      <c r="Z481">
        <v>0</v>
      </c>
      <c r="AA481">
        <v>0</v>
      </c>
      <c r="AB481" t="s">
        <v>7</v>
      </c>
      <c r="AC481" t="s">
        <v>1711</v>
      </c>
      <c r="AD481" t="s">
        <v>1771</v>
      </c>
      <c r="AE481" t="s">
        <v>4</v>
      </c>
      <c r="AF481" t="s">
        <v>1</v>
      </c>
      <c r="AG481" t="s">
        <v>1</v>
      </c>
      <c r="AH481" t="s">
        <v>2852</v>
      </c>
      <c r="AI481" t="s">
        <v>3183</v>
      </c>
      <c r="AJ481" t="s">
        <v>1</v>
      </c>
      <c r="AK481">
        <v>9375938764</v>
      </c>
      <c r="AL481" t="s">
        <v>1</v>
      </c>
      <c r="AM481" t="s">
        <v>1</v>
      </c>
      <c r="AN481" t="s">
        <v>1</v>
      </c>
      <c r="AO481" t="s">
        <v>2852</v>
      </c>
      <c r="AP481" t="s">
        <v>1</v>
      </c>
      <c r="AQ481" t="s">
        <v>2</v>
      </c>
      <c r="AR481" t="s">
        <v>3</v>
      </c>
      <c r="AS481" t="s">
        <v>3</v>
      </c>
      <c r="AT481" t="s">
        <v>3</v>
      </c>
      <c r="AU481" t="s">
        <v>3</v>
      </c>
      <c r="AV481" t="s">
        <v>3</v>
      </c>
      <c r="AW481" t="s">
        <v>11</v>
      </c>
      <c r="AX481">
        <f>Tabla1[[#This Row],[precio del paquete]]-Tabla1[[#This Row],[Saldo_Deudor]]</f>
        <v>500</v>
      </c>
      <c r="AY481">
        <v>14300</v>
      </c>
      <c r="AZ481" t="s">
        <v>1</v>
      </c>
      <c r="BA481" t="s">
        <v>1</v>
      </c>
      <c r="BB481" t="s">
        <v>1</v>
      </c>
      <c r="BC481" t="s">
        <v>3277</v>
      </c>
      <c r="BD481" t="s">
        <v>3327</v>
      </c>
      <c r="BE481" t="s">
        <v>3</v>
      </c>
      <c r="BF481" t="s">
        <v>3</v>
      </c>
      <c r="BG481" t="s">
        <v>3</v>
      </c>
      <c r="BH481" t="s">
        <v>3</v>
      </c>
      <c r="BI481" t="s">
        <v>3</v>
      </c>
      <c r="BJ481" t="s">
        <v>3362</v>
      </c>
      <c r="BK481" t="s">
        <v>3</v>
      </c>
      <c r="BL481" t="s">
        <v>132</v>
      </c>
      <c r="BM481" t="s">
        <v>1</v>
      </c>
      <c r="BN481">
        <f>Tabla1[[#This Row],[precio del paquete]]</f>
        <v>14800</v>
      </c>
      <c r="BO481" t="s">
        <v>1</v>
      </c>
      <c r="BP481" t="s">
        <v>1</v>
      </c>
      <c r="BQ481" t="s">
        <v>1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0</v>
      </c>
      <c r="BX481" t="s">
        <v>1</v>
      </c>
      <c r="BY481" t="s">
        <v>1</v>
      </c>
      <c r="BZ481" t="s">
        <v>1</v>
      </c>
      <c r="CA481" t="s">
        <v>1</v>
      </c>
      <c r="CB481" t="s">
        <v>3382</v>
      </c>
      <c r="CD481" t="str" cm="1">
        <f t="array" aca="1" ref="CD481" ca="1">eConcatenar(A481:CB481,"|")</f>
        <v>ipmBnXp0NbazR9eA|CAR2022-0625|3|MEMORIAL|TABASCO|CARDENAS|CARDENAS|2022-02-01|14800|0|300|50|1|0|0|0|0|0|0|0|0|0|0||0|0|0|LOPEZ|HERNANDEZ|TITO|SOLTERO|X|X|CALLE RIO CARRIZAL MANZANA 22 LOTE 9|COLONIA TABSCOOB|X|9375938764|X|X|X|CALLE RIO CARRIZAL MANZANA 22 LOTE 9|X|LUNES|x|x|x|x|x|DOMICILIO |500|14300|X|X|X|2022-02-17|2022-02-24|x|x|x|x|x|QX002LYO9KVTQO|x|HOMBRE|X|14800|X|X|X|X|X|X|X|X|CARDENAS|X|X|X|X|FINAL</v>
      </c>
    </row>
    <row r="482" spans="1:82" x14ac:dyDescent="0.25">
      <c r="A482" t="s">
        <v>1070</v>
      </c>
      <c r="B482" t="s">
        <v>1071</v>
      </c>
      <c r="C482">
        <v>3</v>
      </c>
      <c r="D482" t="s">
        <v>1371</v>
      </c>
      <c r="E482" t="s">
        <v>1380</v>
      </c>
      <c r="F482" t="s">
        <v>0</v>
      </c>
      <c r="G482" t="s">
        <v>0</v>
      </c>
      <c r="H482" t="s">
        <v>1626</v>
      </c>
      <c r="I482">
        <v>12900</v>
      </c>
      <c r="J482">
        <v>0</v>
      </c>
      <c r="K482">
        <v>200</v>
      </c>
      <c r="L482">
        <v>50</v>
      </c>
      <c r="M482">
        <v>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Y482">
        <v>0</v>
      </c>
      <c r="Z482">
        <v>0</v>
      </c>
      <c r="AA482">
        <v>0</v>
      </c>
      <c r="AB482" t="s">
        <v>7</v>
      </c>
      <c r="AC482" t="s">
        <v>1711</v>
      </c>
      <c r="AD482" t="s">
        <v>2144</v>
      </c>
      <c r="AE482" t="s">
        <v>4</v>
      </c>
      <c r="AF482" t="s">
        <v>1</v>
      </c>
      <c r="AG482" t="s">
        <v>1</v>
      </c>
      <c r="AH482" t="s">
        <v>2853</v>
      </c>
      <c r="AI482" t="s">
        <v>2853</v>
      </c>
      <c r="AJ482" t="s">
        <v>1</v>
      </c>
      <c r="AK482">
        <v>9371206910</v>
      </c>
      <c r="AL482" t="s">
        <v>1</v>
      </c>
      <c r="AM482" t="s">
        <v>1</v>
      </c>
      <c r="AN482" t="s">
        <v>1</v>
      </c>
      <c r="AO482" t="s">
        <v>2853</v>
      </c>
      <c r="AP482" t="s">
        <v>1</v>
      </c>
      <c r="AQ482" t="s">
        <v>2</v>
      </c>
      <c r="AR482" t="s">
        <v>3</v>
      </c>
      <c r="AS482" t="s">
        <v>3</v>
      </c>
      <c r="AT482" t="s">
        <v>3</v>
      </c>
      <c r="AU482" t="s">
        <v>3</v>
      </c>
      <c r="AV482" t="s">
        <v>3</v>
      </c>
      <c r="AW482" t="s">
        <v>11</v>
      </c>
      <c r="AX482">
        <f>Tabla1[[#This Row],[precio del paquete]]-Tabla1[[#This Row],[Saldo_Deudor]]</f>
        <v>12400</v>
      </c>
      <c r="AY482">
        <v>500</v>
      </c>
      <c r="AZ482" t="s">
        <v>1</v>
      </c>
      <c r="BA482" t="s">
        <v>1</v>
      </c>
      <c r="BB482" t="s">
        <v>1</v>
      </c>
      <c r="BC482" t="s">
        <v>1390</v>
      </c>
      <c r="BD482" t="s">
        <v>1401</v>
      </c>
      <c r="BE482" t="s">
        <v>3</v>
      </c>
      <c r="BF482" t="s">
        <v>3</v>
      </c>
      <c r="BG482" t="s">
        <v>3</v>
      </c>
      <c r="BH482" t="s">
        <v>3</v>
      </c>
      <c r="BI482" t="s">
        <v>3</v>
      </c>
      <c r="BJ482" t="s">
        <v>3362</v>
      </c>
      <c r="BK482" t="s">
        <v>3</v>
      </c>
      <c r="BL482" t="s">
        <v>132</v>
      </c>
      <c r="BM482" t="s">
        <v>1</v>
      </c>
      <c r="BN482">
        <f>Tabla1[[#This Row],[precio del paquete]]</f>
        <v>12900</v>
      </c>
      <c r="BO482" t="s">
        <v>1</v>
      </c>
      <c r="BP482" t="s">
        <v>1</v>
      </c>
      <c r="BQ482" t="s">
        <v>1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0</v>
      </c>
      <c r="BX482" t="s">
        <v>1</v>
      </c>
      <c r="BY482" t="s">
        <v>1</v>
      </c>
      <c r="BZ482" t="s">
        <v>1</v>
      </c>
      <c r="CA482" t="s">
        <v>1</v>
      </c>
      <c r="CB482" t="s">
        <v>3382</v>
      </c>
      <c r="CD482" t="str" cm="1">
        <f t="array" aca="1" ref="CD482" ca="1">eConcatenar(A482:CB482,"|")</f>
        <v>PhckI7NZ1ZacYDNb|CAR2019-0091|3|ECONOLINE|TABASCO|CARDENAS|CARDENAS|2019-01-21|12900|0|200|50|1|0|0|0|0|0|0|0|0|0|0||0|0|0|LOPEZ|HERNANDEZ|JOSE MANUEL|SOLTERO|X|X|FRACCIONAMIENTO CAÑALES PRIMERA ETAPA|FRACCIONAMIENTO CAÑALES PRIMERA ETAPA|X|9371206910|X|X|X|FRACCIONAMIENTO CAÑALES PRIMERA ETAPA|X|LUNES|x|x|x|x|x|DOMICILIO |12400|500|X|X|X|2022-02-02|2022-02-09|x|x|x|x|x|QX002LYO9KVTQO|x|HOMBRE|X|12900|X|X|X|X|X|X|X|X|CARDENAS|X|X|X|X|FINAL</v>
      </c>
    </row>
    <row r="483" spans="1:82" x14ac:dyDescent="0.25">
      <c r="A483" t="s">
        <v>1072</v>
      </c>
      <c r="B483" t="s">
        <v>1073</v>
      </c>
      <c r="C483">
        <v>3</v>
      </c>
      <c r="D483" t="s">
        <v>1371</v>
      </c>
      <c r="E483" t="s">
        <v>1380</v>
      </c>
      <c r="F483" t="s">
        <v>0</v>
      </c>
      <c r="G483" t="s">
        <v>0</v>
      </c>
      <c r="H483" t="s">
        <v>1627</v>
      </c>
      <c r="I483">
        <v>12900</v>
      </c>
      <c r="J483">
        <v>0</v>
      </c>
      <c r="K483">
        <v>200</v>
      </c>
      <c r="L483">
        <v>50</v>
      </c>
      <c r="M483">
        <v>1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Y483">
        <v>0</v>
      </c>
      <c r="Z483">
        <v>0</v>
      </c>
      <c r="AA483">
        <v>0</v>
      </c>
      <c r="AB483" t="s">
        <v>1748</v>
      </c>
      <c r="AC483" t="s">
        <v>2075</v>
      </c>
      <c r="AD483" t="s">
        <v>2304</v>
      </c>
      <c r="AE483" t="s">
        <v>4</v>
      </c>
      <c r="AF483" t="s">
        <v>1</v>
      </c>
      <c r="AG483" t="s">
        <v>1</v>
      </c>
      <c r="AH483" t="s">
        <v>2854</v>
      </c>
      <c r="AI483" t="s">
        <v>3184</v>
      </c>
      <c r="AJ483" t="s">
        <v>1</v>
      </c>
      <c r="AK483">
        <v>9371108424</v>
      </c>
      <c r="AL483" t="s">
        <v>1</v>
      </c>
      <c r="AM483" t="s">
        <v>1</v>
      </c>
      <c r="AN483" t="s">
        <v>1</v>
      </c>
      <c r="AO483" t="s">
        <v>2854</v>
      </c>
      <c r="AP483" t="s">
        <v>1</v>
      </c>
      <c r="AQ483" t="s">
        <v>2</v>
      </c>
      <c r="AR483" t="s">
        <v>3</v>
      </c>
      <c r="AS483" t="s">
        <v>3</v>
      </c>
      <c r="AT483" t="s">
        <v>3</v>
      </c>
      <c r="AU483" t="s">
        <v>3</v>
      </c>
      <c r="AV483" t="s">
        <v>3</v>
      </c>
      <c r="AW483" t="s">
        <v>11</v>
      </c>
      <c r="AX483">
        <f>Tabla1[[#This Row],[precio del paquete]]-Tabla1[[#This Row],[Saldo_Deudor]]</f>
        <v>2750</v>
      </c>
      <c r="AY483">
        <v>10150</v>
      </c>
      <c r="AZ483" t="s">
        <v>1</v>
      </c>
      <c r="BA483" t="s">
        <v>1</v>
      </c>
      <c r="BB483" t="s">
        <v>1</v>
      </c>
      <c r="BC483" t="s">
        <v>1394</v>
      </c>
      <c r="BD483" t="s">
        <v>1400</v>
      </c>
      <c r="BE483" t="s">
        <v>3</v>
      </c>
      <c r="BF483" t="s">
        <v>3</v>
      </c>
      <c r="BG483" t="s">
        <v>3</v>
      </c>
      <c r="BH483" t="s">
        <v>3</v>
      </c>
      <c r="BI483" t="s">
        <v>3</v>
      </c>
      <c r="BJ483" t="s">
        <v>3362</v>
      </c>
      <c r="BK483" t="s">
        <v>3</v>
      </c>
      <c r="BL483" t="s">
        <v>132</v>
      </c>
      <c r="BM483" t="s">
        <v>1</v>
      </c>
      <c r="BN483">
        <f>Tabla1[[#This Row],[precio del paquete]]</f>
        <v>12900</v>
      </c>
      <c r="BO483" t="s">
        <v>1</v>
      </c>
      <c r="BP483" t="s">
        <v>1</v>
      </c>
      <c r="BQ483" t="s">
        <v>1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0</v>
      </c>
      <c r="BX483" t="s">
        <v>1</v>
      </c>
      <c r="BY483" t="s">
        <v>1</v>
      </c>
      <c r="BZ483" t="s">
        <v>1</v>
      </c>
      <c r="CA483" t="s">
        <v>1</v>
      </c>
      <c r="CB483" t="s">
        <v>3382</v>
      </c>
      <c r="CD483" t="str" cm="1">
        <f t="array" aca="1" ref="CD483" ca="1">eConcatenar(A483:CB483,"|")</f>
        <v>79qu67vhHJ5RVgaA|CAR2018-1096|3|ECONOLINE|TABASCO|CARDENAS|CARDENAS|2018-07-16|12900|0|200|50|1|0|0|0|0|0|0|0|0|0|0||0|0|0|JIMENEZ|ESCALANTE|VERONICO|SOLTERO|X|X|CAREDNAS - HABANERO|FRACCIONAMIENTO EL BAJIO SEGUNDA SECCION|X|9371108424|X|X|X|CAREDNAS - HABANERO|X|LUNES|x|x|x|x|x|DOMICILIO |2750|10150|X|X|X|2022-02-03|2022-02-10|x|x|x|x|x|QX002LYO9KVTQO|x|HOMBRE|X|12900|X|X|X|X|X|X|X|X|CARDENAS|X|X|X|X|FINAL</v>
      </c>
    </row>
    <row r="484" spans="1:82" x14ac:dyDescent="0.25">
      <c r="A484" t="s">
        <v>1074</v>
      </c>
      <c r="B484" t="s">
        <v>1075</v>
      </c>
      <c r="C484">
        <v>3</v>
      </c>
      <c r="D484" t="s">
        <v>1371</v>
      </c>
      <c r="E484" t="s">
        <v>1380</v>
      </c>
      <c r="F484" t="s">
        <v>0</v>
      </c>
      <c r="G484" t="s">
        <v>0</v>
      </c>
      <c r="H484" t="s">
        <v>1528</v>
      </c>
      <c r="I484">
        <v>12900</v>
      </c>
      <c r="J484">
        <v>0</v>
      </c>
      <c r="K484">
        <v>400</v>
      </c>
      <c r="L484">
        <v>50</v>
      </c>
      <c r="M484">
        <v>1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Y484">
        <v>0</v>
      </c>
      <c r="Z484">
        <v>0</v>
      </c>
      <c r="AA484">
        <v>0</v>
      </c>
      <c r="AB484" t="s">
        <v>2305</v>
      </c>
      <c r="AC484" t="s">
        <v>1772</v>
      </c>
      <c r="AD484" t="s">
        <v>2306</v>
      </c>
      <c r="AE484" t="s">
        <v>4</v>
      </c>
      <c r="AF484" t="s">
        <v>1</v>
      </c>
      <c r="AG484" t="s">
        <v>1</v>
      </c>
      <c r="AH484" t="s">
        <v>2855</v>
      </c>
      <c r="AI484" t="s">
        <v>2855</v>
      </c>
      <c r="AJ484" t="s">
        <v>1</v>
      </c>
      <c r="AK484">
        <v>9931988072</v>
      </c>
      <c r="AL484" t="s">
        <v>1</v>
      </c>
      <c r="AM484" t="s">
        <v>1</v>
      </c>
      <c r="AN484" t="s">
        <v>1</v>
      </c>
      <c r="AO484" t="s">
        <v>2855</v>
      </c>
      <c r="AP484" t="s">
        <v>1</v>
      </c>
      <c r="AQ484" t="s">
        <v>2</v>
      </c>
      <c r="AR484" t="s">
        <v>3</v>
      </c>
      <c r="AS484" t="s">
        <v>3</v>
      </c>
      <c r="AT484" t="s">
        <v>3</v>
      </c>
      <c r="AU484" t="s">
        <v>3</v>
      </c>
      <c r="AV484" t="s">
        <v>3</v>
      </c>
      <c r="AW484" t="s">
        <v>11</v>
      </c>
      <c r="AX484">
        <f>Tabla1[[#This Row],[precio del paquete]]-Tabla1[[#This Row],[Saldo_Deudor]]</f>
        <v>10100</v>
      </c>
      <c r="AY484">
        <v>2800</v>
      </c>
      <c r="AZ484" t="s">
        <v>1</v>
      </c>
      <c r="BA484" t="s">
        <v>1</v>
      </c>
      <c r="BB484" t="s">
        <v>1</v>
      </c>
      <c r="BC484" t="s">
        <v>1390</v>
      </c>
      <c r="BD484" t="s">
        <v>1401</v>
      </c>
      <c r="BE484" t="s">
        <v>3</v>
      </c>
      <c r="BF484" t="s">
        <v>3</v>
      </c>
      <c r="BG484" t="s">
        <v>3</v>
      </c>
      <c r="BH484" t="s">
        <v>3</v>
      </c>
      <c r="BI484" t="s">
        <v>3</v>
      </c>
      <c r="BJ484" t="s">
        <v>3362</v>
      </c>
      <c r="BK484" t="s">
        <v>3</v>
      </c>
      <c r="BL484" t="s">
        <v>132</v>
      </c>
      <c r="BM484" t="s">
        <v>1</v>
      </c>
      <c r="BN484">
        <f>Tabla1[[#This Row],[precio del paquete]]</f>
        <v>12900</v>
      </c>
      <c r="BO484" t="s">
        <v>1</v>
      </c>
      <c r="BP484" t="s">
        <v>1</v>
      </c>
      <c r="BQ484" t="s">
        <v>1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0</v>
      </c>
      <c r="BX484" t="s">
        <v>1</v>
      </c>
      <c r="BY484" t="s">
        <v>1</v>
      </c>
      <c r="BZ484" t="s">
        <v>1</v>
      </c>
      <c r="CA484" t="s">
        <v>1</v>
      </c>
      <c r="CB484" t="s">
        <v>3382</v>
      </c>
      <c r="CD484" t="str" cm="1">
        <f t="array" aca="1" ref="CD484" ca="1">eConcatenar(A484:CB484,"|")</f>
        <v>I8wAocKCSxghNfHZ|CAR2019-3506|3|ECONOLINE|TABASCO|CARDENAS|CARDENAS|2019-11-15|12900|0|400|50|1|0|0|0|0|0|0|0|0|0|0||0|0|0|QUE|LANDERO|DOMINGA|SOLTERO|X|X|FRACCIONAMIENTO EL BAJIO|FRACCIONAMIENTO EL BAJIO|X|9931988072|X|X|X|FRACCIONAMIENTO EL BAJIO|X|LUNES|x|x|x|x|x|DOMICILIO |10100|2800|X|X|X|2022-02-02|2022-02-09|x|x|x|x|x|QX002LYO9KVTQO|x|HOMBRE|X|12900|X|X|X|X|X|X|X|X|CARDENAS|X|X|X|X|FINAL</v>
      </c>
    </row>
    <row r="485" spans="1:82" x14ac:dyDescent="0.25">
      <c r="A485" t="s">
        <v>1076</v>
      </c>
      <c r="B485" t="s">
        <v>1077</v>
      </c>
      <c r="C485">
        <v>3</v>
      </c>
      <c r="D485" t="s">
        <v>1372</v>
      </c>
      <c r="E485" t="s">
        <v>1380</v>
      </c>
      <c r="F485" t="s">
        <v>0</v>
      </c>
      <c r="G485" t="s">
        <v>0</v>
      </c>
      <c r="H485" t="s">
        <v>1628</v>
      </c>
      <c r="I485">
        <v>12900</v>
      </c>
      <c r="J485">
        <v>0</v>
      </c>
      <c r="K485">
        <v>100</v>
      </c>
      <c r="L485">
        <v>50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Y485">
        <v>0</v>
      </c>
      <c r="Z485">
        <v>0</v>
      </c>
      <c r="AA485">
        <v>0</v>
      </c>
      <c r="AB485" t="s">
        <v>2307</v>
      </c>
      <c r="AC485" t="s">
        <v>2308</v>
      </c>
      <c r="AD485" t="s">
        <v>2309</v>
      </c>
      <c r="AE485" t="s">
        <v>4</v>
      </c>
      <c r="AF485" t="s">
        <v>1</v>
      </c>
      <c r="AG485" t="s">
        <v>1</v>
      </c>
      <c r="AH485" t="s">
        <v>2856</v>
      </c>
      <c r="AI485" t="s">
        <v>3185</v>
      </c>
      <c r="AJ485" t="s">
        <v>1</v>
      </c>
      <c r="AK485">
        <v>9373784100</v>
      </c>
      <c r="AL485" t="s">
        <v>1</v>
      </c>
      <c r="AM485" t="s">
        <v>1</v>
      </c>
      <c r="AN485" t="s">
        <v>1</v>
      </c>
      <c r="AO485" t="s">
        <v>2856</v>
      </c>
      <c r="AP485" t="s">
        <v>1</v>
      </c>
      <c r="AQ485" t="s">
        <v>2</v>
      </c>
      <c r="AR485" t="s">
        <v>3</v>
      </c>
      <c r="AS485" t="s">
        <v>3</v>
      </c>
      <c r="AT485" t="s">
        <v>3</v>
      </c>
      <c r="AU485" t="s">
        <v>3</v>
      </c>
      <c r="AV485" t="s">
        <v>3</v>
      </c>
      <c r="AW485" t="s">
        <v>11</v>
      </c>
      <c r="AX485">
        <f>Tabla1[[#This Row],[precio del paquete]]-Tabla1[[#This Row],[Saldo_Deudor]]</f>
        <v>2600</v>
      </c>
      <c r="AY485">
        <v>10300</v>
      </c>
      <c r="AZ485" t="s">
        <v>1</v>
      </c>
      <c r="BA485" t="s">
        <v>1</v>
      </c>
      <c r="BB485" t="s">
        <v>1</v>
      </c>
      <c r="BC485" t="s">
        <v>1663</v>
      </c>
      <c r="BD485" t="s">
        <v>3284</v>
      </c>
      <c r="BE485" t="s">
        <v>3</v>
      </c>
      <c r="BF485" t="s">
        <v>3</v>
      </c>
      <c r="BG485" t="s">
        <v>3</v>
      </c>
      <c r="BH485" t="s">
        <v>3</v>
      </c>
      <c r="BI485" t="s">
        <v>3</v>
      </c>
      <c r="BJ485" t="s">
        <v>3362</v>
      </c>
      <c r="BK485" t="s">
        <v>3</v>
      </c>
      <c r="BL485" t="s">
        <v>132</v>
      </c>
      <c r="BM485" t="s">
        <v>1</v>
      </c>
      <c r="BN485">
        <f>Tabla1[[#This Row],[precio del paquete]]</f>
        <v>12900</v>
      </c>
      <c r="BO485" t="s">
        <v>1</v>
      </c>
      <c r="BP485" t="s">
        <v>1</v>
      </c>
      <c r="BQ485" t="s">
        <v>1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0</v>
      </c>
      <c r="BX485" t="s">
        <v>1</v>
      </c>
      <c r="BY485" t="s">
        <v>1</v>
      </c>
      <c r="BZ485" t="s">
        <v>1</v>
      </c>
      <c r="CA485" t="s">
        <v>1</v>
      </c>
      <c r="CB485" t="s">
        <v>3382</v>
      </c>
      <c r="CD485" t="str" cm="1">
        <f t="array" aca="1" ref="CD485" ca="1">eConcatenar(A485:CB485,"|")</f>
        <v>OiivFuGGJD7UUqTM|CAR2020-4658|3|IMPERIAL DE LUJO|TABASCO|CARDENAS|CARDENAS|2020-11-17|12900|0|100|50|0|0|0|0|0|0|0|0|0|0|0||0|0|0|MEZA|ROSIQUE|MINEROP|SOLTERO|X|X|ANDADOR CANULO MANZANA 3|COLONIA CAÑALES PRIMERA ETAPA|X|9373784100|X|X|X|ANDADOR CANULO MANZANA 3|X|LUNES|x|x|x|x|x|DOMICILIO |2600|10300|X|X|X|2022-01-13|2022-01-20|x|x|x|x|x|QX002LYO9KVTQO|x|HOMBRE|X|12900|X|X|X|X|X|X|X|X|CARDENAS|X|X|X|X|FINAL</v>
      </c>
    </row>
    <row r="486" spans="1:82" x14ac:dyDescent="0.25">
      <c r="A486" t="s">
        <v>1078</v>
      </c>
      <c r="B486" t="s">
        <v>1079</v>
      </c>
      <c r="C486">
        <v>3</v>
      </c>
      <c r="D486" t="s">
        <v>1371</v>
      </c>
      <c r="E486" t="s">
        <v>1380</v>
      </c>
      <c r="F486" t="s">
        <v>0</v>
      </c>
      <c r="G486" t="s">
        <v>0</v>
      </c>
      <c r="H486" t="s">
        <v>1629</v>
      </c>
      <c r="I486">
        <v>12900</v>
      </c>
      <c r="J486">
        <v>0</v>
      </c>
      <c r="K486">
        <v>100</v>
      </c>
      <c r="L486">
        <v>50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Y486">
        <v>0</v>
      </c>
      <c r="Z486">
        <v>0</v>
      </c>
      <c r="AA486">
        <v>0</v>
      </c>
      <c r="AB486" t="s">
        <v>2310</v>
      </c>
      <c r="AC486" t="s">
        <v>1731</v>
      </c>
      <c r="AD486" t="s">
        <v>2031</v>
      </c>
      <c r="AE486" t="s">
        <v>4</v>
      </c>
      <c r="AF486" t="s">
        <v>1</v>
      </c>
      <c r="AG486" t="s">
        <v>1</v>
      </c>
      <c r="AH486" t="s">
        <v>2857</v>
      </c>
      <c r="AI486" t="s">
        <v>3186</v>
      </c>
      <c r="AJ486" t="s">
        <v>1</v>
      </c>
      <c r="AK486">
        <v>9371263034</v>
      </c>
      <c r="AL486" t="s">
        <v>1</v>
      </c>
      <c r="AM486" t="s">
        <v>1</v>
      </c>
      <c r="AN486" t="s">
        <v>1</v>
      </c>
      <c r="AO486" t="s">
        <v>2857</v>
      </c>
      <c r="AP486" t="s">
        <v>1</v>
      </c>
      <c r="AQ486" t="s">
        <v>2</v>
      </c>
      <c r="AR486" t="s">
        <v>3</v>
      </c>
      <c r="AS486" t="s">
        <v>3</v>
      </c>
      <c r="AT486" t="s">
        <v>3</v>
      </c>
      <c r="AU486" t="s">
        <v>3</v>
      </c>
      <c r="AV486" t="s">
        <v>3</v>
      </c>
      <c r="AW486" t="s">
        <v>11</v>
      </c>
      <c r="AX486">
        <f>Tabla1[[#This Row],[precio del paquete]]-Tabla1[[#This Row],[Saldo_Deudor]]</f>
        <v>8500</v>
      </c>
      <c r="AY486">
        <v>4400</v>
      </c>
      <c r="AZ486" t="s">
        <v>1</v>
      </c>
      <c r="BA486" t="s">
        <v>1</v>
      </c>
      <c r="BB486" t="s">
        <v>1</v>
      </c>
      <c r="BC486" t="s">
        <v>1400</v>
      </c>
      <c r="BD486" t="s">
        <v>3277</v>
      </c>
      <c r="BE486" t="s">
        <v>3</v>
      </c>
      <c r="BF486" t="s">
        <v>3</v>
      </c>
      <c r="BG486" t="s">
        <v>3</v>
      </c>
      <c r="BH486" t="s">
        <v>3</v>
      </c>
      <c r="BI486" t="s">
        <v>3</v>
      </c>
      <c r="BJ486" t="s">
        <v>3362</v>
      </c>
      <c r="BK486" t="s">
        <v>3</v>
      </c>
      <c r="BL486" t="s">
        <v>132</v>
      </c>
      <c r="BM486" t="s">
        <v>1</v>
      </c>
      <c r="BN486">
        <f>Tabla1[[#This Row],[precio del paquete]]</f>
        <v>12900</v>
      </c>
      <c r="BO486" t="s">
        <v>1</v>
      </c>
      <c r="BP486" t="s">
        <v>1</v>
      </c>
      <c r="BQ486" t="s">
        <v>1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0</v>
      </c>
      <c r="BX486" t="s">
        <v>1</v>
      </c>
      <c r="BY486" t="s">
        <v>1</v>
      </c>
      <c r="BZ486" t="s">
        <v>1</v>
      </c>
      <c r="CA486" t="s">
        <v>1</v>
      </c>
      <c r="CB486" t="s">
        <v>3382</v>
      </c>
      <c r="CD486" t="str" cm="1">
        <f t="array" aca="1" ref="CD486" ca="1">eConcatenar(A486:CB486,"|")</f>
        <v>LMXYklaA6gi6uPYY|CAR2020-0849|3|ECONOLINE|TABASCO|CARDENAS|CARDENAS|2020-03-12|12900|0|100|50|0|0|0|0|0|0|0|0|0|0|0||0|0|0|CONTRERAS|GARCIA|MARIA DEL CARMEN|SOLTERO|X|X|CARRETERA VILLA HERMOSA - CARDENAS KILOMETRO 135|POBLADO CUCUYULAPA|X|9371263034|X|X|X|CARRETERA VILLA HERMOSA - CARDENAS KILOMETRO 135|X|LUNES|x|x|x|x|x|DOMICILIO |8500|4400|X|X|X|2022-02-10|2022-02-17|x|x|x|x|x|QX002LYO9KVTQO|x|HOMBRE|X|12900|X|X|X|X|X|X|X|X|CARDENAS|X|X|X|X|FINAL</v>
      </c>
    </row>
    <row r="487" spans="1:82" x14ac:dyDescent="0.25">
      <c r="A487" t="s">
        <v>1080</v>
      </c>
      <c r="B487" t="s">
        <v>1081</v>
      </c>
      <c r="C487">
        <v>3</v>
      </c>
      <c r="D487" t="s">
        <v>1371</v>
      </c>
      <c r="E487" t="s">
        <v>1380</v>
      </c>
      <c r="F487" t="s">
        <v>0</v>
      </c>
      <c r="G487" t="s">
        <v>0</v>
      </c>
      <c r="H487" t="s">
        <v>1630</v>
      </c>
      <c r="I487">
        <v>12900</v>
      </c>
      <c r="J487">
        <v>0</v>
      </c>
      <c r="K487">
        <v>100</v>
      </c>
      <c r="L487">
        <v>50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Y487">
        <v>0</v>
      </c>
      <c r="Z487">
        <v>0</v>
      </c>
      <c r="AA487">
        <v>0</v>
      </c>
      <c r="AB487" t="s">
        <v>2310</v>
      </c>
      <c r="AC487" t="s">
        <v>1731</v>
      </c>
      <c r="AD487" t="s">
        <v>2031</v>
      </c>
      <c r="AE487" t="s">
        <v>4</v>
      </c>
      <c r="AF487" t="s">
        <v>1</v>
      </c>
      <c r="AG487" t="s">
        <v>1</v>
      </c>
      <c r="AH487" t="s">
        <v>2857</v>
      </c>
      <c r="AI487" t="s">
        <v>3186</v>
      </c>
      <c r="AJ487" t="s">
        <v>1</v>
      </c>
      <c r="AK487">
        <v>9371263034</v>
      </c>
      <c r="AL487" t="s">
        <v>1</v>
      </c>
      <c r="AM487" t="s">
        <v>1</v>
      </c>
      <c r="AN487" t="s">
        <v>1</v>
      </c>
      <c r="AO487" t="s">
        <v>2857</v>
      </c>
      <c r="AP487" t="s">
        <v>1</v>
      </c>
      <c r="AQ487" t="s">
        <v>2</v>
      </c>
      <c r="AR487" t="s">
        <v>3</v>
      </c>
      <c r="AS487" t="s">
        <v>3</v>
      </c>
      <c r="AT487" t="s">
        <v>3</v>
      </c>
      <c r="AU487" t="s">
        <v>3</v>
      </c>
      <c r="AV487" t="s">
        <v>3</v>
      </c>
      <c r="AW487" t="s">
        <v>11</v>
      </c>
      <c r="AX487">
        <f>Tabla1[[#This Row],[precio del paquete]]-Tabla1[[#This Row],[Saldo_Deudor]]</f>
        <v>9900</v>
      </c>
      <c r="AY487">
        <v>3000</v>
      </c>
      <c r="AZ487" t="s">
        <v>1</v>
      </c>
      <c r="BA487" t="s">
        <v>1</v>
      </c>
      <c r="BB487" t="s">
        <v>1</v>
      </c>
      <c r="BC487" t="s">
        <v>1400</v>
      </c>
      <c r="BD487" t="s">
        <v>3277</v>
      </c>
      <c r="BE487" t="s">
        <v>3</v>
      </c>
      <c r="BF487" t="s">
        <v>3</v>
      </c>
      <c r="BG487" t="s">
        <v>3</v>
      </c>
      <c r="BH487" t="s">
        <v>3</v>
      </c>
      <c r="BI487" t="s">
        <v>3</v>
      </c>
      <c r="BJ487" t="s">
        <v>3362</v>
      </c>
      <c r="BK487" t="s">
        <v>3</v>
      </c>
      <c r="BL487" t="s">
        <v>132</v>
      </c>
      <c r="BM487" t="s">
        <v>1</v>
      </c>
      <c r="BN487">
        <f>Tabla1[[#This Row],[precio del paquete]]</f>
        <v>12900</v>
      </c>
      <c r="BO487" t="s">
        <v>1</v>
      </c>
      <c r="BP487" t="s">
        <v>1</v>
      </c>
      <c r="BQ487" t="s">
        <v>1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0</v>
      </c>
      <c r="BX487" t="s">
        <v>1</v>
      </c>
      <c r="BY487" t="s">
        <v>1</v>
      </c>
      <c r="BZ487" t="s">
        <v>1</v>
      </c>
      <c r="CA487" t="s">
        <v>1</v>
      </c>
      <c r="CB487" t="s">
        <v>3382</v>
      </c>
      <c r="CD487" t="str" cm="1">
        <f t="array" aca="1" ref="CD487" ca="1">eConcatenar(A487:CB487,"|")</f>
        <v>oXkJDqSKrJ9Mc3yB|CAR2020-0476|3|ECONOLINE|TABASCO|CARDENAS|CARDENAS|2020-02-15|12900|0|100|50|0|0|0|0|0|0|0|0|0|0|0||0|0|0|CONTRERAS|GARCIA|MARIA DEL CARMEN|SOLTERO|X|X|CARRETERA VILLA HERMOSA - CARDENAS KILOMETRO 135|POBLADO CUCUYULAPA|X|9371263034|X|X|X|CARRETERA VILLA HERMOSA - CARDENAS KILOMETRO 135|X|LUNES|x|x|x|x|x|DOMICILIO |9900|3000|X|X|X|2022-02-10|2022-02-17|x|x|x|x|x|QX002LYO9KVTQO|x|HOMBRE|X|12900|X|X|X|X|X|X|X|X|CARDENAS|X|X|X|X|FINAL</v>
      </c>
    </row>
    <row r="488" spans="1:82" x14ac:dyDescent="0.25">
      <c r="A488" t="s">
        <v>1082</v>
      </c>
      <c r="B488" t="s">
        <v>1083</v>
      </c>
      <c r="C488">
        <v>3</v>
      </c>
      <c r="D488" t="s">
        <v>1369</v>
      </c>
      <c r="E488" t="s">
        <v>1380</v>
      </c>
      <c r="F488" t="s">
        <v>0</v>
      </c>
      <c r="G488" t="s">
        <v>0</v>
      </c>
      <c r="H488" t="s">
        <v>1631</v>
      </c>
      <c r="I488">
        <v>14800</v>
      </c>
      <c r="J488">
        <v>0</v>
      </c>
      <c r="K488">
        <v>50</v>
      </c>
      <c r="L488">
        <v>50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Y488">
        <v>0</v>
      </c>
      <c r="Z488">
        <v>0</v>
      </c>
      <c r="AA488">
        <v>0</v>
      </c>
      <c r="AB488" t="s">
        <v>2264</v>
      </c>
      <c r="AC488" t="s">
        <v>2043</v>
      </c>
      <c r="AD488" t="s">
        <v>1923</v>
      </c>
      <c r="AE488" t="s">
        <v>4</v>
      </c>
      <c r="AF488" t="s">
        <v>1</v>
      </c>
      <c r="AG488" t="s">
        <v>1</v>
      </c>
      <c r="AH488" t="s">
        <v>2858</v>
      </c>
      <c r="AI488" t="s">
        <v>3085</v>
      </c>
      <c r="AJ488" t="s">
        <v>1</v>
      </c>
      <c r="AK488">
        <v>9372271880</v>
      </c>
      <c r="AL488" t="s">
        <v>1</v>
      </c>
      <c r="AM488" t="s">
        <v>1</v>
      </c>
      <c r="AN488" t="s">
        <v>1</v>
      </c>
      <c r="AO488" t="s">
        <v>2858</v>
      </c>
      <c r="AP488" t="s">
        <v>1</v>
      </c>
      <c r="AQ488" t="s">
        <v>2</v>
      </c>
      <c r="AR488" t="s">
        <v>3</v>
      </c>
      <c r="AS488" t="s">
        <v>3</v>
      </c>
      <c r="AT488" t="s">
        <v>3</v>
      </c>
      <c r="AU488" t="s">
        <v>3</v>
      </c>
      <c r="AV488" t="s">
        <v>3</v>
      </c>
      <c r="AW488" t="s">
        <v>11</v>
      </c>
      <c r="AX488">
        <f>Tabla1[[#This Row],[precio del paquete]]-Tabla1[[#This Row],[Saldo_Deudor]]</f>
        <v>1430</v>
      </c>
      <c r="AY488">
        <v>13370</v>
      </c>
      <c r="AZ488" t="s">
        <v>1</v>
      </c>
      <c r="BA488" t="s">
        <v>1</v>
      </c>
      <c r="BB488" t="s">
        <v>1</v>
      </c>
      <c r="BC488" t="s">
        <v>3277</v>
      </c>
      <c r="BD488" t="s">
        <v>3327</v>
      </c>
      <c r="BE488" t="s">
        <v>3</v>
      </c>
      <c r="BF488" t="s">
        <v>3</v>
      </c>
      <c r="BG488" t="s">
        <v>3</v>
      </c>
      <c r="BH488" t="s">
        <v>3</v>
      </c>
      <c r="BI488" t="s">
        <v>3</v>
      </c>
      <c r="BJ488" t="s">
        <v>3362</v>
      </c>
      <c r="BK488" t="s">
        <v>3</v>
      </c>
      <c r="BL488" t="s">
        <v>132</v>
      </c>
      <c r="BM488" t="s">
        <v>1</v>
      </c>
      <c r="BN488">
        <f>Tabla1[[#This Row],[precio del paquete]]</f>
        <v>14800</v>
      </c>
      <c r="BO488" t="s">
        <v>1</v>
      </c>
      <c r="BP488" t="s">
        <v>1</v>
      </c>
      <c r="BQ488" t="s">
        <v>1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0</v>
      </c>
      <c r="BX488" t="s">
        <v>1</v>
      </c>
      <c r="BY488" t="s">
        <v>1</v>
      </c>
      <c r="BZ488" t="s">
        <v>1</v>
      </c>
      <c r="CA488" t="s">
        <v>1</v>
      </c>
      <c r="CB488" t="s">
        <v>3382</v>
      </c>
      <c r="CD488" t="str" cm="1">
        <f t="array" aca="1" ref="CD488" ca="1">eConcatenar(A488:CB488,"|")</f>
        <v>uH2RE8WnWda8xPUK|CAR2021-2219|3|MEMORIAL|TABASCO|CARDENAS|CARDENAS|2021-05-28|14800|0|50|50|0|0|0|0|0|0|0|0|0|0|0||0|0|0|CORTEZ|SUAREZ|MARTINA|SOLTERO|X|X|CALLE JALAPA SIN NUMERO|COLONIA SECCION 40|X|9372271880|X|X|X|CALLE JALAPA SIN NUMERO|X|LUNES|x|x|x|x|x|DOMICILIO |1430|13370|X|X|X|2022-02-17|2022-02-24|x|x|x|x|x|QX002LYO9KVTQO|x|HOMBRE|X|14800|X|X|X|X|X|X|X|X|CARDENAS|X|X|X|X|FINAL</v>
      </c>
    </row>
    <row r="489" spans="1:82" x14ac:dyDescent="0.25">
      <c r="A489" t="s">
        <v>1084</v>
      </c>
      <c r="B489" t="s">
        <v>1085</v>
      </c>
      <c r="C489">
        <v>3</v>
      </c>
      <c r="D489" t="s">
        <v>1372</v>
      </c>
      <c r="E489" t="s">
        <v>1380</v>
      </c>
      <c r="F489" t="s">
        <v>0</v>
      </c>
      <c r="G489" t="s">
        <v>0</v>
      </c>
      <c r="H489" t="s">
        <v>1632</v>
      </c>
      <c r="I489">
        <v>12900</v>
      </c>
      <c r="J489">
        <v>0</v>
      </c>
      <c r="K489">
        <v>100</v>
      </c>
      <c r="L489">
        <v>50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Y489">
        <v>0</v>
      </c>
      <c r="Z489">
        <v>0</v>
      </c>
      <c r="AA489">
        <v>0</v>
      </c>
      <c r="AB489" t="s">
        <v>1748</v>
      </c>
      <c r="AC489" t="s">
        <v>1847</v>
      </c>
      <c r="AD489" t="s">
        <v>2311</v>
      </c>
      <c r="AE489" t="s">
        <v>4</v>
      </c>
      <c r="AF489" t="s">
        <v>1</v>
      </c>
      <c r="AG489" t="s">
        <v>1</v>
      </c>
      <c r="AH489" t="s">
        <v>2859</v>
      </c>
      <c r="AI489" t="s">
        <v>3086</v>
      </c>
      <c r="AJ489" t="s">
        <v>1</v>
      </c>
      <c r="AK489">
        <v>9371544199</v>
      </c>
      <c r="AL489" t="s">
        <v>1</v>
      </c>
      <c r="AM489" t="s">
        <v>1</v>
      </c>
      <c r="AN489" t="s">
        <v>1</v>
      </c>
      <c r="AO489" t="s">
        <v>2859</v>
      </c>
      <c r="AP489" t="s">
        <v>1</v>
      </c>
      <c r="AQ489" t="s">
        <v>2</v>
      </c>
      <c r="AR489" t="s">
        <v>3</v>
      </c>
      <c r="AS489" t="s">
        <v>3</v>
      </c>
      <c r="AT489" t="s">
        <v>3</v>
      </c>
      <c r="AU489" t="s">
        <v>3</v>
      </c>
      <c r="AV489" t="s">
        <v>3</v>
      </c>
      <c r="AW489" t="s">
        <v>11</v>
      </c>
      <c r="AX489">
        <f>Tabla1[[#This Row],[precio del paquete]]-Tabla1[[#This Row],[Saldo_Deudor]]</f>
        <v>7600</v>
      </c>
      <c r="AY489">
        <v>5300</v>
      </c>
      <c r="AZ489" t="s">
        <v>1</v>
      </c>
      <c r="BA489" t="s">
        <v>1</v>
      </c>
      <c r="BB489" t="s">
        <v>1</v>
      </c>
      <c r="BC489" t="s">
        <v>1400</v>
      </c>
      <c r="BD489" t="s">
        <v>3277</v>
      </c>
      <c r="BE489" t="s">
        <v>3</v>
      </c>
      <c r="BF489" t="s">
        <v>3</v>
      </c>
      <c r="BG489" t="s">
        <v>3</v>
      </c>
      <c r="BH489" t="s">
        <v>3</v>
      </c>
      <c r="BI489" t="s">
        <v>3</v>
      </c>
      <c r="BJ489" t="s">
        <v>3362</v>
      </c>
      <c r="BK489" t="s">
        <v>3</v>
      </c>
      <c r="BL489" t="s">
        <v>132</v>
      </c>
      <c r="BM489" t="s">
        <v>1</v>
      </c>
      <c r="BN489">
        <f>Tabla1[[#This Row],[precio del paquete]]</f>
        <v>12900</v>
      </c>
      <c r="BO489" t="s">
        <v>1</v>
      </c>
      <c r="BP489" t="s">
        <v>1</v>
      </c>
      <c r="BQ489" t="s">
        <v>1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0</v>
      </c>
      <c r="BX489" t="s">
        <v>1</v>
      </c>
      <c r="BY489" t="s">
        <v>1</v>
      </c>
      <c r="BZ489" t="s">
        <v>1</v>
      </c>
      <c r="CA489" t="s">
        <v>1</v>
      </c>
      <c r="CB489" t="s">
        <v>3382</v>
      </c>
      <c r="CD489" t="str" cm="1">
        <f t="array" aca="1" ref="CD489" ca="1">eConcatenar(A489:CB489,"|")</f>
        <v>unjABriW23BFT59z|CAR2020-0828|3|IMPERIAL DE LUJO|TABASCO|CARDENAS|CARDENAS|2020-03-10|12900|0|100|50|0|0|0|0|0|0|0|0|0|0|0||0|0|0|JIMENEZ|MENDOZA|DEYANIRA|SOLTERO|X|X|CALLE IGNACIO GUTIERREZ |COLONIA CARDENAS CENTRO|X|9371544199|X|X|X|CALLE IGNACIO GUTIERREZ |X|LUNES|x|x|x|x|x|DOMICILIO |7600|5300|X|X|X|2022-02-10|2022-02-17|x|x|x|x|x|QX002LYO9KVTQO|x|HOMBRE|X|12900|X|X|X|X|X|X|X|X|CARDENAS|X|X|X|X|FINAL</v>
      </c>
    </row>
    <row r="490" spans="1:82" x14ac:dyDescent="0.25">
      <c r="A490" t="s">
        <v>1086</v>
      </c>
      <c r="B490" t="s">
        <v>1087</v>
      </c>
      <c r="C490">
        <v>3</v>
      </c>
      <c r="D490" t="s">
        <v>1372</v>
      </c>
      <c r="E490" t="s">
        <v>1380</v>
      </c>
      <c r="F490" t="s">
        <v>0</v>
      </c>
      <c r="G490" t="s">
        <v>0</v>
      </c>
      <c r="H490" t="s">
        <v>1633</v>
      </c>
      <c r="I490">
        <v>12900</v>
      </c>
      <c r="J490">
        <v>0</v>
      </c>
      <c r="K490">
        <v>200</v>
      </c>
      <c r="L490">
        <v>50</v>
      </c>
      <c r="M490">
        <v>1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Y490">
        <v>0</v>
      </c>
      <c r="Z490">
        <v>0</v>
      </c>
      <c r="AA490">
        <v>0</v>
      </c>
      <c r="AB490" t="s">
        <v>1744</v>
      </c>
      <c r="AC490" t="s">
        <v>1711</v>
      </c>
      <c r="AD490" t="s">
        <v>2312</v>
      </c>
      <c r="AE490" t="s">
        <v>4</v>
      </c>
      <c r="AF490" t="s">
        <v>1</v>
      </c>
      <c r="AG490" t="s">
        <v>1</v>
      </c>
      <c r="AH490" t="s">
        <v>2860</v>
      </c>
      <c r="AI490" t="s">
        <v>3187</v>
      </c>
      <c r="AJ490" t="s">
        <v>1</v>
      </c>
      <c r="AK490">
        <v>9371200404</v>
      </c>
      <c r="AL490" t="s">
        <v>1</v>
      </c>
      <c r="AM490" t="s">
        <v>1</v>
      </c>
      <c r="AN490" t="s">
        <v>1</v>
      </c>
      <c r="AO490" t="s">
        <v>2860</v>
      </c>
      <c r="AP490" t="s">
        <v>1</v>
      </c>
      <c r="AQ490" t="s">
        <v>2</v>
      </c>
      <c r="AR490" t="s">
        <v>3</v>
      </c>
      <c r="AS490" t="s">
        <v>3</v>
      </c>
      <c r="AT490" t="s">
        <v>3</v>
      </c>
      <c r="AU490" t="s">
        <v>3</v>
      </c>
      <c r="AV490" t="s">
        <v>3</v>
      </c>
      <c r="AW490" t="s">
        <v>11</v>
      </c>
      <c r="AX490">
        <f>Tabla1[[#This Row],[precio del paquete]]-Tabla1[[#This Row],[Saldo_Deudor]]</f>
        <v>4000</v>
      </c>
      <c r="AY490">
        <v>8900</v>
      </c>
      <c r="AZ490" t="s">
        <v>1</v>
      </c>
      <c r="BA490" t="s">
        <v>1</v>
      </c>
      <c r="BB490" t="s">
        <v>1</v>
      </c>
      <c r="BC490" t="s">
        <v>1390</v>
      </c>
      <c r="BD490" t="s">
        <v>1401</v>
      </c>
      <c r="BE490" t="s">
        <v>3</v>
      </c>
      <c r="BF490" t="s">
        <v>3</v>
      </c>
      <c r="BG490" t="s">
        <v>3</v>
      </c>
      <c r="BH490" t="s">
        <v>3</v>
      </c>
      <c r="BI490" t="s">
        <v>3</v>
      </c>
      <c r="BJ490" t="s">
        <v>3362</v>
      </c>
      <c r="BK490" t="s">
        <v>3</v>
      </c>
      <c r="BL490" t="s">
        <v>132</v>
      </c>
      <c r="BM490" t="s">
        <v>1</v>
      </c>
      <c r="BN490">
        <f>Tabla1[[#This Row],[precio del paquete]]</f>
        <v>12900</v>
      </c>
      <c r="BO490" t="s">
        <v>1</v>
      </c>
      <c r="BP490" t="s">
        <v>1</v>
      </c>
      <c r="BQ490" t="s">
        <v>1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0</v>
      </c>
      <c r="BX490" t="s">
        <v>1</v>
      </c>
      <c r="BY490" t="s">
        <v>1</v>
      </c>
      <c r="BZ490" t="s">
        <v>1</v>
      </c>
      <c r="CA490" t="s">
        <v>1</v>
      </c>
      <c r="CB490" t="s">
        <v>3382</v>
      </c>
      <c r="CD490" t="str" cm="1">
        <f t="array" aca="1" ref="CD490" ca="1">eConcatenar(A490:CB490,"|")</f>
        <v>rtcNdQAdee3CB9fG|CAR2020-4675|3|IMPERIAL DE LUJO|TABASCO|CARDENAS|CARDENAS|2020-11-18|12900|0|200|50|1|0|0|0|0|0|0|0|0|0|0||0|0|0|PEREZ|HERNANDEZ|CONSUELO|SOLTERO|X|X|CALLEJON DE DONDE ERA LA SANCHEZ|AMPLIACION CAÑALES TERCERA ETAPA NORTE|X|9371200404|X|X|X|CALLEJON DE DONDE ERA LA SANCHEZ|X|LUNES|x|x|x|x|x|DOMICILIO |4000|8900|X|X|X|2022-02-02|2022-02-09|x|x|x|x|x|QX002LYO9KVTQO|x|HOMBRE|X|12900|X|X|X|X|X|X|X|X|CARDENAS|X|X|X|X|FINAL</v>
      </c>
    </row>
    <row r="491" spans="1:82" x14ac:dyDescent="0.25">
      <c r="A491" t="s">
        <v>1088</v>
      </c>
      <c r="B491" t="s">
        <v>1089</v>
      </c>
      <c r="C491">
        <v>3</v>
      </c>
      <c r="D491" t="s">
        <v>1372</v>
      </c>
      <c r="E491" t="s">
        <v>1380</v>
      </c>
      <c r="F491" t="s">
        <v>0</v>
      </c>
      <c r="G491" t="s">
        <v>0</v>
      </c>
      <c r="H491" t="s">
        <v>1580</v>
      </c>
      <c r="I491">
        <v>12900</v>
      </c>
      <c r="J491">
        <v>0</v>
      </c>
      <c r="K491">
        <v>100</v>
      </c>
      <c r="L491">
        <v>50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Y491">
        <v>0</v>
      </c>
      <c r="Z491">
        <v>0</v>
      </c>
      <c r="AA491">
        <v>0</v>
      </c>
      <c r="AB491" t="s">
        <v>1748</v>
      </c>
      <c r="AC491" t="s">
        <v>1731</v>
      </c>
      <c r="AD491" t="s">
        <v>2313</v>
      </c>
      <c r="AE491" t="s">
        <v>4</v>
      </c>
      <c r="AF491" t="s">
        <v>1</v>
      </c>
      <c r="AG491" t="s">
        <v>1</v>
      </c>
      <c r="AH491" t="s">
        <v>2861</v>
      </c>
      <c r="AI491" t="s">
        <v>3165</v>
      </c>
      <c r="AJ491" t="s">
        <v>1</v>
      </c>
      <c r="AK491">
        <v>9371335064</v>
      </c>
      <c r="AL491" t="s">
        <v>1</v>
      </c>
      <c r="AM491" t="s">
        <v>1</v>
      </c>
      <c r="AN491" t="s">
        <v>1</v>
      </c>
      <c r="AO491" t="s">
        <v>2861</v>
      </c>
      <c r="AP491" t="s">
        <v>1</v>
      </c>
      <c r="AQ491" t="s">
        <v>2</v>
      </c>
      <c r="AR491" t="s">
        <v>3</v>
      </c>
      <c r="AS491" t="s">
        <v>3</v>
      </c>
      <c r="AT491" t="s">
        <v>3</v>
      </c>
      <c r="AU491" t="s">
        <v>3</v>
      </c>
      <c r="AV491" t="s">
        <v>3</v>
      </c>
      <c r="AW491" t="s">
        <v>11</v>
      </c>
      <c r="AX491">
        <f>Tabla1[[#This Row],[precio del paquete]]-Tabla1[[#This Row],[Saldo_Deudor]]</f>
        <v>2700</v>
      </c>
      <c r="AY491">
        <v>10200</v>
      </c>
      <c r="AZ491" t="s">
        <v>1</v>
      </c>
      <c r="BA491" t="s">
        <v>1</v>
      </c>
      <c r="BB491" t="s">
        <v>1</v>
      </c>
      <c r="BC491" t="s">
        <v>1400</v>
      </c>
      <c r="BD491" t="s">
        <v>3277</v>
      </c>
      <c r="BE491" t="s">
        <v>3</v>
      </c>
      <c r="BF491" t="s">
        <v>3</v>
      </c>
      <c r="BG491" t="s">
        <v>3</v>
      </c>
      <c r="BH491" t="s">
        <v>3</v>
      </c>
      <c r="BI491" t="s">
        <v>3</v>
      </c>
      <c r="BJ491" t="s">
        <v>3362</v>
      </c>
      <c r="BK491" t="s">
        <v>3</v>
      </c>
      <c r="BL491" t="s">
        <v>132</v>
      </c>
      <c r="BM491" t="s">
        <v>1</v>
      </c>
      <c r="BN491">
        <f>Tabla1[[#This Row],[precio del paquete]]</f>
        <v>12900</v>
      </c>
      <c r="BO491" t="s">
        <v>1</v>
      </c>
      <c r="BP491" t="s">
        <v>1</v>
      </c>
      <c r="BQ491" t="s">
        <v>1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0</v>
      </c>
      <c r="BX491" t="s">
        <v>1</v>
      </c>
      <c r="BY491" t="s">
        <v>1</v>
      </c>
      <c r="BZ491" t="s">
        <v>1</v>
      </c>
      <c r="CA491" t="s">
        <v>1</v>
      </c>
      <c r="CB491" t="s">
        <v>3382</v>
      </c>
      <c r="CD491" t="str" cm="1">
        <f t="array" aca="1" ref="CD491" ca="1">eConcatenar(A491:CB491,"|")</f>
        <v>Mdio4vhaf8cueac2|CAR2021-2240|3|IMPERIAL DE LUJO|TABASCO|CARDENAS|CARDENAS|2021-06-01|12900|0|100|50|0|0|0|0|0|0|0|0|0|0|0||0|0|0|JIMENEZ|GARCIA|YOLANDA|SOLTERO|X|X|CALLE EL MANGOS|COLONIA SANTA MARIA DE GUADALUPE|X|9371335064|X|X|X|CALLE EL MANGOS|X|LUNES|x|x|x|x|x|DOMICILIO |2700|10200|X|X|X|2022-02-10|2022-02-17|x|x|x|x|x|QX002LYO9KVTQO|x|HOMBRE|X|12900|X|X|X|X|X|X|X|X|CARDENAS|X|X|X|X|FINAL</v>
      </c>
    </row>
    <row r="492" spans="1:82" x14ac:dyDescent="0.25">
      <c r="A492" t="s">
        <v>1090</v>
      </c>
      <c r="B492" t="s">
        <v>1091</v>
      </c>
      <c r="C492">
        <v>3</v>
      </c>
      <c r="D492" t="s">
        <v>1371</v>
      </c>
      <c r="E492" t="s">
        <v>1380</v>
      </c>
      <c r="F492" t="s">
        <v>0</v>
      </c>
      <c r="G492" t="s">
        <v>0</v>
      </c>
      <c r="H492" t="s">
        <v>1542</v>
      </c>
      <c r="I492">
        <v>12900</v>
      </c>
      <c r="J492">
        <v>0</v>
      </c>
      <c r="K492">
        <v>200</v>
      </c>
      <c r="L492">
        <v>50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Y492">
        <v>0</v>
      </c>
      <c r="Z492">
        <v>0</v>
      </c>
      <c r="AA492">
        <v>0</v>
      </c>
      <c r="AB492" t="s">
        <v>2314</v>
      </c>
      <c r="AC492" t="s">
        <v>1743</v>
      </c>
      <c r="AD492" t="s">
        <v>1759</v>
      </c>
      <c r="AE492" t="s">
        <v>4</v>
      </c>
      <c r="AF492" t="s">
        <v>1</v>
      </c>
      <c r="AG492" t="s">
        <v>1</v>
      </c>
      <c r="AH492" t="s">
        <v>2862</v>
      </c>
      <c r="AI492" t="s">
        <v>3188</v>
      </c>
      <c r="AJ492" t="s">
        <v>1</v>
      </c>
      <c r="AK492">
        <v>9381843096</v>
      </c>
      <c r="AL492" t="s">
        <v>1</v>
      </c>
      <c r="AM492" t="s">
        <v>1</v>
      </c>
      <c r="AN492" t="s">
        <v>1</v>
      </c>
      <c r="AO492" t="s">
        <v>2862</v>
      </c>
      <c r="AP492" t="s">
        <v>1</v>
      </c>
      <c r="AQ492" t="s">
        <v>2</v>
      </c>
      <c r="AR492" t="s">
        <v>3</v>
      </c>
      <c r="AS492" t="s">
        <v>3</v>
      </c>
      <c r="AT492" t="s">
        <v>3</v>
      </c>
      <c r="AU492" t="s">
        <v>3</v>
      </c>
      <c r="AV492" t="s">
        <v>3</v>
      </c>
      <c r="AW492" t="s">
        <v>11</v>
      </c>
      <c r="AX492">
        <f>Tabla1[[#This Row],[precio del paquete]]-Tabla1[[#This Row],[Saldo_Deudor]]</f>
        <v>8800</v>
      </c>
      <c r="AY492">
        <v>4100</v>
      </c>
      <c r="AZ492" t="s">
        <v>1</v>
      </c>
      <c r="BA492" t="s">
        <v>1</v>
      </c>
      <c r="BB492" t="s">
        <v>1</v>
      </c>
      <c r="BC492" t="s">
        <v>1394</v>
      </c>
      <c r="BD492" t="s">
        <v>1400</v>
      </c>
      <c r="BE492" t="s">
        <v>3</v>
      </c>
      <c r="BF492" t="s">
        <v>3</v>
      </c>
      <c r="BG492" t="s">
        <v>3</v>
      </c>
      <c r="BH492" t="s">
        <v>3</v>
      </c>
      <c r="BI492" t="s">
        <v>3</v>
      </c>
      <c r="BJ492" t="s">
        <v>3362</v>
      </c>
      <c r="BK492" t="s">
        <v>3</v>
      </c>
      <c r="BL492" t="s">
        <v>132</v>
      </c>
      <c r="BM492" t="s">
        <v>1</v>
      </c>
      <c r="BN492">
        <f>Tabla1[[#This Row],[precio del paquete]]</f>
        <v>12900</v>
      </c>
      <c r="BO492" t="s">
        <v>1</v>
      </c>
      <c r="BP492" t="s">
        <v>1</v>
      </c>
      <c r="BQ492" t="s">
        <v>1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0</v>
      </c>
      <c r="BX492" t="s">
        <v>1</v>
      </c>
      <c r="BY492" t="s">
        <v>1</v>
      </c>
      <c r="BZ492" t="s">
        <v>1</v>
      </c>
      <c r="CA492" t="s">
        <v>1</v>
      </c>
      <c r="CB492" t="s">
        <v>3382</v>
      </c>
      <c r="CD492" t="str" cm="1">
        <f t="array" aca="1" ref="CD492" ca="1">eConcatenar(A492:CB492,"|")</f>
        <v>Td4mb1ADwbu4euPe|CAR2019-2532|3|ECONOLINE|TABASCO|CARDENAS|CARDENAS|2019-09-09|12900|0|200|50|1|0|0|0|0|0|0|0|0|0|0||0|0|0|CABRERO|DIAZ|FRANCISCA|SOLTERO|X|X|ENTRADA LA VIA|EJIDO LA PENINSULA|X|9381843096|X|X|X|ENTRADA LA VIA|X|LUNES|x|x|x|x|x|DOMICILIO |8800|4100|X|X|X|2022-02-03|2022-02-10|x|x|x|x|x|QX002LYO9KVTQO|x|HOMBRE|X|12900|X|X|X|X|X|X|X|X|CARDENAS|X|X|X|X|FINAL</v>
      </c>
    </row>
    <row r="493" spans="1:82" x14ac:dyDescent="0.25">
      <c r="A493" t="s">
        <v>1092</v>
      </c>
      <c r="B493" t="s">
        <v>1093</v>
      </c>
      <c r="C493">
        <v>3</v>
      </c>
      <c r="D493" t="s">
        <v>1373</v>
      </c>
      <c r="E493" t="s">
        <v>1380</v>
      </c>
      <c r="F493" t="s">
        <v>0</v>
      </c>
      <c r="G493" t="s">
        <v>0</v>
      </c>
      <c r="H493" t="s">
        <v>1634</v>
      </c>
      <c r="I493">
        <v>19800</v>
      </c>
      <c r="J493">
        <v>0</v>
      </c>
      <c r="K493">
        <v>200</v>
      </c>
      <c r="L493">
        <v>50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Y493">
        <v>0</v>
      </c>
      <c r="Z493">
        <v>0</v>
      </c>
      <c r="AA493">
        <v>0</v>
      </c>
      <c r="AB493" t="s">
        <v>7</v>
      </c>
      <c r="AC493" t="s">
        <v>1731</v>
      </c>
      <c r="AD493" t="s">
        <v>2315</v>
      </c>
      <c r="AE493" t="s">
        <v>4</v>
      </c>
      <c r="AF493" t="s">
        <v>1</v>
      </c>
      <c r="AG493" t="s">
        <v>1</v>
      </c>
      <c r="AH493" t="s">
        <v>2863</v>
      </c>
      <c r="AI493" t="s">
        <v>3189</v>
      </c>
      <c r="AJ493" t="s">
        <v>1</v>
      </c>
      <c r="AK493">
        <v>224310305</v>
      </c>
      <c r="AL493" t="s">
        <v>1</v>
      </c>
      <c r="AM493" t="s">
        <v>1</v>
      </c>
      <c r="AN493" t="s">
        <v>1</v>
      </c>
      <c r="AO493" t="s">
        <v>2863</v>
      </c>
      <c r="AP493" t="s">
        <v>1</v>
      </c>
      <c r="AQ493" t="s">
        <v>2</v>
      </c>
      <c r="AR493" t="s">
        <v>3</v>
      </c>
      <c r="AS493" t="s">
        <v>3</v>
      </c>
      <c r="AT493" t="s">
        <v>3</v>
      </c>
      <c r="AU493" t="s">
        <v>3</v>
      </c>
      <c r="AV493" t="s">
        <v>3</v>
      </c>
      <c r="AW493" t="s">
        <v>11</v>
      </c>
      <c r="AX493">
        <f>Tabla1[[#This Row],[precio del paquete]]-Tabla1[[#This Row],[Saldo_Deudor]]</f>
        <v>5300</v>
      </c>
      <c r="AY493">
        <v>14500</v>
      </c>
      <c r="AZ493" t="s">
        <v>1</v>
      </c>
      <c r="BA493" t="s">
        <v>1</v>
      </c>
      <c r="BB493" t="s">
        <v>1</v>
      </c>
      <c r="BC493" t="s">
        <v>1394</v>
      </c>
      <c r="BD493" t="s">
        <v>1400</v>
      </c>
      <c r="BE493" t="s">
        <v>3</v>
      </c>
      <c r="BF493" t="s">
        <v>3</v>
      </c>
      <c r="BG493" t="s">
        <v>3</v>
      </c>
      <c r="BH493" t="s">
        <v>3</v>
      </c>
      <c r="BI493" t="s">
        <v>3</v>
      </c>
      <c r="BJ493" t="s">
        <v>3362</v>
      </c>
      <c r="BK493" t="s">
        <v>3</v>
      </c>
      <c r="BL493" t="s">
        <v>132</v>
      </c>
      <c r="BM493" t="s">
        <v>1</v>
      </c>
      <c r="BN493">
        <f>Tabla1[[#This Row],[precio del paquete]]</f>
        <v>19800</v>
      </c>
      <c r="BO493" t="s">
        <v>1</v>
      </c>
      <c r="BP493" t="s">
        <v>1</v>
      </c>
      <c r="BQ493" t="s">
        <v>1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0</v>
      </c>
      <c r="BX493" t="s">
        <v>1</v>
      </c>
      <c r="BY493" t="s">
        <v>1</v>
      </c>
      <c r="BZ493" t="s">
        <v>1</v>
      </c>
      <c r="CA493" t="s">
        <v>1</v>
      </c>
      <c r="CB493" t="s">
        <v>3382</v>
      </c>
      <c r="CD493" t="str" cm="1">
        <f t="array" aca="1" ref="CD493" ca="1">eConcatenar(A493:CB493,"|")</f>
        <v>4QsxVJI9qKsXMbqr|CAR2020-4021|3|ZAFIRO|TABASCO|CARDENAS|CARDENAS|2020-10-15|19800|0|200|50|1|0|0|0|0|0|0|0|0|0|0||0|0|0|LOPEZ|GARCIA|HEIDI BETSY|SOLTERO|X|X|CALLE FRAMBOYANES|COLONIA SAN LAZARO|X|224310305|X|X|X|CALLE FRAMBOYANES|X|LUNES|x|x|x|x|x|DOMICILIO |5300|14500|X|X|X|2022-02-03|2022-02-10|x|x|x|x|x|QX002LYO9KVTQO|x|HOMBRE|X|19800|X|X|X|X|X|X|X|X|CARDENAS|X|X|X|X|FINAL</v>
      </c>
    </row>
    <row r="494" spans="1:82" x14ac:dyDescent="0.25">
      <c r="A494" t="s">
        <v>1094</v>
      </c>
      <c r="B494" t="s">
        <v>1095</v>
      </c>
      <c r="C494">
        <v>3</v>
      </c>
      <c r="D494" t="s">
        <v>1377</v>
      </c>
      <c r="E494" t="s">
        <v>1380</v>
      </c>
      <c r="F494" t="s">
        <v>0</v>
      </c>
      <c r="G494" t="s">
        <v>0</v>
      </c>
      <c r="H494" t="s">
        <v>1634</v>
      </c>
      <c r="I494">
        <v>35000</v>
      </c>
      <c r="J494">
        <v>0</v>
      </c>
      <c r="K494">
        <v>400</v>
      </c>
      <c r="L494">
        <v>50</v>
      </c>
      <c r="M494">
        <v>1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Y494">
        <v>0</v>
      </c>
      <c r="Z494">
        <v>0</v>
      </c>
      <c r="AA494">
        <v>0</v>
      </c>
      <c r="AB494" t="s">
        <v>1769</v>
      </c>
      <c r="AC494" t="s">
        <v>2011</v>
      </c>
      <c r="AD494" t="s">
        <v>1724</v>
      </c>
      <c r="AE494" t="s">
        <v>4</v>
      </c>
      <c r="AF494" t="s">
        <v>1</v>
      </c>
      <c r="AG494" t="s">
        <v>1</v>
      </c>
      <c r="AH494" t="s">
        <v>2863</v>
      </c>
      <c r="AI494" t="s">
        <v>3189</v>
      </c>
      <c r="AJ494" t="s">
        <v>1</v>
      </c>
      <c r="AK494">
        <v>9931779228</v>
      </c>
      <c r="AL494" t="s">
        <v>1</v>
      </c>
      <c r="AM494" t="s">
        <v>1</v>
      </c>
      <c r="AN494" t="s">
        <v>1</v>
      </c>
      <c r="AO494" t="s">
        <v>2863</v>
      </c>
      <c r="AP494" t="s">
        <v>1</v>
      </c>
      <c r="AQ494" t="s">
        <v>2</v>
      </c>
      <c r="AR494" t="s">
        <v>3</v>
      </c>
      <c r="AS494" t="s">
        <v>3</v>
      </c>
      <c r="AT494" t="s">
        <v>3</v>
      </c>
      <c r="AU494" t="s">
        <v>3</v>
      </c>
      <c r="AV494" t="s">
        <v>3</v>
      </c>
      <c r="AW494" t="s">
        <v>11</v>
      </c>
      <c r="AX494">
        <f>Tabla1[[#This Row],[precio del paquete]]-Tabla1[[#This Row],[Saldo_Deudor]]</f>
        <v>10800</v>
      </c>
      <c r="AY494">
        <v>24200</v>
      </c>
      <c r="AZ494" t="s">
        <v>1</v>
      </c>
      <c r="BA494" t="s">
        <v>1</v>
      </c>
      <c r="BB494" t="s">
        <v>1</v>
      </c>
      <c r="BC494" t="s">
        <v>1394</v>
      </c>
      <c r="BD494" t="s">
        <v>1400</v>
      </c>
      <c r="BE494" t="s">
        <v>3</v>
      </c>
      <c r="BF494" t="s">
        <v>3</v>
      </c>
      <c r="BG494" t="s">
        <v>3</v>
      </c>
      <c r="BH494" t="s">
        <v>3</v>
      </c>
      <c r="BI494" t="s">
        <v>3</v>
      </c>
      <c r="BJ494" t="s">
        <v>3362</v>
      </c>
      <c r="BK494" t="s">
        <v>3</v>
      </c>
      <c r="BL494" t="s">
        <v>132</v>
      </c>
      <c r="BM494" t="s">
        <v>1</v>
      </c>
      <c r="BN494">
        <f>Tabla1[[#This Row],[precio del paquete]]</f>
        <v>35000</v>
      </c>
      <c r="BO494" t="s">
        <v>1</v>
      </c>
      <c r="BP494" t="s">
        <v>1</v>
      </c>
      <c r="BQ494" t="s">
        <v>1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0</v>
      </c>
      <c r="BX494" t="s">
        <v>1</v>
      </c>
      <c r="BY494" t="s">
        <v>1</v>
      </c>
      <c r="BZ494" t="s">
        <v>1</v>
      </c>
      <c r="CA494" t="s">
        <v>1</v>
      </c>
      <c r="CB494" t="s">
        <v>3382</v>
      </c>
      <c r="CD494" t="str" cm="1">
        <f t="array" aca="1" ref="CD494" ca="1">eConcatenar(A494:CB494,"|")</f>
        <v>kMgqY70p629LZDd1|CAR2020-4022|3|CREMACION|TABASCO|CARDENAS|CARDENAS|2020-10-15|35000|0|400|50|1|0|0|0|0|0|0|0|0|0|0||0|0|0|TORRES|ALEJANDRO|JESUS|SOLTERO|X|X|CALLE FRAMBOYANES|COLONIA SAN LAZARO|X|9931779228|X|X|X|CALLE FRAMBOYANES|X|LUNES|x|x|x|x|x|DOMICILIO |10800|24200|X|X|X|2022-02-03|2022-02-10|x|x|x|x|x|QX002LYO9KVTQO|x|HOMBRE|X|35000|X|X|X|X|X|X|X|X|CARDENAS|X|X|X|X|FINAL</v>
      </c>
    </row>
    <row r="495" spans="1:82" x14ac:dyDescent="0.25">
      <c r="A495" t="s">
        <v>1096</v>
      </c>
      <c r="B495" t="s">
        <v>1097</v>
      </c>
      <c r="C495">
        <v>3</v>
      </c>
      <c r="D495" t="s">
        <v>1369</v>
      </c>
      <c r="E495" t="s">
        <v>1380</v>
      </c>
      <c r="F495" t="s">
        <v>0</v>
      </c>
      <c r="G495" t="s">
        <v>0</v>
      </c>
      <c r="H495" t="s">
        <v>1635</v>
      </c>
      <c r="I495">
        <v>14800</v>
      </c>
      <c r="J495">
        <v>0</v>
      </c>
      <c r="K495">
        <v>200</v>
      </c>
      <c r="L495">
        <v>50</v>
      </c>
      <c r="M495">
        <v>1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Y495">
        <v>0</v>
      </c>
      <c r="Z495">
        <v>0</v>
      </c>
      <c r="AA495">
        <v>0</v>
      </c>
      <c r="AB495" t="s">
        <v>8</v>
      </c>
      <c r="AC495" t="s">
        <v>1711</v>
      </c>
      <c r="AD495" t="s">
        <v>2316</v>
      </c>
      <c r="AE495" t="s">
        <v>4</v>
      </c>
      <c r="AF495" t="s">
        <v>1</v>
      </c>
      <c r="AG495" t="s">
        <v>1</v>
      </c>
      <c r="AH495" t="s">
        <v>2465</v>
      </c>
      <c r="AI495" t="s">
        <v>3190</v>
      </c>
      <c r="AJ495" t="s">
        <v>1</v>
      </c>
      <c r="AK495">
        <v>9371043414</v>
      </c>
      <c r="AL495" t="s">
        <v>1</v>
      </c>
      <c r="AM495" t="s">
        <v>1</v>
      </c>
      <c r="AN495" t="s">
        <v>1</v>
      </c>
      <c r="AO495" t="s">
        <v>2465</v>
      </c>
      <c r="AP495" t="s">
        <v>1</v>
      </c>
      <c r="AQ495" t="s">
        <v>2</v>
      </c>
      <c r="AR495" t="s">
        <v>3</v>
      </c>
      <c r="AS495" t="s">
        <v>3</v>
      </c>
      <c r="AT495" t="s">
        <v>3</v>
      </c>
      <c r="AU495" t="s">
        <v>3</v>
      </c>
      <c r="AV495" t="s">
        <v>3</v>
      </c>
      <c r="AW495" t="s">
        <v>11</v>
      </c>
      <c r="AX495">
        <f>Tabla1[[#This Row],[precio del paquete]]-Tabla1[[#This Row],[Saldo_Deudor]]</f>
        <v>3360</v>
      </c>
      <c r="AY495">
        <v>11440</v>
      </c>
      <c r="AZ495" t="s">
        <v>1</v>
      </c>
      <c r="BA495" t="s">
        <v>1</v>
      </c>
      <c r="BB495" t="s">
        <v>1</v>
      </c>
      <c r="BC495" t="s">
        <v>1394</v>
      </c>
      <c r="BD495" t="s">
        <v>1400</v>
      </c>
      <c r="BE495" t="s">
        <v>3</v>
      </c>
      <c r="BF495" t="s">
        <v>3</v>
      </c>
      <c r="BG495" t="s">
        <v>3</v>
      </c>
      <c r="BH495" t="s">
        <v>3</v>
      </c>
      <c r="BI495" t="s">
        <v>3</v>
      </c>
      <c r="BJ495" t="s">
        <v>3362</v>
      </c>
      <c r="BK495" t="s">
        <v>3</v>
      </c>
      <c r="BL495" t="s">
        <v>132</v>
      </c>
      <c r="BM495" t="s">
        <v>1</v>
      </c>
      <c r="BN495">
        <f>Tabla1[[#This Row],[precio del paquete]]</f>
        <v>14800</v>
      </c>
      <c r="BO495" t="s">
        <v>1</v>
      </c>
      <c r="BP495" t="s">
        <v>1</v>
      </c>
      <c r="BQ495" t="s">
        <v>1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0</v>
      </c>
      <c r="BX495" t="s">
        <v>1</v>
      </c>
      <c r="BY495" t="s">
        <v>1</v>
      </c>
      <c r="BZ495" t="s">
        <v>1</v>
      </c>
      <c r="CA495" t="s">
        <v>1</v>
      </c>
      <c r="CB495" t="s">
        <v>3382</v>
      </c>
      <c r="CD495" t="str" cm="1">
        <f t="array" aca="1" ref="CD495" ca="1">eConcatenar(A495:CB495,"|")</f>
        <v>bHZzjvZ8LwuD6IMy|CAR2021-2091|3|MEMORIAL|TABASCO|CARDENAS|CARDENAS|2021-05-26|14800|0|200|50|1|0|0|0|0|0|0|0|0|0|0||0|0|0|GOMEZ|HERNANDEZ|LIDIA|SOLTERO|X|X|CARRETERA PRINCIPAL SIN NUMERO|RANCHERIA RIOS SECO Y MONTAÑA PRIMERA SECCION|X|9371043414|X|X|X|CARRETERA PRINCIPAL SIN NUMERO|X|LUNES|x|x|x|x|x|DOMICILIO |3360|11440|X|X|X|2022-02-03|2022-02-10|x|x|x|x|x|QX002LYO9KVTQO|x|HOMBRE|X|14800|X|X|X|X|X|X|X|X|CARDENAS|X|X|X|X|FINAL</v>
      </c>
    </row>
    <row r="496" spans="1:82" x14ac:dyDescent="0.25">
      <c r="A496" t="s">
        <v>1098</v>
      </c>
      <c r="B496" t="s">
        <v>1099</v>
      </c>
      <c r="C496">
        <v>3</v>
      </c>
      <c r="D496" t="s">
        <v>1369</v>
      </c>
      <c r="E496" t="s">
        <v>1380</v>
      </c>
      <c r="F496" t="s">
        <v>1382</v>
      </c>
      <c r="G496" t="s">
        <v>1382</v>
      </c>
      <c r="H496" t="s">
        <v>1636</v>
      </c>
      <c r="I496">
        <v>14800</v>
      </c>
      <c r="J496">
        <v>0</v>
      </c>
      <c r="K496">
        <v>200</v>
      </c>
      <c r="L496">
        <v>50</v>
      </c>
      <c r="M496">
        <v>1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Y496">
        <v>0</v>
      </c>
      <c r="Z496">
        <v>0</v>
      </c>
      <c r="AA496">
        <v>0</v>
      </c>
      <c r="AB496" t="s">
        <v>2110</v>
      </c>
      <c r="AC496" t="s">
        <v>1810</v>
      </c>
      <c r="AD496" t="s">
        <v>2317</v>
      </c>
      <c r="AE496" t="s">
        <v>4</v>
      </c>
      <c r="AF496" t="s">
        <v>1</v>
      </c>
      <c r="AG496" t="s">
        <v>1</v>
      </c>
      <c r="AH496" t="s">
        <v>2456</v>
      </c>
      <c r="AI496" t="s">
        <v>3191</v>
      </c>
      <c r="AJ496" t="s">
        <v>1</v>
      </c>
      <c r="AK496">
        <v>9371386340</v>
      </c>
      <c r="AL496" t="s">
        <v>1</v>
      </c>
      <c r="AM496" t="s">
        <v>1</v>
      </c>
      <c r="AN496" t="s">
        <v>1</v>
      </c>
      <c r="AO496" t="s">
        <v>2456</v>
      </c>
      <c r="AP496" t="s">
        <v>1</v>
      </c>
      <c r="AQ496" t="s">
        <v>2</v>
      </c>
      <c r="AR496" t="s">
        <v>3</v>
      </c>
      <c r="AS496" t="s">
        <v>3</v>
      </c>
      <c r="AT496" t="s">
        <v>3</v>
      </c>
      <c r="AU496" t="s">
        <v>3</v>
      </c>
      <c r="AV496" t="s">
        <v>3</v>
      </c>
      <c r="AW496" t="s">
        <v>11</v>
      </c>
      <c r="AX496">
        <f>Tabla1[[#This Row],[precio del paquete]]-Tabla1[[#This Row],[Saldo_Deudor]]</f>
        <v>3600</v>
      </c>
      <c r="AY496">
        <v>11200</v>
      </c>
      <c r="AZ496" t="s">
        <v>1</v>
      </c>
      <c r="BA496" t="s">
        <v>1</v>
      </c>
      <c r="BB496" t="s">
        <v>1</v>
      </c>
      <c r="BC496" t="s">
        <v>3284</v>
      </c>
      <c r="BD496" t="s">
        <v>1392</v>
      </c>
      <c r="BE496" t="s">
        <v>3</v>
      </c>
      <c r="BF496" t="s">
        <v>3</v>
      </c>
      <c r="BG496" t="s">
        <v>3</v>
      </c>
      <c r="BH496" t="s">
        <v>3</v>
      </c>
      <c r="BI496" t="s">
        <v>3</v>
      </c>
      <c r="BJ496" t="s">
        <v>3362</v>
      </c>
      <c r="BK496" t="s">
        <v>3</v>
      </c>
      <c r="BL496" t="s">
        <v>132</v>
      </c>
      <c r="BM496" t="s">
        <v>1</v>
      </c>
      <c r="BN496">
        <f>Tabla1[[#This Row],[precio del paquete]]</f>
        <v>14800</v>
      </c>
      <c r="BO496" t="s">
        <v>1</v>
      </c>
      <c r="BP496" t="s">
        <v>1</v>
      </c>
      <c r="BQ496" t="s">
        <v>1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0</v>
      </c>
      <c r="BX496" t="s">
        <v>1</v>
      </c>
      <c r="BY496" t="s">
        <v>1</v>
      </c>
      <c r="BZ496" t="s">
        <v>1</v>
      </c>
      <c r="CA496" t="s">
        <v>1</v>
      </c>
      <c r="CB496" t="s">
        <v>3382</v>
      </c>
      <c r="CD496" t="str" cm="1">
        <f t="array" aca="1" ref="CD496" ca="1">eConcatenar(A496:CB496,"|")</f>
        <v>x16hKDaFrrZHVFyc|CAR2021-1298|3|MEMORIAL|TABASCO|HUIMANGUILLO|HUIMANGUILLO|2021-04-14|14800|0|200|50|1|0|0|0|0|0|0|0|0|0|0||0|0|0|ULIN|CRUZ|LUZ DEL ALBA|SOLTERO|X|X|CALLE PRINCIPAL SIN NUMERO|EJIDO RIO SECO Y MONTAÑA TERCERA SECCION|X|9371386340|X|X|X|CALLE PRINCIPAL SIN NUMERO|X|LUNES|x|x|x|x|x|DOMICILIO |3600|11200|X|X|X|2022-01-20|2022-01-27|x|x|x|x|x|QX002LYO9KVTQO|x|HOMBRE|X|14800|X|X|X|X|X|X|X|X|CARDENAS|X|X|X|X|FINAL</v>
      </c>
    </row>
    <row r="497" spans="1:82" x14ac:dyDescent="0.25">
      <c r="A497" t="s">
        <v>1100</v>
      </c>
      <c r="B497" t="s">
        <v>261</v>
      </c>
      <c r="C497">
        <v>3</v>
      </c>
      <c r="D497" t="s">
        <v>1369</v>
      </c>
      <c r="E497" t="s">
        <v>1380</v>
      </c>
      <c r="F497" t="s">
        <v>1382</v>
      </c>
      <c r="G497" t="s">
        <v>1382</v>
      </c>
      <c r="H497" t="s">
        <v>1394</v>
      </c>
      <c r="I497">
        <v>14800</v>
      </c>
      <c r="J497">
        <v>0</v>
      </c>
      <c r="K497">
        <v>100</v>
      </c>
      <c r="L497">
        <v>50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Y497">
        <v>0</v>
      </c>
      <c r="Z497">
        <v>0</v>
      </c>
      <c r="AA497">
        <v>0</v>
      </c>
      <c r="AB497" t="s">
        <v>1812</v>
      </c>
      <c r="AC497" t="s">
        <v>1711</v>
      </c>
      <c r="AD497" t="s">
        <v>1813</v>
      </c>
      <c r="AE497" t="s">
        <v>4</v>
      </c>
      <c r="AF497" t="s">
        <v>1</v>
      </c>
      <c r="AG497" t="s">
        <v>1</v>
      </c>
      <c r="AH497" t="s">
        <v>2505</v>
      </c>
      <c r="AI497" t="s">
        <v>3192</v>
      </c>
      <c r="AJ497" t="s">
        <v>1</v>
      </c>
      <c r="AK497">
        <v>9371085892</v>
      </c>
      <c r="AL497" t="s">
        <v>1</v>
      </c>
      <c r="AM497" t="s">
        <v>1</v>
      </c>
      <c r="AN497" t="s">
        <v>1</v>
      </c>
      <c r="AO497" t="s">
        <v>2505</v>
      </c>
      <c r="AP497" t="s">
        <v>1</v>
      </c>
      <c r="AQ497" t="s">
        <v>2</v>
      </c>
      <c r="AR497" t="s">
        <v>3</v>
      </c>
      <c r="AS497" t="s">
        <v>3</v>
      </c>
      <c r="AT497" t="s">
        <v>3</v>
      </c>
      <c r="AU497" t="s">
        <v>3</v>
      </c>
      <c r="AV497" t="s">
        <v>3</v>
      </c>
      <c r="AW497" t="s">
        <v>11</v>
      </c>
      <c r="AX497">
        <f>Tabla1[[#This Row],[precio del paquete]]-Tabla1[[#This Row],[Saldo_Deudor]]</f>
        <v>100</v>
      </c>
      <c r="AY497">
        <v>14700</v>
      </c>
      <c r="AZ497" t="s">
        <v>1</v>
      </c>
      <c r="BA497" t="s">
        <v>1</v>
      </c>
      <c r="BB497" t="s">
        <v>1</v>
      </c>
      <c r="BC497" t="s">
        <v>1394</v>
      </c>
      <c r="BD497" t="s">
        <v>1400</v>
      </c>
      <c r="BE497" t="s">
        <v>3</v>
      </c>
      <c r="BF497" t="s">
        <v>3</v>
      </c>
      <c r="BG497" t="s">
        <v>3</v>
      </c>
      <c r="BH497" t="s">
        <v>3</v>
      </c>
      <c r="BI497" t="s">
        <v>3</v>
      </c>
      <c r="BJ497" t="s">
        <v>3362</v>
      </c>
      <c r="BK497" t="s">
        <v>3</v>
      </c>
      <c r="BL497" t="s">
        <v>132</v>
      </c>
      <c r="BM497" t="s">
        <v>1</v>
      </c>
      <c r="BN497">
        <f>Tabla1[[#This Row],[precio del paquete]]</f>
        <v>14800</v>
      </c>
      <c r="BO497" t="s">
        <v>1</v>
      </c>
      <c r="BP497" t="s">
        <v>1</v>
      </c>
      <c r="BQ497" t="s">
        <v>1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0</v>
      </c>
      <c r="BX497" t="s">
        <v>1</v>
      </c>
      <c r="BY497" t="s">
        <v>1</v>
      </c>
      <c r="BZ497" t="s">
        <v>1</v>
      </c>
      <c r="CA497" t="s">
        <v>1</v>
      </c>
      <c r="CB497" t="s">
        <v>3382</v>
      </c>
      <c r="CD497" t="str" cm="1">
        <f t="array" aca="1" ref="CD497" ca="1">eConcatenar(A497:CB497,"|")</f>
        <v>kjUV4pyGQsFMRvj2|CAR2022-0672|3|MEMORIAL|TABASCO|HUIMANGUILLO|HUIMANGUILLO|2022-02-03|14800|0|100|50|0|0|0|0|0|0|0|0|0|0|0||0|0|0|SANCHEZ|HERNANDEZ|MARIA MAGDALENA|SOLTERO|X|X|CALLE LAS PALMAS|EJIDO GENARO VAZQUEZ|X|9371085892|X|X|X|CALLE LAS PALMAS|X|LUNES|x|x|x|x|x|DOMICILIO |100|14700|X|X|X|2022-02-03|2022-02-10|x|x|x|x|x|QX002LYO9KVTQO|x|HOMBRE|X|14800|X|X|X|X|X|X|X|X|CARDENAS|X|X|X|X|FINAL</v>
      </c>
    </row>
    <row r="498" spans="1:82" x14ac:dyDescent="0.25">
      <c r="A498" t="s">
        <v>1101</v>
      </c>
      <c r="B498" t="s">
        <v>1102</v>
      </c>
      <c r="C498">
        <v>3</v>
      </c>
      <c r="D498" t="s">
        <v>1369</v>
      </c>
      <c r="E498" t="s">
        <v>1380</v>
      </c>
      <c r="F498" t="s">
        <v>0</v>
      </c>
      <c r="G498" t="s">
        <v>0</v>
      </c>
      <c r="H498" t="s">
        <v>1520</v>
      </c>
      <c r="I498">
        <v>14800</v>
      </c>
      <c r="J498">
        <v>0</v>
      </c>
      <c r="K498">
        <v>200</v>
      </c>
      <c r="L498">
        <v>50</v>
      </c>
      <c r="M498">
        <v>1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Y498">
        <v>0</v>
      </c>
      <c r="Z498">
        <v>0</v>
      </c>
      <c r="AA498">
        <v>0</v>
      </c>
      <c r="AB498" t="s">
        <v>1703</v>
      </c>
      <c r="AC498" t="s">
        <v>1711</v>
      </c>
      <c r="AD498" t="s">
        <v>2318</v>
      </c>
      <c r="AE498" t="s">
        <v>4</v>
      </c>
      <c r="AF498" t="s">
        <v>1</v>
      </c>
      <c r="AG498" t="s">
        <v>1</v>
      </c>
      <c r="AH498" t="s">
        <v>2864</v>
      </c>
      <c r="AI498" t="s">
        <v>3193</v>
      </c>
      <c r="AJ498" t="s">
        <v>1</v>
      </c>
      <c r="AK498">
        <v>9371397870</v>
      </c>
      <c r="AL498" t="s">
        <v>1</v>
      </c>
      <c r="AM498" t="s">
        <v>1</v>
      </c>
      <c r="AN498" t="s">
        <v>1</v>
      </c>
      <c r="AO498" t="s">
        <v>2864</v>
      </c>
      <c r="AP498" t="s">
        <v>1</v>
      </c>
      <c r="AQ498" t="s">
        <v>2</v>
      </c>
      <c r="AR498" t="s">
        <v>3</v>
      </c>
      <c r="AS498" t="s">
        <v>3</v>
      </c>
      <c r="AT498" t="s">
        <v>3</v>
      </c>
      <c r="AU498" t="s">
        <v>3</v>
      </c>
      <c r="AV498" t="s">
        <v>3</v>
      </c>
      <c r="AW498" t="s">
        <v>11</v>
      </c>
      <c r="AX498">
        <f>Tabla1[[#This Row],[precio del paquete]]-Tabla1[[#This Row],[Saldo_Deudor]]</f>
        <v>2000</v>
      </c>
      <c r="AY498">
        <v>12800</v>
      </c>
      <c r="AZ498" t="s">
        <v>1</v>
      </c>
      <c r="BA498" t="s">
        <v>1</v>
      </c>
      <c r="BB498" t="s">
        <v>1</v>
      </c>
      <c r="BC498" t="s">
        <v>1394</v>
      </c>
      <c r="BD498" t="s">
        <v>1400</v>
      </c>
      <c r="BE498" t="s">
        <v>3</v>
      </c>
      <c r="BF498" t="s">
        <v>3</v>
      </c>
      <c r="BG498" t="s">
        <v>3</v>
      </c>
      <c r="BH498" t="s">
        <v>3</v>
      </c>
      <c r="BI498" t="s">
        <v>3</v>
      </c>
      <c r="BJ498" t="s">
        <v>3362</v>
      </c>
      <c r="BK498" t="s">
        <v>3</v>
      </c>
      <c r="BL498" t="s">
        <v>132</v>
      </c>
      <c r="BM498" t="s">
        <v>1</v>
      </c>
      <c r="BN498">
        <f>Tabla1[[#This Row],[precio del paquete]]</f>
        <v>14800</v>
      </c>
      <c r="BO498" t="s">
        <v>1</v>
      </c>
      <c r="BP498" t="s">
        <v>1</v>
      </c>
      <c r="BQ498" t="s">
        <v>1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0</v>
      </c>
      <c r="BX498" t="s">
        <v>1</v>
      </c>
      <c r="BY498" t="s">
        <v>1</v>
      </c>
      <c r="BZ498" t="s">
        <v>1</v>
      </c>
      <c r="CA498" t="s">
        <v>1</v>
      </c>
      <c r="CB498" t="s">
        <v>3382</v>
      </c>
      <c r="CD498" t="str" cm="1">
        <f t="array" aca="1" ref="CD498" ca="1">eConcatenar(A498:CB498,"|")</f>
        <v>xm4M1oHJVEevVWKs|CAR2021-4875|3|MEMORIAL|TABASCO|CARDENAS|CARDENAS|2021-08-26|14800|0|200|50|1|0|0|0|0|0|0|0|0|0|0||0|0|0|RAMOS|HERNANDEZ|BEATRIZ|SOLTERO|X|X|CARRETERA A NUEVA ZELANDIA|EJIDO PASO Y PLAYA|X|9371397870|X|X|X|CARRETERA A NUEVA ZELANDIA|X|LUNES|x|x|x|x|x|DOMICILIO |2000|12800|X|X|X|2022-02-03|2022-02-10|x|x|x|x|x|QX002LYO9KVTQO|x|HOMBRE|X|14800|X|X|X|X|X|X|X|X|CARDENAS|X|X|X|X|FINAL</v>
      </c>
    </row>
    <row r="499" spans="1:82" x14ac:dyDescent="0.25">
      <c r="A499" t="s">
        <v>1103</v>
      </c>
      <c r="B499" t="s">
        <v>1104</v>
      </c>
      <c r="C499">
        <v>3</v>
      </c>
      <c r="D499" t="s">
        <v>1377</v>
      </c>
      <c r="E499" t="s">
        <v>1380</v>
      </c>
      <c r="F499" t="s">
        <v>0</v>
      </c>
      <c r="G499" t="s">
        <v>0</v>
      </c>
      <c r="H499" t="s">
        <v>1438</v>
      </c>
      <c r="I499">
        <v>35000</v>
      </c>
      <c r="J499">
        <v>0</v>
      </c>
      <c r="K499">
        <v>100</v>
      </c>
      <c r="L499">
        <v>50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Y499">
        <v>0</v>
      </c>
      <c r="Z499">
        <v>0</v>
      </c>
      <c r="AA499">
        <v>0</v>
      </c>
      <c r="AB499" t="s">
        <v>2319</v>
      </c>
      <c r="AC499" t="s">
        <v>1921</v>
      </c>
      <c r="AD499" t="s">
        <v>2320</v>
      </c>
      <c r="AE499" t="s">
        <v>4</v>
      </c>
      <c r="AF499" t="s">
        <v>1</v>
      </c>
      <c r="AG499" t="s">
        <v>1</v>
      </c>
      <c r="AH499" t="s">
        <v>2865</v>
      </c>
      <c r="AI499" t="s">
        <v>3086</v>
      </c>
      <c r="AJ499" t="s">
        <v>1</v>
      </c>
      <c r="AK499">
        <v>9373720126</v>
      </c>
      <c r="AL499" t="s">
        <v>1</v>
      </c>
      <c r="AM499" t="s">
        <v>1</v>
      </c>
      <c r="AN499" t="s">
        <v>1</v>
      </c>
      <c r="AO499" t="s">
        <v>2865</v>
      </c>
      <c r="AP499" t="s">
        <v>1</v>
      </c>
      <c r="AQ499" t="s">
        <v>2</v>
      </c>
      <c r="AR499" t="s">
        <v>3</v>
      </c>
      <c r="AS499" t="s">
        <v>3</v>
      </c>
      <c r="AT499" t="s">
        <v>3</v>
      </c>
      <c r="AU499" t="s">
        <v>3</v>
      </c>
      <c r="AV499" t="s">
        <v>3</v>
      </c>
      <c r="AW499" t="s">
        <v>11</v>
      </c>
      <c r="AX499">
        <f>Tabla1[[#This Row],[precio del paquete]]-Tabla1[[#This Row],[Saldo_Deudor]]</f>
        <v>9000</v>
      </c>
      <c r="AY499">
        <v>26000</v>
      </c>
      <c r="AZ499" t="s">
        <v>1</v>
      </c>
      <c r="BA499" t="s">
        <v>1</v>
      </c>
      <c r="BB499" t="s">
        <v>1</v>
      </c>
      <c r="BC499" t="s">
        <v>1663</v>
      </c>
      <c r="BD499" t="s">
        <v>3284</v>
      </c>
      <c r="BE499" t="s">
        <v>3</v>
      </c>
      <c r="BF499" t="s">
        <v>3</v>
      </c>
      <c r="BG499" t="s">
        <v>3</v>
      </c>
      <c r="BH499" t="s">
        <v>3</v>
      </c>
      <c r="BI499" t="s">
        <v>3</v>
      </c>
      <c r="BJ499" t="s">
        <v>3362</v>
      </c>
      <c r="BK499" t="s">
        <v>3</v>
      </c>
      <c r="BL499" t="s">
        <v>132</v>
      </c>
      <c r="BM499" t="s">
        <v>1</v>
      </c>
      <c r="BN499">
        <f>Tabla1[[#This Row],[precio del paquete]]</f>
        <v>35000</v>
      </c>
      <c r="BO499" t="s">
        <v>1</v>
      </c>
      <c r="BP499" t="s">
        <v>1</v>
      </c>
      <c r="BQ499" t="s">
        <v>1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0</v>
      </c>
      <c r="BX499" t="s">
        <v>1</v>
      </c>
      <c r="BY499" t="s">
        <v>1</v>
      </c>
      <c r="BZ499" t="s">
        <v>1</v>
      </c>
      <c r="CA499" t="s">
        <v>1</v>
      </c>
      <c r="CB499" t="s">
        <v>3382</v>
      </c>
      <c r="CD499" t="str" cm="1">
        <f t="array" aca="1" ref="CD499" ca="1">eConcatenar(A499:CB499,"|")</f>
        <v>YAEAxqECyWCWWTzQ|CAR2020-1267|3|CREMACION|TABASCO|CARDENAS|CARDENAS|2020-07-02|35000|0|100|50|0|0|0|0|0|0|0|0|0|0|0||0|0|0|HADDAD|DEL RIO|LILIANA|SOLTERO|X|X|CALLE MARIANO ABASOLO NUMERO 134|COLONIA CARDENAS CENTRO|X|9373720126|X|X|X|CALLE MARIANO ABASOLO NUMERO 134|X|LUNES|x|x|x|x|x|DOMICILIO |9000|26000|X|X|X|2022-01-13|2022-01-20|x|x|x|x|x|QX002LYO9KVTQO|x|HOMBRE|X|35000|X|X|X|X|X|X|X|X|CARDENAS|X|X|X|X|FINAL</v>
      </c>
    </row>
    <row r="500" spans="1:82" x14ac:dyDescent="0.25">
      <c r="A500" t="s">
        <v>1105</v>
      </c>
      <c r="B500" t="s">
        <v>1106</v>
      </c>
      <c r="C500">
        <v>3</v>
      </c>
      <c r="D500" t="s">
        <v>1371</v>
      </c>
      <c r="E500" t="s">
        <v>1380</v>
      </c>
      <c r="F500" t="s">
        <v>0</v>
      </c>
      <c r="G500" t="s">
        <v>0</v>
      </c>
      <c r="H500" t="s">
        <v>1637</v>
      </c>
      <c r="I500">
        <v>11500</v>
      </c>
      <c r="J500">
        <v>0</v>
      </c>
      <c r="K500">
        <v>200</v>
      </c>
      <c r="L500">
        <v>50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Y500">
        <v>0</v>
      </c>
      <c r="Z500">
        <v>0</v>
      </c>
      <c r="AA500">
        <v>0</v>
      </c>
      <c r="AB500" t="s">
        <v>7</v>
      </c>
      <c r="AC500" t="s">
        <v>1711</v>
      </c>
      <c r="AD500" t="s">
        <v>2321</v>
      </c>
      <c r="AE500" t="s">
        <v>4</v>
      </c>
      <c r="AF500" t="s">
        <v>1</v>
      </c>
      <c r="AG500" t="s">
        <v>1</v>
      </c>
      <c r="AH500" t="s">
        <v>2866</v>
      </c>
      <c r="AI500" t="s">
        <v>3086</v>
      </c>
      <c r="AJ500" t="s">
        <v>1</v>
      </c>
      <c r="AK500">
        <v>3225463</v>
      </c>
      <c r="AL500" t="s">
        <v>1</v>
      </c>
      <c r="AM500" t="s">
        <v>1</v>
      </c>
      <c r="AN500" t="s">
        <v>1</v>
      </c>
      <c r="AO500" t="s">
        <v>2866</v>
      </c>
      <c r="AP500" t="s">
        <v>1</v>
      </c>
      <c r="AQ500" t="s">
        <v>2</v>
      </c>
      <c r="AR500" t="s">
        <v>3</v>
      </c>
      <c r="AS500" t="s">
        <v>3</v>
      </c>
      <c r="AT500" t="s">
        <v>3</v>
      </c>
      <c r="AU500" t="s">
        <v>3</v>
      </c>
      <c r="AV500" t="s">
        <v>3</v>
      </c>
      <c r="AW500" t="s">
        <v>11</v>
      </c>
      <c r="AX500">
        <f>Tabla1[[#This Row],[precio del paquete]]-Tabla1[[#This Row],[Saldo_Deudor]]</f>
        <v>11000</v>
      </c>
      <c r="AY500">
        <v>500</v>
      </c>
      <c r="AZ500" t="s">
        <v>1</v>
      </c>
      <c r="BA500" t="s">
        <v>1</v>
      </c>
      <c r="BB500" t="s">
        <v>1</v>
      </c>
      <c r="BC500" t="s">
        <v>1400</v>
      </c>
      <c r="BD500" t="s">
        <v>3277</v>
      </c>
      <c r="BE500" t="s">
        <v>3</v>
      </c>
      <c r="BF500" t="s">
        <v>3</v>
      </c>
      <c r="BG500" t="s">
        <v>3</v>
      </c>
      <c r="BH500" t="s">
        <v>3</v>
      </c>
      <c r="BI500" t="s">
        <v>3</v>
      </c>
      <c r="BJ500" t="s">
        <v>3362</v>
      </c>
      <c r="BK500" t="s">
        <v>3</v>
      </c>
      <c r="BL500" t="s">
        <v>132</v>
      </c>
      <c r="BM500" t="s">
        <v>1</v>
      </c>
      <c r="BN500">
        <f>Tabla1[[#This Row],[precio del paquete]]</f>
        <v>11500</v>
      </c>
      <c r="BO500" t="s">
        <v>1</v>
      </c>
      <c r="BP500" t="s">
        <v>1</v>
      </c>
      <c r="BQ500" t="s">
        <v>1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0</v>
      </c>
      <c r="BX500" t="s">
        <v>1</v>
      </c>
      <c r="BY500" t="s">
        <v>1</v>
      </c>
      <c r="BZ500" t="s">
        <v>1</v>
      </c>
      <c r="CA500" t="s">
        <v>1</v>
      </c>
      <c r="CB500" t="s">
        <v>3382</v>
      </c>
      <c r="CD500" t="str" cm="1">
        <f t="array" aca="1" ref="CD500" ca="1">eConcatenar(A500:CB500,"|")</f>
        <v>KR41pU6Dqwx5aw7u|CAR2017-2739|3|ECONOLINE|TABASCO|CARDENAS|CARDENAS|2017-02-11|11500|0|200|50|0|0|0|0|0|0|0|0|0|0|0||0|0|0|LOPEZ|HERNANDEZ|ANGELINA|SOLTERO|X|X|CALLE MANUEL LEYVA NUMERO 218|COLONIA CARDENAS CENTRO|X|3225463|X|X|X|CALLE MANUEL LEYVA NUMERO 218|X|LUNES|x|x|x|x|x|DOMICILIO |11000|500|X|X|X|2022-02-10|2022-02-17|x|x|x|x|x|QX002LYO9KVTQO|x|HOMBRE|X|11500|X|X|X|X|X|X|X|X|CARDENAS|X|X|X|X|FINAL</v>
      </c>
    </row>
    <row r="501" spans="1:82" x14ac:dyDescent="0.25">
      <c r="A501" t="s">
        <v>1107</v>
      </c>
      <c r="B501" t="s">
        <v>1108</v>
      </c>
      <c r="C501">
        <v>3</v>
      </c>
      <c r="D501" t="s">
        <v>1371</v>
      </c>
      <c r="E501" t="s">
        <v>1380</v>
      </c>
      <c r="F501" t="s">
        <v>0</v>
      </c>
      <c r="G501" t="s">
        <v>0</v>
      </c>
      <c r="H501" t="s">
        <v>1638</v>
      </c>
      <c r="I501">
        <v>12900</v>
      </c>
      <c r="J501">
        <v>0</v>
      </c>
      <c r="K501">
        <v>100</v>
      </c>
      <c r="L501">
        <v>50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Y501">
        <v>0</v>
      </c>
      <c r="Z501">
        <v>0</v>
      </c>
      <c r="AA501">
        <v>0</v>
      </c>
      <c r="AB501" t="s">
        <v>1698</v>
      </c>
      <c r="AC501" t="s">
        <v>1695</v>
      </c>
      <c r="AD501" t="s">
        <v>2322</v>
      </c>
      <c r="AE501" t="s">
        <v>4</v>
      </c>
      <c r="AF501" t="s">
        <v>1</v>
      </c>
      <c r="AG501" t="s">
        <v>1</v>
      </c>
      <c r="AH501" t="s">
        <v>2867</v>
      </c>
      <c r="AI501" t="s">
        <v>3187</v>
      </c>
      <c r="AJ501" t="s">
        <v>1</v>
      </c>
      <c r="AK501">
        <v>9371330838</v>
      </c>
      <c r="AL501" t="s">
        <v>1</v>
      </c>
      <c r="AM501" t="s">
        <v>1</v>
      </c>
      <c r="AN501" t="s">
        <v>1</v>
      </c>
      <c r="AO501" t="s">
        <v>2867</v>
      </c>
      <c r="AP501" t="s">
        <v>1</v>
      </c>
      <c r="AQ501" t="s">
        <v>2</v>
      </c>
      <c r="AR501" t="s">
        <v>3</v>
      </c>
      <c r="AS501" t="s">
        <v>3</v>
      </c>
      <c r="AT501" t="s">
        <v>3</v>
      </c>
      <c r="AU501" t="s">
        <v>3</v>
      </c>
      <c r="AV501" t="s">
        <v>3</v>
      </c>
      <c r="AW501" t="s">
        <v>11</v>
      </c>
      <c r="AX501">
        <f>Tabla1[[#This Row],[precio del paquete]]-Tabla1[[#This Row],[Saldo_Deudor]]</f>
        <v>8500</v>
      </c>
      <c r="AY501">
        <v>4400</v>
      </c>
      <c r="AZ501" t="s">
        <v>1</v>
      </c>
      <c r="BA501" t="s">
        <v>1</v>
      </c>
      <c r="BB501" t="s">
        <v>1</v>
      </c>
      <c r="BC501" t="s">
        <v>1400</v>
      </c>
      <c r="BD501" t="s">
        <v>3277</v>
      </c>
      <c r="BE501" t="s">
        <v>3</v>
      </c>
      <c r="BF501" t="s">
        <v>3</v>
      </c>
      <c r="BG501" t="s">
        <v>3</v>
      </c>
      <c r="BH501" t="s">
        <v>3</v>
      </c>
      <c r="BI501" t="s">
        <v>3</v>
      </c>
      <c r="BJ501" t="s">
        <v>3362</v>
      </c>
      <c r="BK501" t="s">
        <v>3</v>
      </c>
      <c r="BL501" t="s">
        <v>132</v>
      </c>
      <c r="BM501" t="s">
        <v>1</v>
      </c>
      <c r="BN501">
        <f>Tabla1[[#This Row],[precio del paquete]]</f>
        <v>12900</v>
      </c>
      <c r="BO501" t="s">
        <v>1</v>
      </c>
      <c r="BP501" t="s">
        <v>1</v>
      </c>
      <c r="BQ501" t="s">
        <v>1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0</v>
      </c>
      <c r="BX501" t="s">
        <v>1</v>
      </c>
      <c r="BY501" t="s">
        <v>1</v>
      </c>
      <c r="BZ501" t="s">
        <v>1</v>
      </c>
      <c r="CA501" t="s">
        <v>1</v>
      </c>
      <c r="CB501" t="s">
        <v>3382</v>
      </c>
      <c r="CD501" t="str" cm="1">
        <f t="array" aca="1" ref="CD501" ca="1">eConcatenar(A501:CB501,"|")</f>
        <v>VGHneKQKqCRkPFEn|CAR2019-1978|3|ECONOLINE|TABASCO|CARDENAS|CARDENAS|2019-07-31|12900|0|100|50|0|0|0|0|0|0|0|0|0|0|0||0|0|0|VAZQUEZ|MORALES|ORLANDO|SOLTERO|X|X|HOTEL COLONIAL MOCANICO|AMPLIACION CAÑALES TERCERA ETAPA NORTE|X|9371330838|X|X|X|HOTEL COLONIAL MOCANICO|X|LUNES|x|x|x|x|x|DOMICILIO |8500|4400|X|X|X|2022-02-10|2022-02-17|x|x|x|x|x|QX002LYO9KVTQO|x|HOMBRE|X|12900|X|X|X|X|X|X|X|X|CARDENAS|X|X|X|X|FINAL</v>
      </c>
    </row>
    <row r="502" spans="1:82" x14ac:dyDescent="0.25">
      <c r="A502" t="s">
        <v>1109</v>
      </c>
      <c r="B502" t="s">
        <v>1110</v>
      </c>
      <c r="C502">
        <v>3</v>
      </c>
      <c r="D502" t="s">
        <v>1372</v>
      </c>
      <c r="E502" t="s">
        <v>1380</v>
      </c>
      <c r="F502" t="s">
        <v>0</v>
      </c>
      <c r="G502" t="s">
        <v>0</v>
      </c>
      <c r="H502" t="s">
        <v>1639</v>
      </c>
      <c r="I502">
        <v>12900</v>
      </c>
      <c r="J502">
        <v>0</v>
      </c>
      <c r="K502">
        <v>500</v>
      </c>
      <c r="L502">
        <v>50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Y502">
        <v>0</v>
      </c>
      <c r="Z502">
        <v>0</v>
      </c>
      <c r="AA502">
        <v>0</v>
      </c>
      <c r="AB502" t="s">
        <v>7</v>
      </c>
      <c r="AC502" t="s">
        <v>1731</v>
      </c>
      <c r="AD502" t="s">
        <v>2323</v>
      </c>
      <c r="AE502" t="s">
        <v>4</v>
      </c>
      <c r="AF502" t="s">
        <v>1</v>
      </c>
      <c r="AG502" t="s">
        <v>1</v>
      </c>
      <c r="AH502" t="s">
        <v>2868</v>
      </c>
      <c r="AI502" t="s">
        <v>3165</v>
      </c>
      <c r="AJ502" t="s">
        <v>1</v>
      </c>
      <c r="AK502">
        <v>9371232243</v>
      </c>
      <c r="AL502" t="s">
        <v>1</v>
      </c>
      <c r="AM502" t="s">
        <v>1</v>
      </c>
      <c r="AN502" t="s">
        <v>1</v>
      </c>
      <c r="AO502" t="s">
        <v>2868</v>
      </c>
      <c r="AP502" t="s">
        <v>1</v>
      </c>
      <c r="AQ502" t="s">
        <v>2</v>
      </c>
      <c r="AR502" t="s">
        <v>3</v>
      </c>
      <c r="AS502" t="s">
        <v>3</v>
      </c>
      <c r="AT502" t="s">
        <v>3</v>
      </c>
      <c r="AU502" t="s">
        <v>3</v>
      </c>
      <c r="AV502" t="s">
        <v>3</v>
      </c>
      <c r="AW502" t="s">
        <v>11</v>
      </c>
      <c r="AX502">
        <f>Tabla1[[#This Row],[precio del paquete]]-Tabla1[[#This Row],[Saldo_Deudor]]</f>
        <v>10250</v>
      </c>
      <c r="AY502">
        <v>2650</v>
      </c>
      <c r="AZ502" t="s">
        <v>1</v>
      </c>
      <c r="BA502" t="s">
        <v>1</v>
      </c>
      <c r="BB502" t="s">
        <v>1</v>
      </c>
      <c r="BC502" t="s">
        <v>3284</v>
      </c>
      <c r="BD502" t="s">
        <v>1392</v>
      </c>
      <c r="BE502" t="s">
        <v>3</v>
      </c>
      <c r="BF502" t="s">
        <v>3</v>
      </c>
      <c r="BG502" t="s">
        <v>3</v>
      </c>
      <c r="BH502" t="s">
        <v>3</v>
      </c>
      <c r="BI502" t="s">
        <v>3</v>
      </c>
      <c r="BJ502" t="s">
        <v>3362</v>
      </c>
      <c r="BK502" t="s">
        <v>3</v>
      </c>
      <c r="BL502" t="s">
        <v>132</v>
      </c>
      <c r="BM502" t="s">
        <v>1</v>
      </c>
      <c r="BN502">
        <f>Tabla1[[#This Row],[precio del paquete]]</f>
        <v>12900</v>
      </c>
      <c r="BO502" t="s">
        <v>1</v>
      </c>
      <c r="BP502" t="s">
        <v>1</v>
      </c>
      <c r="BQ502" t="s">
        <v>1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0</v>
      </c>
      <c r="BX502" t="s">
        <v>1</v>
      </c>
      <c r="BY502" t="s">
        <v>1</v>
      </c>
      <c r="BZ502" t="s">
        <v>1</v>
      </c>
      <c r="CA502" t="s">
        <v>1</v>
      </c>
      <c r="CB502" t="s">
        <v>3382</v>
      </c>
      <c r="CD502" t="str" cm="1">
        <f t="array" aca="1" ref="CD502" ca="1">eConcatenar(A502:CB502,"|")</f>
        <v>cGQaBjhK7ECkrWJA|CAR2020-1053|3|IMPERIAL DE LUJO|TABASCO|CARDENAS|CARDENAS|2020-04-08|12900|0|500|50|2|0|0|0|0|0|0|0|0|0|0||0|0|0|LOPEZ|GARCIA|WALTER|SOLTERO|X|X|SANTA MARIA DE GUADALUPE SIN NUMERO|COLONIA SANTA MARIA DE GUADALUPE|X|9371232243|X|X|X|SANTA MARIA DE GUADALUPE SIN NUMERO|X|LUNES|x|x|x|x|x|DOMICILIO |10250|2650|X|X|X|2022-01-20|2022-01-27|x|x|x|x|x|QX002LYO9KVTQO|x|HOMBRE|X|12900|X|X|X|X|X|X|X|X|CARDENAS|X|X|X|X|FINAL</v>
      </c>
    </row>
    <row r="503" spans="1:82" x14ac:dyDescent="0.25">
      <c r="A503" t="s">
        <v>1111</v>
      </c>
      <c r="B503" t="s">
        <v>1112</v>
      </c>
      <c r="C503">
        <v>3</v>
      </c>
      <c r="D503" t="s">
        <v>1371</v>
      </c>
      <c r="E503" t="s">
        <v>1380</v>
      </c>
      <c r="F503" t="s">
        <v>0</v>
      </c>
      <c r="G503" t="s">
        <v>0</v>
      </c>
      <c r="H503" t="s">
        <v>1598</v>
      </c>
      <c r="I503">
        <v>12900</v>
      </c>
      <c r="J503">
        <v>0</v>
      </c>
      <c r="K503">
        <v>100</v>
      </c>
      <c r="L503">
        <v>50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Y503">
        <v>0</v>
      </c>
      <c r="Z503">
        <v>0</v>
      </c>
      <c r="AA503">
        <v>0</v>
      </c>
      <c r="AB503" t="s">
        <v>1715</v>
      </c>
      <c r="AC503" t="s">
        <v>1713</v>
      </c>
      <c r="AD503" t="s">
        <v>1724</v>
      </c>
      <c r="AE503" t="s">
        <v>4</v>
      </c>
      <c r="AF503" t="s">
        <v>1</v>
      </c>
      <c r="AG503" t="s">
        <v>1</v>
      </c>
      <c r="AH503" t="s">
        <v>2869</v>
      </c>
      <c r="AI503" t="s">
        <v>3165</v>
      </c>
      <c r="AJ503" t="s">
        <v>1</v>
      </c>
      <c r="AK503">
        <v>9371099259</v>
      </c>
      <c r="AL503" t="s">
        <v>1</v>
      </c>
      <c r="AM503" t="s">
        <v>1</v>
      </c>
      <c r="AN503" t="s">
        <v>1</v>
      </c>
      <c r="AO503" t="s">
        <v>2869</v>
      </c>
      <c r="AP503" t="s">
        <v>1</v>
      </c>
      <c r="AQ503" t="s">
        <v>2</v>
      </c>
      <c r="AR503" t="s">
        <v>3</v>
      </c>
      <c r="AS503" t="s">
        <v>3</v>
      </c>
      <c r="AT503" t="s">
        <v>3</v>
      </c>
      <c r="AU503" t="s">
        <v>3</v>
      </c>
      <c r="AV503" t="s">
        <v>3</v>
      </c>
      <c r="AW503" t="s">
        <v>11</v>
      </c>
      <c r="AX503">
        <f>Tabla1[[#This Row],[precio del paquete]]-Tabla1[[#This Row],[Saldo_Deudor]]</f>
        <v>9900</v>
      </c>
      <c r="AY503">
        <v>3000</v>
      </c>
      <c r="AZ503" t="s">
        <v>1</v>
      </c>
      <c r="BA503" t="s">
        <v>1</v>
      </c>
      <c r="BB503" t="s">
        <v>1</v>
      </c>
      <c r="BC503" t="s">
        <v>1400</v>
      </c>
      <c r="BD503" t="s">
        <v>3277</v>
      </c>
      <c r="BE503" t="s">
        <v>3</v>
      </c>
      <c r="BF503" t="s">
        <v>3</v>
      </c>
      <c r="BG503" t="s">
        <v>3</v>
      </c>
      <c r="BH503" t="s">
        <v>3</v>
      </c>
      <c r="BI503" t="s">
        <v>3</v>
      </c>
      <c r="BJ503" t="s">
        <v>3362</v>
      </c>
      <c r="BK503" t="s">
        <v>3</v>
      </c>
      <c r="BL503" t="s">
        <v>132</v>
      </c>
      <c r="BM503" t="s">
        <v>1</v>
      </c>
      <c r="BN503">
        <f>Tabla1[[#This Row],[precio del paquete]]</f>
        <v>12900</v>
      </c>
      <c r="BO503" t="s">
        <v>1</v>
      </c>
      <c r="BP503" t="s">
        <v>1</v>
      </c>
      <c r="BQ503" t="s">
        <v>1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0</v>
      </c>
      <c r="BX503" t="s">
        <v>1</v>
      </c>
      <c r="BY503" t="s">
        <v>1</v>
      </c>
      <c r="BZ503" t="s">
        <v>1</v>
      </c>
      <c r="CA503" t="s">
        <v>1</v>
      </c>
      <c r="CB503" t="s">
        <v>3382</v>
      </c>
      <c r="CD503" t="str" cm="1">
        <f t="array" aca="1" ref="CD503" ca="1">eConcatenar(A503:CB503,"|")</f>
        <v>IVhFSns9fDkZ2zw7|CAR2019-3557|3|ECONOLINE|TABASCO|CARDENAS|CARDENAS|2019-11-26|12900|0|100|50|0|0|0|0|0|0|0|0|0|0|0||0|0|0|CANO|DE LA CRUZ|JESUS|SOLTERO|X|X|CALLE PROLONGACION GUADALUPE VICTORIA|COLONIA SANTA MARIA DE GUADALUPE|X|9371099259|X|X|X|CALLE PROLONGACION GUADALUPE VICTORIA|X|LUNES|x|x|x|x|x|DOMICILIO |9900|3000|X|X|X|2022-02-10|2022-02-17|x|x|x|x|x|QX002LYO9KVTQO|x|HOMBRE|X|12900|X|X|X|X|X|X|X|X|CARDENAS|X|X|X|X|FINAL</v>
      </c>
    </row>
    <row r="504" spans="1:82" x14ac:dyDescent="0.25">
      <c r="A504" t="s">
        <v>1113</v>
      </c>
      <c r="B504" t="s">
        <v>1114</v>
      </c>
      <c r="C504">
        <v>3</v>
      </c>
      <c r="D504" t="s">
        <v>1369</v>
      </c>
      <c r="E504" t="s">
        <v>1380</v>
      </c>
      <c r="F504" t="s">
        <v>0</v>
      </c>
      <c r="G504" t="s">
        <v>0</v>
      </c>
      <c r="H504" t="s">
        <v>1455</v>
      </c>
      <c r="I504">
        <v>14800</v>
      </c>
      <c r="J504">
        <v>0</v>
      </c>
      <c r="K504">
        <v>50</v>
      </c>
      <c r="L504">
        <v>50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Y504">
        <v>0</v>
      </c>
      <c r="Z504">
        <v>0</v>
      </c>
      <c r="AA504">
        <v>0</v>
      </c>
      <c r="AB504" t="s">
        <v>2205</v>
      </c>
      <c r="AC504" t="s">
        <v>1810</v>
      </c>
      <c r="AD504" t="s">
        <v>2324</v>
      </c>
      <c r="AE504" t="s">
        <v>4</v>
      </c>
      <c r="AF504" t="s">
        <v>1</v>
      </c>
      <c r="AG504" t="s">
        <v>1</v>
      </c>
      <c r="AH504" t="s">
        <v>2870</v>
      </c>
      <c r="AI504" t="s">
        <v>3194</v>
      </c>
      <c r="AJ504" t="s">
        <v>1</v>
      </c>
      <c r="AK504">
        <v>9372277228</v>
      </c>
      <c r="AL504" t="s">
        <v>1</v>
      </c>
      <c r="AM504" t="s">
        <v>1</v>
      </c>
      <c r="AN504" t="s">
        <v>1</v>
      </c>
      <c r="AO504" t="s">
        <v>2870</v>
      </c>
      <c r="AP504" t="s">
        <v>1</v>
      </c>
      <c r="AQ504" t="s">
        <v>2</v>
      </c>
      <c r="AR504" t="s">
        <v>3</v>
      </c>
      <c r="AS504" t="s">
        <v>3</v>
      </c>
      <c r="AT504" t="s">
        <v>3</v>
      </c>
      <c r="AU504" t="s">
        <v>3</v>
      </c>
      <c r="AV504" t="s">
        <v>3</v>
      </c>
      <c r="AW504" t="s">
        <v>11</v>
      </c>
      <c r="AX504">
        <f>Tabla1[[#This Row],[precio del paquete]]-Tabla1[[#This Row],[Saldo_Deudor]]</f>
        <v>650</v>
      </c>
      <c r="AY504">
        <v>14150</v>
      </c>
      <c r="AZ504" t="s">
        <v>1</v>
      </c>
      <c r="BA504" t="s">
        <v>1</v>
      </c>
      <c r="BB504" t="s">
        <v>1</v>
      </c>
      <c r="BC504" t="s">
        <v>1401</v>
      </c>
      <c r="BD504" t="s">
        <v>1406</v>
      </c>
      <c r="BE504" t="s">
        <v>3</v>
      </c>
      <c r="BF504" t="s">
        <v>3</v>
      </c>
      <c r="BG504" t="s">
        <v>3</v>
      </c>
      <c r="BH504" t="s">
        <v>3</v>
      </c>
      <c r="BI504" t="s">
        <v>3</v>
      </c>
      <c r="BJ504" t="s">
        <v>3362</v>
      </c>
      <c r="BK504" t="s">
        <v>3</v>
      </c>
      <c r="BL504" t="s">
        <v>132</v>
      </c>
      <c r="BM504" t="s">
        <v>1</v>
      </c>
      <c r="BN504">
        <f>Tabla1[[#This Row],[precio del paquete]]</f>
        <v>14800</v>
      </c>
      <c r="BO504" t="s">
        <v>1</v>
      </c>
      <c r="BP504" t="s">
        <v>1</v>
      </c>
      <c r="BQ504" t="s">
        <v>1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0</v>
      </c>
      <c r="BX504" t="s">
        <v>1</v>
      </c>
      <c r="BY504" t="s">
        <v>1</v>
      </c>
      <c r="BZ504" t="s">
        <v>1</v>
      </c>
      <c r="CA504" t="s">
        <v>1</v>
      </c>
      <c r="CB504" t="s">
        <v>3382</v>
      </c>
      <c r="CD504" t="str" cm="1">
        <f t="array" aca="1" ref="CD504" ca="1">eConcatenar(A504:CB504,"|")</f>
        <v>2WsjVtPDmuIRrlz2|CAR2021-7508|3|MEMORIAL|TABASCO|CARDENAS|CARDENAS|2021-12-09|14800|0|50|50|0|0|0|0|0|0|0|0|0|0|0||0|0|0|LARA|CRUZ|CANDELARIA|SOLTERO|X|X|CAMINO LOS MENDEZ SIN NUMERO|RANCHERIA ZAPOTAL PRIMERA SECCION|X|9372277228|X|X|X|CAMINO LOS MENDEZ SIN NUMERO|X|LUNES|x|x|x|x|x|DOMICILIO |650|14150|X|X|X|2022-02-09|2022-02-16|x|x|x|x|x|QX002LYO9KVTQO|x|HOMBRE|X|14800|X|X|X|X|X|X|X|X|CARDENAS|X|X|X|X|FINAL</v>
      </c>
    </row>
    <row r="505" spans="1:82" x14ac:dyDescent="0.25">
      <c r="A505" t="s">
        <v>1115</v>
      </c>
      <c r="B505" t="s">
        <v>1116</v>
      </c>
      <c r="C505">
        <v>3</v>
      </c>
      <c r="D505" t="s">
        <v>1369</v>
      </c>
      <c r="E505" t="s">
        <v>1380</v>
      </c>
      <c r="F505" t="s">
        <v>0</v>
      </c>
      <c r="G505" t="s">
        <v>0</v>
      </c>
      <c r="H505" t="s">
        <v>1640</v>
      </c>
      <c r="I505">
        <v>12900</v>
      </c>
      <c r="J505">
        <v>0</v>
      </c>
      <c r="K505">
        <v>300</v>
      </c>
      <c r="L505">
        <v>50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Y505">
        <v>0</v>
      </c>
      <c r="Z505">
        <v>0</v>
      </c>
      <c r="AA505">
        <v>0</v>
      </c>
      <c r="AB505" t="s">
        <v>1783</v>
      </c>
      <c r="AC505" t="s">
        <v>7</v>
      </c>
      <c r="AD505" t="s">
        <v>2325</v>
      </c>
      <c r="AE505" t="s">
        <v>4</v>
      </c>
      <c r="AF505" t="s">
        <v>1</v>
      </c>
      <c r="AG505" t="s">
        <v>1</v>
      </c>
      <c r="AH505" t="s">
        <v>2871</v>
      </c>
      <c r="AI505" t="s">
        <v>3060</v>
      </c>
      <c r="AJ505" t="s">
        <v>1</v>
      </c>
      <c r="AK505">
        <v>9371303016</v>
      </c>
      <c r="AL505" t="s">
        <v>1</v>
      </c>
      <c r="AM505" t="s">
        <v>1</v>
      </c>
      <c r="AN505" t="s">
        <v>1</v>
      </c>
      <c r="AO505" t="s">
        <v>2871</v>
      </c>
      <c r="AP505" t="s">
        <v>1</v>
      </c>
      <c r="AQ505" t="s">
        <v>2</v>
      </c>
      <c r="AR505" t="s">
        <v>3</v>
      </c>
      <c r="AS505" t="s">
        <v>3</v>
      </c>
      <c r="AT505" t="s">
        <v>3</v>
      </c>
      <c r="AU505" t="s">
        <v>3</v>
      </c>
      <c r="AV505" t="s">
        <v>3</v>
      </c>
      <c r="AW505" t="s">
        <v>11</v>
      </c>
      <c r="AX505">
        <f>Tabla1[[#This Row],[precio del paquete]]-Tabla1[[#This Row],[Saldo_Deudor]]</f>
        <v>1200</v>
      </c>
      <c r="AY505">
        <v>11700</v>
      </c>
      <c r="AZ505" t="s">
        <v>1</v>
      </c>
      <c r="BA505" t="s">
        <v>1</v>
      </c>
      <c r="BB505" t="s">
        <v>1</v>
      </c>
      <c r="BC505" t="s">
        <v>1398</v>
      </c>
      <c r="BD505" t="s">
        <v>3252</v>
      </c>
      <c r="BE505" t="s">
        <v>3</v>
      </c>
      <c r="BF505" t="s">
        <v>3</v>
      </c>
      <c r="BG505" t="s">
        <v>3</v>
      </c>
      <c r="BH505" t="s">
        <v>3</v>
      </c>
      <c r="BI505" t="s">
        <v>3</v>
      </c>
      <c r="BJ505" t="s">
        <v>3361</v>
      </c>
      <c r="BK505" t="s">
        <v>3</v>
      </c>
      <c r="BL505" t="s">
        <v>132</v>
      </c>
      <c r="BM505" t="s">
        <v>1</v>
      </c>
      <c r="BN505">
        <f>Tabla1[[#This Row],[precio del paquete]]</f>
        <v>12900</v>
      </c>
      <c r="BO505" t="s">
        <v>1</v>
      </c>
      <c r="BP505" t="s">
        <v>1</v>
      </c>
      <c r="BQ505" t="s">
        <v>1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0</v>
      </c>
      <c r="BX505" t="s">
        <v>1</v>
      </c>
      <c r="BY505" t="s">
        <v>1</v>
      </c>
      <c r="BZ505" t="s">
        <v>1</v>
      </c>
      <c r="CA505" t="s">
        <v>1</v>
      </c>
      <c r="CB505" t="s">
        <v>3382</v>
      </c>
      <c r="CD505" t="str" cm="1">
        <f t="array" aca="1" ref="CD505" ca="1">eConcatenar(A505:CB505,"|")</f>
        <v>9HzuLAPBI7lE84md|CAR2021-6280|3|MEMORIAL|TABASCO|CARDENAS|CARDENAS|2021-10-21|12900|0|300|50|0|0|0|0|0|0|0|0|0|0|0||0|0|0|MENDEZ|LOPEZ|MARIELA DE LA CRUZ|SOLTERO|X|X|CALLE REYES HERNANDEZ |COLONIA PUEBLO NUEVO|X|9371303016|X|X|X|CALLE REYES HERNANDEZ |X|LUNES|x|x|x|x|x|DOMICILIO |1200|11700|X|X|X|2022-02-12|2022-02-19|x|x|x|x|x|QXTXF5PY9KVTQO|x|HOMBRE|X|12900|X|X|X|X|X|X|X|X|CARDENAS|X|X|X|X|FINAL</v>
      </c>
    </row>
    <row r="506" spans="1:82" x14ac:dyDescent="0.25">
      <c r="A506" t="s">
        <v>1117</v>
      </c>
      <c r="B506" t="s">
        <v>1118</v>
      </c>
      <c r="C506">
        <v>3</v>
      </c>
      <c r="D506" t="s">
        <v>1368</v>
      </c>
      <c r="E506" t="s">
        <v>1380</v>
      </c>
      <c r="F506" t="s">
        <v>0</v>
      </c>
      <c r="G506" t="s">
        <v>0</v>
      </c>
      <c r="H506" t="s">
        <v>1454</v>
      </c>
      <c r="I506">
        <v>24500</v>
      </c>
      <c r="J506">
        <v>0</v>
      </c>
      <c r="K506">
        <v>100</v>
      </c>
      <c r="L506">
        <v>50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Y506">
        <v>0</v>
      </c>
      <c r="Z506">
        <v>0</v>
      </c>
      <c r="AA506">
        <v>0</v>
      </c>
      <c r="AB506" t="s">
        <v>2287</v>
      </c>
      <c r="AC506" t="s">
        <v>1703</v>
      </c>
      <c r="AD506" t="s">
        <v>1771</v>
      </c>
      <c r="AE506" t="s">
        <v>4</v>
      </c>
      <c r="AF506" t="s">
        <v>1</v>
      </c>
      <c r="AG506" t="s">
        <v>1</v>
      </c>
      <c r="AH506" t="s">
        <v>2594</v>
      </c>
      <c r="AI506" t="s">
        <v>3195</v>
      </c>
      <c r="AJ506" t="s">
        <v>1</v>
      </c>
      <c r="AK506">
        <v>9371199137</v>
      </c>
      <c r="AL506" t="s">
        <v>1</v>
      </c>
      <c r="AM506" t="s">
        <v>1</v>
      </c>
      <c r="AN506" t="s">
        <v>1</v>
      </c>
      <c r="AO506" t="s">
        <v>2594</v>
      </c>
      <c r="AP506" t="s">
        <v>1</v>
      </c>
      <c r="AQ506" t="s">
        <v>2</v>
      </c>
      <c r="AR506" t="s">
        <v>3</v>
      </c>
      <c r="AS506" t="s">
        <v>3</v>
      </c>
      <c r="AT506" t="s">
        <v>3</v>
      </c>
      <c r="AU506" t="s">
        <v>3</v>
      </c>
      <c r="AV506" t="s">
        <v>3</v>
      </c>
      <c r="AW506" t="s">
        <v>11</v>
      </c>
      <c r="AX506">
        <f>Tabla1[[#This Row],[precio del paquete]]-Tabla1[[#This Row],[Saldo_Deudor]]</f>
        <v>300</v>
      </c>
      <c r="AY506">
        <v>24200</v>
      </c>
      <c r="AZ506" t="s">
        <v>1</v>
      </c>
      <c r="BA506" t="s">
        <v>1</v>
      </c>
      <c r="BB506" t="s">
        <v>1</v>
      </c>
      <c r="BC506" t="s">
        <v>1393</v>
      </c>
      <c r="BD506" t="s">
        <v>1391</v>
      </c>
      <c r="BE506" t="s">
        <v>3</v>
      </c>
      <c r="BF506" t="s">
        <v>3</v>
      </c>
      <c r="BG506" t="s">
        <v>3</v>
      </c>
      <c r="BH506" t="s">
        <v>3</v>
      </c>
      <c r="BI506" t="s">
        <v>3</v>
      </c>
      <c r="BJ506" t="s">
        <v>3361</v>
      </c>
      <c r="BK506" t="s">
        <v>3</v>
      </c>
      <c r="BL506" t="s">
        <v>132</v>
      </c>
      <c r="BM506" t="s">
        <v>1</v>
      </c>
      <c r="BN506">
        <f>Tabla1[[#This Row],[precio del paquete]]</f>
        <v>24500</v>
      </c>
      <c r="BO506" t="s">
        <v>1</v>
      </c>
      <c r="BP506" t="s">
        <v>1</v>
      </c>
      <c r="BQ506" t="s">
        <v>1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0</v>
      </c>
      <c r="BX506" t="s">
        <v>1</v>
      </c>
      <c r="BY506" t="s">
        <v>1</v>
      </c>
      <c r="BZ506" t="s">
        <v>1</v>
      </c>
      <c r="CA506" t="s">
        <v>1</v>
      </c>
      <c r="CB506" t="s">
        <v>3382</v>
      </c>
      <c r="CD506" t="str" cm="1">
        <f t="array" aca="1" ref="CD506" ca="1">eConcatenar(A506:CB506,"|")</f>
        <v>GqojrLj1aFKzGf07|CAR2021-7411|3|DIGNITY|TABASCO|CARDENAS|CARDENAS|2021-12-02|24500|0|100|50|0|0|0|0|0|0|0|0|0|0|0||0|0|0|BRITO|RAMOS|TITO|SOLTERO|X|X|CARRETERA PRINCIPAL|COLONIA SANTA RITA|X|9371199137|X|X|X|CARRETERA PRINCIPAL|X|LUNES|x|x|x|x|x|DOMICILIO |300|24200|X|X|X|2022-01-28|2022-02-04|x|x|x|x|x|QXTXF5PY9KVTQO|x|HOMBRE|X|24500|X|X|X|X|X|X|X|X|CARDENAS|X|X|X|X|FINAL</v>
      </c>
    </row>
    <row r="507" spans="1:82" x14ac:dyDescent="0.25">
      <c r="A507" t="s">
        <v>1119</v>
      </c>
      <c r="B507" t="s">
        <v>1120</v>
      </c>
      <c r="C507">
        <v>3</v>
      </c>
      <c r="D507" t="s">
        <v>1372</v>
      </c>
      <c r="E507" t="s">
        <v>1380</v>
      </c>
      <c r="F507" t="s">
        <v>0</v>
      </c>
      <c r="G507" t="s">
        <v>0</v>
      </c>
      <c r="H507" t="s">
        <v>1421</v>
      </c>
      <c r="I507">
        <v>12900</v>
      </c>
      <c r="J507">
        <v>0</v>
      </c>
      <c r="K507">
        <v>200</v>
      </c>
      <c r="L507">
        <v>50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Y507">
        <v>0</v>
      </c>
      <c r="Z507">
        <v>0</v>
      </c>
      <c r="AA507">
        <v>0</v>
      </c>
      <c r="AB507" t="s">
        <v>1882</v>
      </c>
      <c r="AC507" t="s">
        <v>1699</v>
      </c>
      <c r="AD507" t="s">
        <v>1822</v>
      </c>
      <c r="AE507" t="s">
        <v>4</v>
      </c>
      <c r="AF507" t="s">
        <v>1</v>
      </c>
      <c r="AG507" t="s">
        <v>1</v>
      </c>
      <c r="AH507" t="s">
        <v>2872</v>
      </c>
      <c r="AI507" t="s">
        <v>3165</v>
      </c>
      <c r="AJ507" t="s">
        <v>1</v>
      </c>
      <c r="AK507" t="s">
        <v>1</v>
      </c>
      <c r="AL507" t="s">
        <v>1</v>
      </c>
      <c r="AM507" t="s">
        <v>1</v>
      </c>
      <c r="AN507" t="s">
        <v>1</v>
      </c>
      <c r="AO507" t="s">
        <v>2872</v>
      </c>
      <c r="AP507" t="s">
        <v>1</v>
      </c>
      <c r="AQ507" t="s">
        <v>2</v>
      </c>
      <c r="AR507" t="s">
        <v>3</v>
      </c>
      <c r="AS507" t="s">
        <v>3</v>
      </c>
      <c r="AT507" t="s">
        <v>3</v>
      </c>
      <c r="AU507" t="s">
        <v>3</v>
      </c>
      <c r="AV507" t="s">
        <v>3</v>
      </c>
      <c r="AW507" t="s">
        <v>11</v>
      </c>
      <c r="AX507">
        <f>Tabla1[[#This Row],[precio del paquete]]-Tabla1[[#This Row],[Saldo_Deudor]]</f>
        <v>6500</v>
      </c>
      <c r="AY507">
        <v>6400</v>
      </c>
      <c r="AZ507" t="s">
        <v>1</v>
      </c>
      <c r="BA507" t="s">
        <v>1</v>
      </c>
      <c r="BB507" t="s">
        <v>1</v>
      </c>
      <c r="BC507" t="s">
        <v>1398</v>
      </c>
      <c r="BD507" t="s">
        <v>3252</v>
      </c>
      <c r="BE507" t="s">
        <v>3</v>
      </c>
      <c r="BF507" t="s">
        <v>3</v>
      </c>
      <c r="BG507" t="s">
        <v>3</v>
      </c>
      <c r="BH507" t="s">
        <v>3</v>
      </c>
      <c r="BI507" t="s">
        <v>3</v>
      </c>
      <c r="BJ507" t="s">
        <v>3361</v>
      </c>
      <c r="BK507" t="s">
        <v>3</v>
      </c>
      <c r="BL507" t="s">
        <v>132</v>
      </c>
      <c r="BM507" t="s">
        <v>1</v>
      </c>
      <c r="BN507">
        <f>Tabla1[[#This Row],[precio del paquete]]</f>
        <v>12900</v>
      </c>
      <c r="BO507" t="s">
        <v>1</v>
      </c>
      <c r="BP507" t="s">
        <v>1</v>
      </c>
      <c r="BQ507" t="s">
        <v>1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0</v>
      </c>
      <c r="BX507" t="s">
        <v>1</v>
      </c>
      <c r="BY507" t="s">
        <v>1</v>
      </c>
      <c r="BZ507" t="s">
        <v>1</v>
      </c>
      <c r="CA507" t="s">
        <v>1</v>
      </c>
      <c r="CB507" t="s">
        <v>3382</v>
      </c>
      <c r="CD507" t="str" cm="1">
        <f t="array" aca="1" ref="CD507" ca="1">eConcatenar(A507:CB507,"|")</f>
        <v>pKvjCN472mhQcZUq|CAR2021-0454|3|IMPERIAL DE LUJO|TABASCO|CARDENAS|CARDENAS|2021-02-13|12900|0|200|50|0|0|0|0|0|0|0|0|0|0|0||0|0|0|RUIZ|CORDOVA|JOSE DEL CARMEN|SOLTERO|X|X|CALLE EL LIMON NUMERO 12|COLONIA SANTA MARIA DE GUADALUPE|X|X|X|X|X|CALLE EL LIMON NUMERO 12|X|LUNES|x|x|x|x|x|DOMICILIO |6500|6400|X|X|X|2022-02-12|2022-02-19|x|x|x|x|x|QXTXF5PY9KVTQO|x|HOMBRE|X|12900|X|X|X|X|X|X|X|X|CARDENAS|X|X|X|X|FINAL</v>
      </c>
    </row>
    <row r="508" spans="1:82" x14ac:dyDescent="0.25">
      <c r="A508" t="s">
        <v>1121</v>
      </c>
      <c r="B508" t="s">
        <v>1122</v>
      </c>
      <c r="C508">
        <v>3</v>
      </c>
      <c r="D508" t="s">
        <v>1372</v>
      </c>
      <c r="E508" t="s">
        <v>1380</v>
      </c>
      <c r="F508" t="s">
        <v>0</v>
      </c>
      <c r="G508" t="s">
        <v>0</v>
      </c>
      <c r="H508" t="s">
        <v>1641</v>
      </c>
      <c r="I508">
        <v>12900</v>
      </c>
      <c r="J508">
        <v>0</v>
      </c>
      <c r="K508">
        <v>200</v>
      </c>
      <c r="L508">
        <v>50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Y508">
        <v>0</v>
      </c>
      <c r="Z508">
        <v>0</v>
      </c>
      <c r="AA508">
        <v>0</v>
      </c>
      <c r="AB508" t="s">
        <v>1842</v>
      </c>
      <c r="AC508" t="s">
        <v>2326</v>
      </c>
      <c r="AD508" t="s">
        <v>2327</v>
      </c>
      <c r="AE508" t="s">
        <v>4</v>
      </c>
      <c r="AF508" t="s">
        <v>1</v>
      </c>
      <c r="AG508" t="s">
        <v>1</v>
      </c>
      <c r="AH508" t="s">
        <v>2873</v>
      </c>
      <c r="AI508" t="s">
        <v>2642</v>
      </c>
      <c r="AJ508" t="s">
        <v>1</v>
      </c>
      <c r="AK508">
        <v>9371348151</v>
      </c>
      <c r="AL508" t="s">
        <v>1</v>
      </c>
      <c r="AM508" t="s">
        <v>1</v>
      </c>
      <c r="AN508" t="s">
        <v>1</v>
      </c>
      <c r="AO508" t="s">
        <v>2873</v>
      </c>
      <c r="AP508" t="s">
        <v>1</v>
      </c>
      <c r="AQ508" t="s">
        <v>2</v>
      </c>
      <c r="AR508" t="s">
        <v>3</v>
      </c>
      <c r="AS508" t="s">
        <v>3</v>
      </c>
      <c r="AT508" t="s">
        <v>3</v>
      </c>
      <c r="AU508" t="s">
        <v>3</v>
      </c>
      <c r="AV508" t="s">
        <v>3</v>
      </c>
      <c r="AW508" t="s">
        <v>11</v>
      </c>
      <c r="AX508">
        <f>Tabla1[[#This Row],[precio del paquete]]-Tabla1[[#This Row],[Saldo_Deudor]]</f>
        <v>7400</v>
      </c>
      <c r="AY508">
        <v>5500</v>
      </c>
      <c r="AZ508" t="s">
        <v>1</v>
      </c>
      <c r="BA508" t="s">
        <v>1</v>
      </c>
      <c r="BB508" t="s">
        <v>1</v>
      </c>
      <c r="BC508" t="s">
        <v>1398</v>
      </c>
      <c r="BD508" t="s">
        <v>3252</v>
      </c>
      <c r="BE508" t="s">
        <v>3</v>
      </c>
      <c r="BF508" t="s">
        <v>3</v>
      </c>
      <c r="BG508" t="s">
        <v>3</v>
      </c>
      <c r="BH508" t="s">
        <v>3</v>
      </c>
      <c r="BI508" t="s">
        <v>3</v>
      </c>
      <c r="BJ508" t="s">
        <v>3361</v>
      </c>
      <c r="BK508" t="s">
        <v>3</v>
      </c>
      <c r="BL508" t="s">
        <v>132</v>
      </c>
      <c r="BM508" t="s">
        <v>1</v>
      </c>
      <c r="BN508">
        <f>Tabla1[[#This Row],[precio del paquete]]</f>
        <v>12900</v>
      </c>
      <c r="BO508" t="s">
        <v>1</v>
      </c>
      <c r="BP508" t="s">
        <v>1</v>
      </c>
      <c r="BQ508" t="s">
        <v>1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0</v>
      </c>
      <c r="BX508" t="s">
        <v>1</v>
      </c>
      <c r="BY508" t="s">
        <v>1</v>
      </c>
      <c r="BZ508" t="s">
        <v>1</v>
      </c>
      <c r="CA508" t="s">
        <v>1</v>
      </c>
      <c r="CB508" t="s">
        <v>3382</v>
      </c>
      <c r="CD508" t="str" cm="1">
        <f t="array" aca="1" ref="CD508" ca="1">eConcatenar(A508:CB508,"|")</f>
        <v>LN1mExWPtBcLNd0H|CAR2020-0218|3|IMPERIAL DE LUJO|TABASCO|CARDENAS|CARDENAS|2020-01-21|12900|0|200|50|0|0|0|0|0|0|0|0|0|0|0||0|0|0|ORTIZ|PEROGRA|JESUS TRINIDAD|SOLTERO|X|X|CALLE ANDADOR LOS CONDORES|UNIDAD HABITACIONAL INFONAVIT DEPORTIVA|X|9371348151|X|X|X|CALLE ANDADOR LOS CONDORES|X|LUNES|x|x|x|x|x|DOMICILIO |7400|5500|X|X|X|2022-02-12|2022-02-19|x|x|x|x|x|QXTXF5PY9KVTQO|x|HOMBRE|X|12900|X|X|X|X|X|X|X|X|CARDENAS|X|X|X|X|FINAL</v>
      </c>
    </row>
    <row r="509" spans="1:82" x14ac:dyDescent="0.25">
      <c r="A509" t="s">
        <v>1123</v>
      </c>
      <c r="B509" t="s">
        <v>1124</v>
      </c>
      <c r="C509">
        <v>3</v>
      </c>
      <c r="D509" t="s">
        <v>1372</v>
      </c>
      <c r="E509" t="s">
        <v>1380</v>
      </c>
      <c r="F509" t="s">
        <v>0</v>
      </c>
      <c r="G509" t="s">
        <v>0</v>
      </c>
      <c r="H509" t="s">
        <v>1505</v>
      </c>
      <c r="I509">
        <v>12900</v>
      </c>
      <c r="J509">
        <v>0</v>
      </c>
      <c r="K509">
        <v>100</v>
      </c>
      <c r="L509">
        <v>50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Y509">
        <v>0</v>
      </c>
      <c r="Z509">
        <v>0</v>
      </c>
      <c r="AA509">
        <v>0</v>
      </c>
      <c r="AB509" t="s">
        <v>1725</v>
      </c>
      <c r="AC509" t="s">
        <v>2328</v>
      </c>
      <c r="AD509" t="s">
        <v>2329</v>
      </c>
      <c r="AE509" t="s">
        <v>4</v>
      </c>
      <c r="AF509" t="s">
        <v>1</v>
      </c>
      <c r="AG509" t="s">
        <v>1</v>
      </c>
      <c r="AH509" t="s">
        <v>2874</v>
      </c>
      <c r="AI509" t="s">
        <v>3193</v>
      </c>
      <c r="AJ509" t="s">
        <v>1</v>
      </c>
      <c r="AK509" t="s">
        <v>1</v>
      </c>
      <c r="AL509" t="s">
        <v>1</v>
      </c>
      <c r="AM509" t="s">
        <v>1</v>
      </c>
      <c r="AN509" t="s">
        <v>1</v>
      </c>
      <c r="AO509" t="s">
        <v>2874</v>
      </c>
      <c r="AP509" t="s">
        <v>1</v>
      </c>
      <c r="AQ509" t="s">
        <v>2</v>
      </c>
      <c r="AR509" t="s">
        <v>3</v>
      </c>
      <c r="AS509" t="s">
        <v>3</v>
      </c>
      <c r="AT509" t="s">
        <v>3</v>
      </c>
      <c r="AU509" t="s">
        <v>3</v>
      </c>
      <c r="AV509" t="s">
        <v>3</v>
      </c>
      <c r="AW509" t="s">
        <v>11</v>
      </c>
      <c r="AX509">
        <f>Tabla1[[#This Row],[precio del paquete]]-Tabla1[[#This Row],[Saldo_Deudor]]</f>
        <v>6800</v>
      </c>
      <c r="AY509">
        <v>6100</v>
      </c>
      <c r="AZ509" t="s">
        <v>1</v>
      </c>
      <c r="BA509" t="s">
        <v>1</v>
      </c>
      <c r="BB509" t="s">
        <v>1</v>
      </c>
      <c r="BC509" t="s">
        <v>1398</v>
      </c>
      <c r="BD509" t="s">
        <v>3252</v>
      </c>
      <c r="BE509" t="s">
        <v>3</v>
      </c>
      <c r="BF509" t="s">
        <v>3</v>
      </c>
      <c r="BG509" t="s">
        <v>3</v>
      </c>
      <c r="BH509" t="s">
        <v>3</v>
      </c>
      <c r="BI509" t="s">
        <v>3</v>
      </c>
      <c r="BJ509" t="s">
        <v>3361</v>
      </c>
      <c r="BK509" t="s">
        <v>3</v>
      </c>
      <c r="BL509" t="s">
        <v>132</v>
      </c>
      <c r="BM509" t="s">
        <v>1</v>
      </c>
      <c r="BN509">
        <f>Tabla1[[#This Row],[precio del paquete]]</f>
        <v>12900</v>
      </c>
      <c r="BO509" t="s">
        <v>1</v>
      </c>
      <c r="BP509" t="s">
        <v>1</v>
      </c>
      <c r="BQ509" t="s">
        <v>1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0</v>
      </c>
      <c r="BX509" t="s">
        <v>1</v>
      </c>
      <c r="BY509" t="s">
        <v>1</v>
      </c>
      <c r="BZ509" t="s">
        <v>1</v>
      </c>
      <c r="CA509" t="s">
        <v>1</v>
      </c>
      <c r="CB509" t="s">
        <v>3382</v>
      </c>
      <c r="CD509" t="str" cm="1">
        <f t="array" aca="1" ref="CD509" ca="1">eConcatenar(A509:CB509,"|")</f>
        <v>cB9Js4yyRP84lWHD|CAR2020-1005|3|IMPERIAL DE LUJO|TABASCO|CARDENAS|CARDENAS|2020-03-20|12900|0|100|50|0|0|0|0|0|0|0|0|0|0|0||0|0|0|SANTOS|HOLSTON|IRIS|SOLTERO|X|X|PASO Y PLAYA|EJIDO PASO Y PLAYA|X|X|X|X|X|PASO Y PLAYA|X|LUNES|x|x|x|x|x|DOMICILIO |6800|6100|X|X|X|2022-02-12|2022-02-19|x|x|x|x|x|QXTXF5PY9KVTQO|x|HOMBRE|X|12900|X|X|X|X|X|X|X|X|CARDENAS|X|X|X|X|FINAL</v>
      </c>
    </row>
    <row r="510" spans="1:82" x14ac:dyDescent="0.25">
      <c r="A510" t="s">
        <v>1125</v>
      </c>
      <c r="B510" t="s">
        <v>1126</v>
      </c>
      <c r="C510">
        <v>3</v>
      </c>
      <c r="D510" t="s">
        <v>1372</v>
      </c>
      <c r="E510" t="s">
        <v>1380</v>
      </c>
      <c r="F510" t="s">
        <v>1382</v>
      </c>
      <c r="G510" t="s">
        <v>1382</v>
      </c>
      <c r="H510" t="s">
        <v>1628</v>
      </c>
      <c r="I510">
        <v>12900</v>
      </c>
      <c r="J510">
        <v>0</v>
      </c>
      <c r="K510">
        <v>100</v>
      </c>
      <c r="L510">
        <v>50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Y510">
        <v>0</v>
      </c>
      <c r="Z510">
        <v>0</v>
      </c>
      <c r="AA510">
        <v>0</v>
      </c>
      <c r="AB510" t="s">
        <v>1719</v>
      </c>
      <c r="AC510" t="s">
        <v>1743</v>
      </c>
      <c r="AD510" t="s">
        <v>1922</v>
      </c>
      <c r="AE510" t="s">
        <v>4</v>
      </c>
      <c r="AF510" t="s">
        <v>1</v>
      </c>
      <c r="AG510" t="s">
        <v>1</v>
      </c>
      <c r="AH510" t="s">
        <v>2875</v>
      </c>
      <c r="AI510" t="s">
        <v>3196</v>
      </c>
      <c r="AJ510" t="s">
        <v>1</v>
      </c>
      <c r="AK510" t="s">
        <v>1</v>
      </c>
      <c r="AL510" t="s">
        <v>1</v>
      </c>
      <c r="AM510" t="s">
        <v>1</v>
      </c>
      <c r="AN510" t="s">
        <v>1</v>
      </c>
      <c r="AO510" t="s">
        <v>2875</v>
      </c>
      <c r="AP510" t="s">
        <v>1</v>
      </c>
      <c r="AQ510" t="s">
        <v>2</v>
      </c>
      <c r="AR510" t="s">
        <v>3</v>
      </c>
      <c r="AS510" t="s">
        <v>3</v>
      </c>
      <c r="AT510" t="s">
        <v>3</v>
      </c>
      <c r="AU510" t="s">
        <v>3</v>
      </c>
      <c r="AV510" t="s">
        <v>3</v>
      </c>
      <c r="AW510" t="s">
        <v>11</v>
      </c>
      <c r="AX510">
        <f>Tabla1[[#This Row],[precio del paquete]]-Tabla1[[#This Row],[Saldo_Deudor]]</f>
        <v>4500</v>
      </c>
      <c r="AY510">
        <v>8400</v>
      </c>
      <c r="AZ510" t="s">
        <v>1</v>
      </c>
      <c r="BA510" t="s">
        <v>1</v>
      </c>
      <c r="BB510" t="s">
        <v>1</v>
      </c>
      <c r="BC510" t="s">
        <v>1398</v>
      </c>
      <c r="BD510" t="s">
        <v>3252</v>
      </c>
      <c r="BE510" t="s">
        <v>3</v>
      </c>
      <c r="BF510" t="s">
        <v>3</v>
      </c>
      <c r="BG510" t="s">
        <v>3</v>
      </c>
      <c r="BH510" t="s">
        <v>3</v>
      </c>
      <c r="BI510" t="s">
        <v>3</v>
      </c>
      <c r="BJ510" t="s">
        <v>3361</v>
      </c>
      <c r="BK510" t="s">
        <v>3</v>
      </c>
      <c r="BL510" t="s">
        <v>132</v>
      </c>
      <c r="BM510" t="s">
        <v>1</v>
      </c>
      <c r="BN510">
        <f>Tabla1[[#This Row],[precio del paquete]]</f>
        <v>12900</v>
      </c>
      <c r="BO510" t="s">
        <v>1</v>
      </c>
      <c r="BP510" t="s">
        <v>1</v>
      </c>
      <c r="BQ510" t="s">
        <v>1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0</v>
      </c>
      <c r="BX510" t="s">
        <v>1</v>
      </c>
      <c r="BY510" t="s">
        <v>1</v>
      </c>
      <c r="BZ510" t="s">
        <v>1</v>
      </c>
      <c r="CA510" t="s">
        <v>1</v>
      </c>
      <c r="CB510" t="s">
        <v>3382</v>
      </c>
      <c r="CD510" t="str" cm="1">
        <f t="array" aca="1" ref="CD510" ca="1">eConcatenar(A510:CB510,"|")</f>
        <v>bnIAASgZwqYb4Zxf|CAR2020-4666|3|IMPERIAL DE LUJO|TABASCO|HUIMANGUILLO|HUIMANGUILLO|2020-11-17|12900|0|100|50|0|0|0|0|0|0|0|0|0|0|0||0|0|0|PALMA|DIAZ|GUADALUPE|SOLTERO|X|X|RIOSECO Y MONTAÑA SEGUNDA SECCION|RANCHERIA RIO SECO Y MONTAÑA SEGUNDA SECCION|X|X|X|X|X|RIOSECO Y MONTAÑA SEGUNDA SECCION|X|LUNES|x|x|x|x|x|DOMICILIO |4500|8400|X|X|X|2022-02-12|2022-02-19|x|x|x|x|x|QXTXF5PY9KVTQO|x|HOMBRE|X|12900|X|X|X|X|X|X|X|X|CARDENAS|X|X|X|X|FINAL</v>
      </c>
    </row>
    <row r="511" spans="1:82" x14ac:dyDescent="0.25">
      <c r="A511" t="s">
        <v>1127</v>
      </c>
      <c r="B511" t="s">
        <v>1128</v>
      </c>
      <c r="C511">
        <v>3</v>
      </c>
      <c r="D511" t="s">
        <v>1372</v>
      </c>
      <c r="E511" t="s">
        <v>1380</v>
      </c>
      <c r="F511" t="s">
        <v>1382</v>
      </c>
      <c r="G511" t="s">
        <v>1382</v>
      </c>
      <c r="H511" t="s">
        <v>1481</v>
      </c>
      <c r="I511">
        <v>12900</v>
      </c>
      <c r="J511">
        <v>0</v>
      </c>
      <c r="K511">
        <v>200</v>
      </c>
      <c r="L511">
        <v>50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Y511">
        <v>0</v>
      </c>
      <c r="Z511">
        <v>0</v>
      </c>
      <c r="AA511">
        <v>0</v>
      </c>
      <c r="AB511" t="s">
        <v>2330</v>
      </c>
      <c r="AC511" t="s">
        <v>1739</v>
      </c>
      <c r="AD511" t="s">
        <v>2331</v>
      </c>
      <c r="AE511" t="s">
        <v>4</v>
      </c>
      <c r="AF511" t="s">
        <v>1</v>
      </c>
      <c r="AG511" t="s">
        <v>1</v>
      </c>
      <c r="AH511" t="s">
        <v>2876</v>
      </c>
      <c r="AI511" t="s">
        <v>2877</v>
      </c>
      <c r="AJ511" t="s">
        <v>1</v>
      </c>
      <c r="AK511">
        <v>9371186055</v>
      </c>
      <c r="AL511" t="s">
        <v>1</v>
      </c>
      <c r="AM511" t="s">
        <v>1</v>
      </c>
      <c r="AN511" t="s">
        <v>1</v>
      </c>
      <c r="AO511" t="s">
        <v>2876</v>
      </c>
      <c r="AP511" t="s">
        <v>1</v>
      </c>
      <c r="AQ511" t="s">
        <v>2</v>
      </c>
      <c r="AR511" t="s">
        <v>3</v>
      </c>
      <c r="AS511" t="s">
        <v>3</v>
      </c>
      <c r="AT511" t="s">
        <v>3</v>
      </c>
      <c r="AU511" t="s">
        <v>3</v>
      </c>
      <c r="AV511" t="s">
        <v>3</v>
      </c>
      <c r="AW511" t="s">
        <v>11</v>
      </c>
      <c r="AX511">
        <f>Tabla1[[#This Row],[precio del paquete]]-Tabla1[[#This Row],[Saldo_Deudor]]</f>
        <v>4000</v>
      </c>
      <c r="AY511">
        <v>8900</v>
      </c>
      <c r="AZ511" t="s">
        <v>1</v>
      </c>
      <c r="BA511" t="s">
        <v>1</v>
      </c>
      <c r="BB511" t="s">
        <v>1</v>
      </c>
      <c r="BC511" t="s">
        <v>1504</v>
      </c>
      <c r="BD511" t="s">
        <v>1425</v>
      </c>
      <c r="BE511" t="s">
        <v>3</v>
      </c>
      <c r="BF511" t="s">
        <v>3</v>
      </c>
      <c r="BG511" t="s">
        <v>3</v>
      </c>
      <c r="BH511" t="s">
        <v>3</v>
      </c>
      <c r="BI511" t="s">
        <v>3</v>
      </c>
      <c r="BJ511" t="s">
        <v>3361</v>
      </c>
      <c r="BK511" t="s">
        <v>3</v>
      </c>
      <c r="BL511" t="s">
        <v>132</v>
      </c>
      <c r="BM511" t="s">
        <v>1</v>
      </c>
      <c r="BN511">
        <f>Tabla1[[#This Row],[precio del paquete]]</f>
        <v>12900</v>
      </c>
      <c r="BO511" t="s">
        <v>1</v>
      </c>
      <c r="BP511" t="s">
        <v>1</v>
      </c>
      <c r="BQ511" t="s">
        <v>1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0</v>
      </c>
      <c r="BX511" t="s">
        <v>1</v>
      </c>
      <c r="BY511" t="s">
        <v>1</v>
      </c>
      <c r="BZ511" t="s">
        <v>1</v>
      </c>
      <c r="CA511" t="s">
        <v>1</v>
      </c>
      <c r="CB511" t="s">
        <v>3382</v>
      </c>
      <c r="CD511" t="str" cm="1">
        <f t="array" aca="1" ref="CD511" ca="1">eConcatenar(A511:CB511,"|")</f>
        <v>ifUGC0oU5pSSUbwl|CAR2020-5296|3|IMPERIAL DE LUJO|TABASCO|HUIMANGUILLO|HUIMANGUILLO|2020-12-12|12900|0|200|50|0|0|0|0|0|0|0|0|0|0|0||0|0|0|BORCA|DE LOS SANTOS|BELLANIRA|SOLTERO|X|X|CALLE NUMERO 1 CASA NUMERO 10|POBLADO C-31 GENERAL FRANCISCO VILLA|X|9371186055|X|X|X|CALLE NUMERO 1 CASA NUMERO 10|X|LUNES|x|x|x|x|x|DOMICILIO |4000|8900|X|X|X|2021-12-17|2021-12-24|x|x|x|x|x|QXTXF5PY9KVTQO|x|HOMBRE|X|12900|X|X|X|X|X|X|X|X|CARDENAS|X|X|X|X|FINAL</v>
      </c>
    </row>
    <row r="512" spans="1:82" x14ac:dyDescent="0.25">
      <c r="A512" t="s">
        <v>1129</v>
      </c>
      <c r="B512" t="s">
        <v>1130</v>
      </c>
      <c r="C512">
        <v>3</v>
      </c>
      <c r="D512" t="s">
        <v>1371</v>
      </c>
      <c r="E512" t="s">
        <v>1380</v>
      </c>
      <c r="F512" t="s">
        <v>1382</v>
      </c>
      <c r="G512" t="s">
        <v>1382</v>
      </c>
      <c r="H512" t="s">
        <v>1642</v>
      </c>
      <c r="I512">
        <v>12900</v>
      </c>
      <c r="J512">
        <v>0</v>
      </c>
      <c r="K512">
        <v>100</v>
      </c>
      <c r="L512">
        <v>50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Y512">
        <v>0</v>
      </c>
      <c r="Z512">
        <v>0</v>
      </c>
      <c r="AA512">
        <v>0</v>
      </c>
      <c r="AB512" t="s">
        <v>2033</v>
      </c>
      <c r="AC512" t="s">
        <v>1784</v>
      </c>
      <c r="AD512" t="s">
        <v>2192</v>
      </c>
      <c r="AE512" t="s">
        <v>4</v>
      </c>
      <c r="AF512" t="s">
        <v>1</v>
      </c>
      <c r="AG512" t="s">
        <v>1</v>
      </c>
      <c r="AH512" t="s">
        <v>2877</v>
      </c>
      <c r="AI512" t="s">
        <v>2877</v>
      </c>
      <c r="AJ512" t="s">
        <v>1</v>
      </c>
      <c r="AK512" t="s">
        <v>1</v>
      </c>
      <c r="AL512" t="s">
        <v>1</v>
      </c>
      <c r="AM512" t="s">
        <v>1</v>
      </c>
      <c r="AN512" t="s">
        <v>1</v>
      </c>
      <c r="AO512" t="s">
        <v>2877</v>
      </c>
      <c r="AP512" t="s">
        <v>1</v>
      </c>
      <c r="AQ512" t="s">
        <v>2</v>
      </c>
      <c r="AR512" t="s">
        <v>3</v>
      </c>
      <c r="AS512" t="s">
        <v>3</v>
      </c>
      <c r="AT512" t="s">
        <v>3</v>
      </c>
      <c r="AU512" t="s">
        <v>3</v>
      </c>
      <c r="AV512" t="s">
        <v>3</v>
      </c>
      <c r="AW512" t="s">
        <v>11</v>
      </c>
      <c r="AX512">
        <f>Tabla1[[#This Row],[precio del paquete]]-Tabla1[[#This Row],[Saldo_Deudor]]</f>
        <v>3200</v>
      </c>
      <c r="AY512">
        <v>9700</v>
      </c>
      <c r="AZ512" t="s">
        <v>1</v>
      </c>
      <c r="BA512" t="s">
        <v>1</v>
      </c>
      <c r="BB512" t="s">
        <v>1</v>
      </c>
      <c r="BC512" t="s">
        <v>1388</v>
      </c>
      <c r="BD512" t="s">
        <v>1398</v>
      </c>
      <c r="BE512" t="s">
        <v>3</v>
      </c>
      <c r="BF512" t="s">
        <v>3</v>
      </c>
      <c r="BG512" t="s">
        <v>3</v>
      </c>
      <c r="BH512" t="s">
        <v>3</v>
      </c>
      <c r="BI512" t="s">
        <v>3</v>
      </c>
      <c r="BJ512" t="s">
        <v>3361</v>
      </c>
      <c r="BK512" t="s">
        <v>3</v>
      </c>
      <c r="BL512" t="s">
        <v>132</v>
      </c>
      <c r="BM512" t="s">
        <v>1</v>
      </c>
      <c r="BN512">
        <f>Tabla1[[#This Row],[precio del paquete]]</f>
        <v>12900</v>
      </c>
      <c r="BO512" t="s">
        <v>1</v>
      </c>
      <c r="BP512" t="s">
        <v>1</v>
      </c>
      <c r="BQ512" t="s">
        <v>1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0</v>
      </c>
      <c r="BX512" t="s">
        <v>1</v>
      </c>
      <c r="BY512" t="s">
        <v>1</v>
      </c>
      <c r="BZ512" t="s">
        <v>1</v>
      </c>
      <c r="CA512" t="s">
        <v>1</v>
      </c>
      <c r="CB512" t="s">
        <v>3382</v>
      </c>
      <c r="CD512" t="str" cm="1">
        <f t="array" aca="1" ref="CD512" ca="1">eConcatenar(A512:CB512,"|")</f>
        <v>dPcHgqOO6nkoPMSn|CAR2018-0615|3|ECONOLINE|TABASCO|HUIMANGUILLO|HUIMANGUILLO|2018-04-16|12900|0|100|50|0|0|0|0|0|0|0|0|0|0|0||0|0|0|BROCA|GAMAS|MARIA SANTOS|SOLTERO|X|X|POBLADO C-31 GENERAL FRANCISCO VILLA|POBLADO C-31 GENERAL FRANCISCO VILLA|X|X|X|X|X|POBLADO C-31 GENERAL FRANCISCO VILLA|X|LUNES|x|x|x|x|x|DOMICILIO |3200|9700|X|X|X|2022-02-05|2022-02-12|x|x|x|x|x|QXTXF5PY9KVTQO|x|HOMBRE|X|12900|X|X|X|X|X|X|X|X|CARDENAS|X|X|X|X|FINAL</v>
      </c>
    </row>
    <row r="513" spans="1:82" x14ac:dyDescent="0.25">
      <c r="A513" t="s">
        <v>1131</v>
      </c>
      <c r="B513" t="s">
        <v>1132</v>
      </c>
      <c r="C513">
        <v>3</v>
      </c>
      <c r="D513" t="s">
        <v>1372</v>
      </c>
      <c r="E513" t="s">
        <v>1380</v>
      </c>
      <c r="F513" t="s">
        <v>0</v>
      </c>
      <c r="G513" t="s">
        <v>0</v>
      </c>
      <c r="H513" t="s">
        <v>1643</v>
      </c>
      <c r="I513">
        <v>12900</v>
      </c>
      <c r="J513">
        <v>0</v>
      </c>
      <c r="K513">
        <v>200</v>
      </c>
      <c r="L513">
        <v>50</v>
      </c>
      <c r="M513">
        <v>1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Y513">
        <v>0</v>
      </c>
      <c r="Z513">
        <v>0</v>
      </c>
      <c r="AA513">
        <v>0</v>
      </c>
      <c r="AB513" t="s">
        <v>1699</v>
      </c>
      <c r="AC513" t="s">
        <v>2084</v>
      </c>
      <c r="AD513" t="s">
        <v>2332</v>
      </c>
      <c r="AE513" t="s">
        <v>4</v>
      </c>
      <c r="AF513" t="s">
        <v>1</v>
      </c>
      <c r="AG513" t="s">
        <v>1</v>
      </c>
      <c r="AH513" t="s">
        <v>2779</v>
      </c>
      <c r="AI513" t="s">
        <v>3164</v>
      </c>
      <c r="AJ513" t="s">
        <v>1</v>
      </c>
      <c r="AK513" t="s">
        <v>1</v>
      </c>
      <c r="AL513" t="s">
        <v>1</v>
      </c>
      <c r="AM513" t="s">
        <v>1</v>
      </c>
      <c r="AN513" t="s">
        <v>1</v>
      </c>
      <c r="AO513" t="s">
        <v>2779</v>
      </c>
      <c r="AP513" t="s">
        <v>1</v>
      </c>
      <c r="AQ513" t="s">
        <v>2</v>
      </c>
      <c r="AR513" t="s">
        <v>3</v>
      </c>
      <c r="AS513" t="s">
        <v>3</v>
      </c>
      <c r="AT513" t="s">
        <v>3</v>
      </c>
      <c r="AU513" t="s">
        <v>3</v>
      </c>
      <c r="AV513" t="s">
        <v>3</v>
      </c>
      <c r="AW513" t="s">
        <v>11</v>
      </c>
      <c r="AX513">
        <f>Tabla1[[#This Row],[precio del paquete]]-Tabla1[[#This Row],[Saldo_Deudor]]</f>
        <v>6200</v>
      </c>
      <c r="AY513">
        <v>6700</v>
      </c>
      <c r="AZ513" t="s">
        <v>1</v>
      </c>
      <c r="BA513" t="s">
        <v>1</v>
      </c>
      <c r="BB513" t="s">
        <v>1</v>
      </c>
      <c r="BC513" t="s">
        <v>1388</v>
      </c>
      <c r="BD513" t="s">
        <v>1398</v>
      </c>
      <c r="BE513" t="s">
        <v>3</v>
      </c>
      <c r="BF513" t="s">
        <v>3</v>
      </c>
      <c r="BG513" t="s">
        <v>3</v>
      </c>
      <c r="BH513" t="s">
        <v>3</v>
      </c>
      <c r="BI513" t="s">
        <v>3</v>
      </c>
      <c r="BJ513" t="s">
        <v>3361</v>
      </c>
      <c r="BK513" t="s">
        <v>3</v>
      </c>
      <c r="BL513" t="s">
        <v>132</v>
      </c>
      <c r="BM513" t="s">
        <v>1</v>
      </c>
      <c r="BN513">
        <f>Tabla1[[#This Row],[precio del paquete]]</f>
        <v>12900</v>
      </c>
      <c r="BO513" t="s">
        <v>1</v>
      </c>
      <c r="BP513" t="s">
        <v>1</v>
      </c>
      <c r="BQ513" t="s">
        <v>1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0</v>
      </c>
      <c r="BX513" t="s">
        <v>1</v>
      </c>
      <c r="BY513" t="s">
        <v>1</v>
      </c>
      <c r="BZ513" t="s">
        <v>1</v>
      </c>
      <c r="CA513" t="s">
        <v>1</v>
      </c>
      <c r="CB513" t="s">
        <v>3382</v>
      </c>
      <c r="CD513" t="str" cm="1">
        <f t="array" aca="1" ref="CD513" ca="1">eConcatenar(A513:CB513,"|")</f>
        <v>dCgBu2eZSByq0waf|CAR2020-2448|3|IMPERIAL DE LUJO|TABASCO|CARDENAS|CARDENAS|2021-08-15|12900|0|200|50|1|0|0|0|0|0|0|0|0|0|0||0|0|0|CORDOVA|OSORIO|EDEN|SOLTERO|X|X|CAÑALES SEGUNDA ETAPA|FRACCIONAMIENTO CAÑALES SEGUNDA ETAPA|X|X|X|X|X|CAÑALES SEGUNDA ETAPA|X|LUNES|x|x|x|x|x|DOMICILIO |6200|6700|X|X|X|2022-02-05|2022-02-12|x|x|x|x|x|QXTXF5PY9KVTQO|x|HOMBRE|X|12900|X|X|X|X|X|X|X|X|CARDENAS|X|X|X|X|FINAL</v>
      </c>
    </row>
    <row r="514" spans="1:82" x14ac:dyDescent="0.25">
      <c r="A514" t="s">
        <v>1133</v>
      </c>
      <c r="B514" t="s">
        <v>1134</v>
      </c>
      <c r="C514">
        <v>3</v>
      </c>
      <c r="D514" t="s">
        <v>1369</v>
      </c>
      <c r="E514" t="s">
        <v>1380</v>
      </c>
      <c r="F514" t="s">
        <v>0</v>
      </c>
      <c r="G514" t="s">
        <v>0</v>
      </c>
      <c r="H514" t="s">
        <v>1644</v>
      </c>
      <c r="I514">
        <v>14800</v>
      </c>
      <c r="J514">
        <v>0</v>
      </c>
      <c r="K514">
        <v>500</v>
      </c>
      <c r="L514">
        <v>50</v>
      </c>
      <c r="M514">
        <v>2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Y514">
        <v>0</v>
      </c>
      <c r="Z514">
        <v>0</v>
      </c>
      <c r="AA514">
        <v>0</v>
      </c>
      <c r="AB514" t="s">
        <v>1851</v>
      </c>
      <c r="AC514" t="s">
        <v>1699</v>
      </c>
      <c r="AD514" t="s">
        <v>1759</v>
      </c>
      <c r="AE514" t="s">
        <v>4</v>
      </c>
      <c r="AF514" t="s">
        <v>1</v>
      </c>
      <c r="AG514" t="s">
        <v>1</v>
      </c>
      <c r="AH514" t="s">
        <v>2594</v>
      </c>
      <c r="AI514" t="s">
        <v>3197</v>
      </c>
      <c r="AJ514" t="s">
        <v>1</v>
      </c>
      <c r="AK514">
        <v>9932627305</v>
      </c>
      <c r="AL514" t="s">
        <v>1</v>
      </c>
      <c r="AM514" t="s">
        <v>1</v>
      </c>
      <c r="AN514" t="s">
        <v>1</v>
      </c>
      <c r="AO514" t="s">
        <v>2594</v>
      </c>
      <c r="AP514" t="s">
        <v>1</v>
      </c>
      <c r="AQ514" t="s">
        <v>2</v>
      </c>
      <c r="AR514" t="s">
        <v>3</v>
      </c>
      <c r="AS514" t="s">
        <v>3</v>
      </c>
      <c r="AT514" t="s">
        <v>3</v>
      </c>
      <c r="AU514" t="s">
        <v>3</v>
      </c>
      <c r="AV514" t="s">
        <v>3</v>
      </c>
      <c r="AW514" t="s">
        <v>11</v>
      </c>
      <c r="AX514">
        <f>Tabla1[[#This Row],[precio del paquete]]-Tabla1[[#This Row],[Saldo_Deudor]]</f>
        <v>500</v>
      </c>
      <c r="AY514">
        <v>14300</v>
      </c>
      <c r="AZ514" t="s">
        <v>1</v>
      </c>
      <c r="BA514" t="s">
        <v>1</v>
      </c>
      <c r="BB514" t="s">
        <v>1</v>
      </c>
      <c r="BC514" t="s">
        <v>1644</v>
      </c>
      <c r="BD514" t="s">
        <v>3313</v>
      </c>
      <c r="BE514" t="s">
        <v>3</v>
      </c>
      <c r="BF514" t="s">
        <v>3</v>
      </c>
      <c r="BG514" t="s">
        <v>3</v>
      </c>
      <c r="BH514" t="s">
        <v>3</v>
      </c>
      <c r="BI514" t="s">
        <v>3</v>
      </c>
      <c r="BJ514" t="s">
        <v>3363</v>
      </c>
      <c r="BK514" t="s">
        <v>3</v>
      </c>
      <c r="BL514" t="s">
        <v>132</v>
      </c>
      <c r="BM514" t="s">
        <v>1</v>
      </c>
      <c r="BN514">
        <f>Tabla1[[#This Row],[precio del paquete]]</f>
        <v>14800</v>
      </c>
      <c r="BO514" t="s">
        <v>1</v>
      </c>
      <c r="BP514" t="s">
        <v>1</v>
      </c>
      <c r="BQ514" t="s">
        <v>1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0</v>
      </c>
      <c r="BX514" t="s">
        <v>1</v>
      </c>
      <c r="BY514" t="s">
        <v>1</v>
      </c>
      <c r="BZ514" t="s">
        <v>1</v>
      </c>
      <c r="CA514" t="s">
        <v>1</v>
      </c>
      <c r="CB514" t="s">
        <v>3382</v>
      </c>
      <c r="CD514" t="str" cm="1">
        <f t="array" aca="1" ref="CD514" ca="1">eConcatenar(A514:CB514,"|")</f>
        <v>PY3B1b4ewQqbu0M4|CAR2021-7078|3|MEMORIAL|TABASCO|CARDENAS|CARDENAS|2021-11-22|14800|0|500|50|2|0|0|0|0|0|0|0|0|0|0||0|0|0|JAVIER|CORDOVA|FRANCISCA|SOLTERO|X|X|CARRETERA PRINCIPAL|COLONIA AGRICOLA EL CAPRICHO|X|9932627305|X|X|X|CARRETERA PRINCIPAL|X|LUNES|x|x|x|x|x|DOMICILIO |500|14300|X|X|X|2021-11-22|2021-11-29|x|x|x|x|x|QX002LUS9KVTQO|x|HOMBRE|X|14800|X|X|X|X|X|X|X|X|CARDENAS|X|X|X|X|FINAL</v>
      </c>
    </row>
    <row r="515" spans="1:82" x14ac:dyDescent="0.25">
      <c r="A515" t="s">
        <v>1135</v>
      </c>
      <c r="B515" t="s">
        <v>1136</v>
      </c>
      <c r="C515">
        <v>3</v>
      </c>
      <c r="D515" t="s">
        <v>1369</v>
      </c>
      <c r="E515" t="s">
        <v>1380</v>
      </c>
      <c r="F515" t="s">
        <v>0</v>
      </c>
      <c r="G515" t="s">
        <v>0</v>
      </c>
      <c r="H515" t="s">
        <v>1487</v>
      </c>
      <c r="I515">
        <v>14800</v>
      </c>
      <c r="J515">
        <v>0</v>
      </c>
      <c r="K515">
        <v>100</v>
      </c>
      <c r="L515">
        <v>50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Y515">
        <v>0</v>
      </c>
      <c r="Z515">
        <v>0</v>
      </c>
      <c r="AA515">
        <v>0</v>
      </c>
      <c r="AB515" t="s">
        <v>1849</v>
      </c>
      <c r="AC515" t="s">
        <v>1699</v>
      </c>
      <c r="AD515" t="s">
        <v>1798</v>
      </c>
      <c r="AE515" t="s">
        <v>4</v>
      </c>
      <c r="AF515" t="s">
        <v>1</v>
      </c>
      <c r="AG515" t="s">
        <v>1</v>
      </c>
      <c r="AH515" t="s">
        <v>2878</v>
      </c>
      <c r="AI515" t="s">
        <v>3198</v>
      </c>
      <c r="AJ515" t="s">
        <v>1</v>
      </c>
      <c r="AK515">
        <v>9371684718</v>
      </c>
      <c r="AL515" t="s">
        <v>1</v>
      </c>
      <c r="AM515" t="s">
        <v>1</v>
      </c>
      <c r="AN515" t="s">
        <v>1</v>
      </c>
      <c r="AO515" t="s">
        <v>2878</v>
      </c>
      <c r="AP515" t="s">
        <v>1</v>
      </c>
      <c r="AQ515" t="s">
        <v>2</v>
      </c>
      <c r="AR515" t="s">
        <v>3</v>
      </c>
      <c r="AS515" t="s">
        <v>3</v>
      </c>
      <c r="AT515" t="s">
        <v>3</v>
      </c>
      <c r="AU515" t="s">
        <v>3</v>
      </c>
      <c r="AV515" t="s">
        <v>3</v>
      </c>
      <c r="AW515" t="s">
        <v>11</v>
      </c>
      <c r="AX515">
        <f>Tabla1[[#This Row],[precio del paquete]]-Tabla1[[#This Row],[Saldo_Deudor]]</f>
        <v>20</v>
      </c>
      <c r="AY515">
        <v>14780</v>
      </c>
      <c r="AZ515" t="s">
        <v>1</v>
      </c>
      <c r="BA515" t="s">
        <v>1</v>
      </c>
      <c r="BB515" t="s">
        <v>1</v>
      </c>
      <c r="BC515" t="s">
        <v>1487</v>
      </c>
      <c r="BD515" t="s">
        <v>1613</v>
      </c>
      <c r="BE515" t="s">
        <v>3</v>
      </c>
      <c r="BF515" t="s">
        <v>3</v>
      </c>
      <c r="BG515" t="s">
        <v>3</v>
      </c>
      <c r="BH515" t="s">
        <v>3</v>
      </c>
      <c r="BI515" t="s">
        <v>3</v>
      </c>
      <c r="BJ515" t="s">
        <v>3363</v>
      </c>
      <c r="BK515" t="s">
        <v>3</v>
      </c>
      <c r="BL515" t="s">
        <v>132</v>
      </c>
      <c r="BM515" t="s">
        <v>1</v>
      </c>
      <c r="BN515">
        <f>Tabla1[[#This Row],[precio del paquete]]</f>
        <v>14800</v>
      </c>
      <c r="BO515" t="s">
        <v>1</v>
      </c>
      <c r="BP515" t="s">
        <v>1</v>
      </c>
      <c r="BQ515" t="s">
        <v>1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0</v>
      </c>
      <c r="BX515" t="s">
        <v>1</v>
      </c>
      <c r="BY515" t="s">
        <v>1</v>
      </c>
      <c r="BZ515" t="s">
        <v>1</v>
      </c>
      <c r="CA515" t="s">
        <v>1</v>
      </c>
      <c r="CB515" t="s">
        <v>3382</v>
      </c>
      <c r="CD515" t="str" cm="1">
        <f t="array" aca="1" ref="CD515" ca="1">eConcatenar(A515:CB515,"|")</f>
        <v>3KVPJ8shahowH51Y|CAR2021-5699|3|MEMORIAL|TABASCO|CARDENAS|CARDENAS|2021-10-01|14800|0|100|50|2|0|0|0|0|0|0|0|0|0|0||0|0|0|MAYO|CORDOVA|NATIVIDAD|SOLTERO|X|X|CALLE NUMERO 7 CASA NUMERO 411|POBLADO C-15 ADOLFO LOPEZ MATEO|X|9371684718|X|X|X|CALLE NUMERO 7 CASA NUMERO 411|X|LUNES|x|x|x|x|x|DOMICILIO |20|14780|X|X|X|2021-10-01|2021-10-08|x|x|x|x|x|QX002LUS9KVTQO|x|HOMBRE|X|14800|X|X|X|X|X|X|X|X|CARDENAS|X|X|X|X|FINAL</v>
      </c>
    </row>
    <row r="516" spans="1:82" x14ac:dyDescent="0.25">
      <c r="A516" t="s">
        <v>1137</v>
      </c>
      <c r="B516" t="s">
        <v>1138</v>
      </c>
      <c r="C516">
        <v>3</v>
      </c>
      <c r="D516" t="s">
        <v>1372</v>
      </c>
      <c r="E516" t="s">
        <v>1380</v>
      </c>
      <c r="F516" t="s">
        <v>0</v>
      </c>
      <c r="G516" t="s">
        <v>0</v>
      </c>
      <c r="H516" t="s">
        <v>1645</v>
      </c>
      <c r="I516">
        <v>12900</v>
      </c>
      <c r="J516">
        <v>0</v>
      </c>
      <c r="K516">
        <v>200</v>
      </c>
      <c r="L516">
        <v>50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Y516">
        <v>0</v>
      </c>
      <c r="Z516">
        <v>0</v>
      </c>
      <c r="AA516">
        <v>0</v>
      </c>
      <c r="AB516" t="s">
        <v>1812</v>
      </c>
      <c r="AC516" t="s">
        <v>2333</v>
      </c>
      <c r="AD516" t="s">
        <v>2334</v>
      </c>
      <c r="AE516" t="s">
        <v>4</v>
      </c>
      <c r="AF516" t="s">
        <v>1</v>
      </c>
      <c r="AG516" t="s">
        <v>1</v>
      </c>
      <c r="AH516" t="s">
        <v>2879</v>
      </c>
      <c r="AI516" t="s">
        <v>2600</v>
      </c>
      <c r="AJ516" t="s">
        <v>1</v>
      </c>
      <c r="AK516">
        <v>9371252560</v>
      </c>
      <c r="AL516" t="s">
        <v>1</v>
      </c>
      <c r="AM516" t="s">
        <v>1</v>
      </c>
      <c r="AN516" t="s">
        <v>1</v>
      </c>
      <c r="AO516" t="s">
        <v>2879</v>
      </c>
      <c r="AP516" t="s">
        <v>1</v>
      </c>
      <c r="AQ516" t="s">
        <v>2</v>
      </c>
      <c r="AR516" t="s">
        <v>3</v>
      </c>
      <c r="AS516" t="s">
        <v>3</v>
      </c>
      <c r="AT516" t="s">
        <v>3</v>
      </c>
      <c r="AU516" t="s">
        <v>3</v>
      </c>
      <c r="AV516" t="s">
        <v>3</v>
      </c>
      <c r="AW516" t="s">
        <v>11</v>
      </c>
      <c r="AX516">
        <f>Tabla1[[#This Row],[precio del paquete]]-Tabla1[[#This Row],[Saldo_Deudor]]</f>
        <v>3600</v>
      </c>
      <c r="AY516">
        <v>9300</v>
      </c>
      <c r="AZ516" t="s">
        <v>1</v>
      </c>
      <c r="BA516" t="s">
        <v>1</v>
      </c>
      <c r="BB516" t="s">
        <v>1</v>
      </c>
      <c r="BC516" t="s">
        <v>3285</v>
      </c>
      <c r="BD516" t="s">
        <v>3330</v>
      </c>
      <c r="BE516" t="s">
        <v>3</v>
      </c>
      <c r="BF516" t="s">
        <v>3</v>
      </c>
      <c r="BG516" t="s">
        <v>3</v>
      </c>
      <c r="BH516" t="s">
        <v>3</v>
      </c>
      <c r="BI516" t="s">
        <v>3</v>
      </c>
      <c r="BJ516" t="s">
        <v>3363</v>
      </c>
      <c r="BK516" t="s">
        <v>3</v>
      </c>
      <c r="BL516" t="s">
        <v>132</v>
      </c>
      <c r="BM516" t="s">
        <v>1</v>
      </c>
      <c r="BN516">
        <f>Tabla1[[#This Row],[precio del paquete]]</f>
        <v>12900</v>
      </c>
      <c r="BO516" t="s">
        <v>1</v>
      </c>
      <c r="BP516" t="s">
        <v>1</v>
      </c>
      <c r="BQ516" t="s">
        <v>1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0</v>
      </c>
      <c r="BX516" t="s">
        <v>1</v>
      </c>
      <c r="BY516" t="s">
        <v>1</v>
      </c>
      <c r="BZ516" t="s">
        <v>1</v>
      </c>
      <c r="CA516" t="s">
        <v>1</v>
      </c>
      <c r="CB516" t="s">
        <v>3382</v>
      </c>
      <c r="CD516" t="str" cm="1">
        <f t="array" aca="1" ref="CD516" ca="1">eConcatenar(A516:CB516,"|")</f>
        <v>RMuGho21ltfcVL2G|CAR2020-0261|3|IMPERIAL DE LUJO|TABASCO|CARDENAS|CARDENAS|2020-01-25|12900|0|200|50|0|0|0|0|0|0|0|0|0|0|0||0|0|0|SANCHEZ|HIDALGO|MARIA DEL ROSARIO|SOLTERO|X|X|CALLE CERRADA ARABIA 4 LOTE MANZANA 18|COLONIA JACINTO LOPEZ|X|9371252560|X|X|X|CALLE CERRADA ARABIA 4 LOTE MANZANA 18|X|LUNES|x|x|x|x|x|DOMICILIO |3600|9300|X|X|X|2021-03-16|2021-03-23|x|x|x|x|x|QX002LUS9KVTQO|x|HOMBRE|X|12900|X|X|X|X|X|X|X|X|CARDENAS|X|X|X|X|FINAL</v>
      </c>
    </row>
    <row r="517" spans="1:82" x14ac:dyDescent="0.25">
      <c r="A517" t="s">
        <v>1139</v>
      </c>
      <c r="B517" t="s">
        <v>1140</v>
      </c>
      <c r="C517">
        <v>3</v>
      </c>
      <c r="D517" t="s">
        <v>1372</v>
      </c>
      <c r="E517" t="s">
        <v>1380</v>
      </c>
      <c r="F517" t="s">
        <v>1382</v>
      </c>
      <c r="G517" t="s">
        <v>1382</v>
      </c>
      <c r="H517" t="s">
        <v>1646</v>
      </c>
      <c r="I517">
        <v>12900</v>
      </c>
      <c r="J517">
        <v>0</v>
      </c>
      <c r="K517">
        <v>200</v>
      </c>
      <c r="L517">
        <v>50</v>
      </c>
      <c r="M517">
        <v>2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Y517">
        <v>0</v>
      </c>
      <c r="Z517">
        <v>0</v>
      </c>
      <c r="AA517">
        <v>0</v>
      </c>
      <c r="AB517" t="s">
        <v>1968</v>
      </c>
      <c r="AC517" t="s">
        <v>2335</v>
      </c>
      <c r="AD517" t="s">
        <v>2336</v>
      </c>
      <c r="AE517" t="s">
        <v>4</v>
      </c>
      <c r="AF517" t="s">
        <v>1</v>
      </c>
      <c r="AG517" t="s">
        <v>1</v>
      </c>
      <c r="AH517" t="s">
        <v>2880</v>
      </c>
      <c r="AI517" t="s">
        <v>3199</v>
      </c>
      <c r="AJ517" t="s">
        <v>1</v>
      </c>
      <c r="AK517">
        <v>9931753937</v>
      </c>
      <c r="AL517" t="s">
        <v>1</v>
      </c>
      <c r="AM517" t="s">
        <v>1</v>
      </c>
      <c r="AN517" t="s">
        <v>1</v>
      </c>
      <c r="AO517" t="s">
        <v>2880</v>
      </c>
      <c r="AP517" t="s">
        <v>1</v>
      </c>
      <c r="AQ517" t="s">
        <v>2</v>
      </c>
      <c r="AR517" t="s">
        <v>3</v>
      </c>
      <c r="AS517" t="s">
        <v>3</v>
      </c>
      <c r="AT517" t="s">
        <v>3</v>
      </c>
      <c r="AU517" t="s">
        <v>3</v>
      </c>
      <c r="AV517" t="s">
        <v>3</v>
      </c>
      <c r="AW517" t="s">
        <v>11</v>
      </c>
      <c r="AX517">
        <f>Tabla1[[#This Row],[precio del paquete]]-Tabla1[[#This Row],[Saldo_Deudor]]</f>
        <v>2500</v>
      </c>
      <c r="AY517">
        <v>10400</v>
      </c>
      <c r="AZ517" t="s">
        <v>1</v>
      </c>
      <c r="BA517" t="s">
        <v>1</v>
      </c>
      <c r="BB517" t="s">
        <v>1</v>
      </c>
      <c r="BC517" t="s">
        <v>3286</v>
      </c>
      <c r="BD517" t="s">
        <v>3331</v>
      </c>
      <c r="BE517" t="s">
        <v>3</v>
      </c>
      <c r="BF517" t="s">
        <v>3</v>
      </c>
      <c r="BG517" t="s">
        <v>3</v>
      </c>
      <c r="BH517" t="s">
        <v>3</v>
      </c>
      <c r="BI517" t="s">
        <v>3</v>
      </c>
      <c r="BJ517" t="s">
        <v>3363</v>
      </c>
      <c r="BK517" t="s">
        <v>3</v>
      </c>
      <c r="BL517" t="s">
        <v>132</v>
      </c>
      <c r="BM517" t="s">
        <v>1</v>
      </c>
      <c r="BN517">
        <f>Tabla1[[#This Row],[precio del paquete]]</f>
        <v>12900</v>
      </c>
      <c r="BO517" t="s">
        <v>1</v>
      </c>
      <c r="BP517" t="s">
        <v>1</v>
      </c>
      <c r="BQ517" t="s">
        <v>1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0</v>
      </c>
      <c r="BX517" t="s">
        <v>1</v>
      </c>
      <c r="BY517" t="s">
        <v>1</v>
      </c>
      <c r="BZ517" t="s">
        <v>1</v>
      </c>
      <c r="CA517" t="s">
        <v>1</v>
      </c>
      <c r="CB517" t="s">
        <v>3382</v>
      </c>
      <c r="CD517" t="str" cm="1">
        <f t="array" aca="1" ref="CD517" ca="1">eConcatenar(A517:CB517,"|")</f>
        <v>pMJ69zp70izclwTF|CAR2020-4257|3|IMPERIAL DE LUJO|TABASCO|HUIMANGUILLO|HUIMANGUILLO|2020-10-23|12900|0|200|50|2|0|0|0|0|0|0|0|0|0|0||0|0|0|BARRIENTOS|RINCON|LUIS|SOLTERO|X|X|CALLE NUMERO 7 CASA 194|POBLADO C-25 ISIDRO CORTES RUEDA|X|9931753937|X|X|X|CALLE NUMERO 7 CASA 194|X|LUNES|x|x|x|x|x|DOMICILIO |2500|10400|X|X|X|2021-06-07|2021-06-14|x|x|x|x|x|QX002LUS9KVTQO|x|HOMBRE|X|12900|X|X|X|X|X|X|X|X|CARDENAS|X|X|X|X|FINAL</v>
      </c>
    </row>
    <row r="518" spans="1:82" x14ac:dyDescent="0.25">
      <c r="A518" t="s">
        <v>1141</v>
      </c>
      <c r="B518" t="s">
        <v>1142</v>
      </c>
      <c r="C518">
        <v>3</v>
      </c>
      <c r="D518" t="s">
        <v>1373</v>
      </c>
      <c r="E518" t="s">
        <v>1380</v>
      </c>
      <c r="F518" t="s">
        <v>0</v>
      </c>
      <c r="G518" t="s">
        <v>0</v>
      </c>
      <c r="H518" t="s">
        <v>1629</v>
      </c>
      <c r="I518">
        <v>19800</v>
      </c>
      <c r="J518">
        <v>0</v>
      </c>
      <c r="K518">
        <v>500</v>
      </c>
      <c r="L518">
        <v>50</v>
      </c>
      <c r="M518">
        <v>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Y518">
        <v>0</v>
      </c>
      <c r="Z518">
        <v>0</v>
      </c>
      <c r="AA518">
        <v>0</v>
      </c>
      <c r="AB518" t="s">
        <v>2337</v>
      </c>
      <c r="AC518" t="s">
        <v>2255</v>
      </c>
      <c r="AD518" t="s">
        <v>2338</v>
      </c>
      <c r="AE518" t="s">
        <v>4</v>
      </c>
      <c r="AF518" t="s">
        <v>1</v>
      </c>
      <c r="AG518" t="s">
        <v>1</v>
      </c>
      <c r="AH518" t="s">
        <v>2814</v>
      </c>
      <c r="AI518" t="s">
        <v>3200</v>
      </c>
      <c r="AJ518" t="s">
        <v>1</v>
      </c>
      <c r="AK518">
        <v>9371660776</v>
      </c>
      <c r="AL518" t="s">
        <v>1</v>
      </c>
      <c r="AM518" t="s">
        <v>1</v>
      </c>
      <c r="AN518" t="s">
        <v>1</v>
      </c>
      <c r="AO518" t="s">
        <v>2814</v>
      </c>
      <c r="AP518" t="s">
        <v>1</v>
      </c>
      <c r="AQ518" t="s">
        <v>2</v>
      </c>
      <c r="AR518" t="s">
        <v>3</v>
      </c>
      <c r="AS518" t="s">
        <v>3</v>
      </c>
      <c r="AT518" t="s">
        <v>3</v>
      </c>
      <c r="AU518" t="s">
        <v>3</v>
      </c>
      <c r="AV518" t="s">
        <v>3</v>
      </c>
      <c r="AW518" t="s">
        <v>11</v>
      </c>
      <c r="AX518">
        <f>Tabla1[[#This Row],[precio del paquete]]-Tabla1[[#This Row],[Saldo_Deudor]]</f>
        <v>5800</v>
      </c>
      <c r="AY518">
        <v>14000</v>
      </c>
      <c r="AZ518" t="s">
        <v>1</v>
      </c>
      <c r="BA518" t="s">
        <v>1</v>
      </c>
      <c r="BB518" t="s">
        <v>1</v>
      </c>
      <c r="BC518" t="s">
        <v>3287</v>
      </c>
      <c r="BD518" t="s">
        <v>1430</v>
      </c>
      <c r="BE518" t="s">
        <v>3</v>
      </c>
      <c r="BF518" t="s">
        <v>3</v>
      </c>
      <c r="BG518" t="s">
        <v>3</v>
      </c>
      <c r="BH518" t="s">
        <v>3</v>
      </c>
      <c r="BI518" t="s">
        <v>3</v>
      </c>
      <c r="BJ518" t="s">
        <v>3363</v>
      </c>
      <c r="BK518" t="s">
        <v>3</v>
      </c>
      <c r="BL518" t="s">
        <v>132</v>
      </c>
      <c r="BM518" t="s">
        <v>1</v>
      </c>
      <c r="BN518">
        <f>Tabla1[[#This Row],[precio del paquete]]</f>
        <v>19800</v>
      </c>
      <c r="BO518" t="s">
        <v>1</v>
      </c>
      <c r="BP518" t="s">
        <v>1</v>
      </c>
      <c r="BQ518" t="s">
        <v>1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0</v>
      </c>
      <c r="BX518" t="s">
        <v>1</v>
      </c>
      <c r="BY518" t="s">
        <v>1</v>
      </c>
      <c r="BZ518" t="s">
        <v>1</v>
      </c>
      <c r="CA518" t="s">
        <v>1</v>
      </c>
      <c r="CB518" t="s">
        <v>3382</v>
      </c>
      <c r="CD518" t="str" cm="1">
        <f t="array" aca="1" ref="CD518" ca="1">eConcatenar(A518:CB518,"|")</f>
        <v>22gtBy36DJTlfarj|CAR2020-0855|3|ZAFIRO|TABASCO|CARDENAS|CARDENAS|2020-03-12|19800|0|500|50|2|0|0|0|0|0|0|0|0|0|0||0|0|0|VARGAS|AQUINO|MANUEL DEL CARMEN|SOLTERO|X|X|CALLE NUMERO 8|POBLADO C-23 VENUSTIANO CARRANZA|X|9371660776|X|X|X|CALLE NUMERO 8|X|LUNES|x|x|x|x|x|DOMICILIO |5800|14000|X|X|X|2021-05-03|2021-05-10|x|x|x|x|x|QX002LUS9KVTQO|x|HOMBRE|X|19800|X|X|X|X|X|X|X|X|CARDENAS|X|X|X|X|FINAL</v>
      </c>
    </row>
    <row r="519" spans="1:82" x14ac:dyDescent="0.25">
      <c r="A519" t="s">
        <v>1143</v>
      </c>
      <c r="B519" t="s">
        <v>1144</v>
      </c>
      <c r="C519">
        <v>3</v>
      </c>
      <c r="D519" t="s">
        <v>1371</v>
      </c>
      <c r="E519" t="s">
        <v>1380</v>
      </c>
      <c r="F519" t="s">
        <v>1382</v>
      </c>
      <c r="G519" t="s">
        <v>1382</v>
      </c>
      <c r="H519" t="s">
        <v>1647</v>
      </c>
      <c r="I519">
        <v>12900</v>
      </c>
      <c r="J519">
        <v>0</v>
      </c>
      <c r="K519">
        <v>500</v>
      </c>
      <c r="L519">
        <v>50</v>
      </c>
      <c r="M519">
        <v>2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Y519">
        <v>0</v>
      </c>
      <c r="Z519">
        <v>0</v>
      </c>
      <c r="AA519">
        <v>0</v>
      </c>
      <c r="AB519" t="s">
        <v>2022</v>
      </c>
      <c r="AC519" t="s">
        <v>2339</v>
      </c>
      <c r="AD519" t="s">
        <v>2245</v>
      </c>
      <c r="AE519" t="s">
        <v>4</v>
      </c>
      <c r="AF519" t="s">
        <v>1</v>
      </c>
      <c r="AG519" t="s">
        <v>1</v>
      </c>
      <c r="AH519" t="s">
        <v>2881</v>
      </c>
      <c r="AI519" t="s">
        <v>3156</v>
      </c>
      <c r="AJ519" t="s">
        <v>1</v>
      </c>
      <c r="AK519">
        <v>9371407434</v>
      </c>
      <c r="AL519" t="s">
        <v>1</v>
      </c>
      <c r="AM519" t="s">
        <v>1</v>
      </c>
      <c r="AN519" t="s">
        <v>1</v>
      </c>
      <c r="AO519" t="s">
        <v>2881</v>
      </c>
      <c r="AP519" t="s">
        <v>1</v>
      </c>
      <c r="AQ519" t="s">
        <v>2</v>
      </c>
      <c r="AR519" t="s">
        <v>3</v>
      </c>
      <c r="AS519" t="s">
        <v>3</v>
      </c>
      <c r="AT519" t="s">
        <v>3</v>
      </c>
      <c r="AU519" t="s">
        <v>3</v>
      </c>
      <c r="AV519" t="s">
        <v>3</v>
      </c>
      <c r="AW519" t="s">
        <v>11</v>
      </c>
      <c r="AX519">
        <f>Tabla1[[#This Row],[precio del paquete]]-Tabla1[[#This Row],[Saldo_Deudor]]</f>
        <v>10400</v>
      </c>
      <c r="AY519">
        <v>2500</v>
      </c>
      <c r="AZ519" t="s">
        <v>1</v>
      </c>
      <c r="BA519" t="s">
        <v>1</v>
      </c>
      <c r="BB519" t="s">
        <v>1</v>
      </c>
      <c r="BC519" t="s">
        <v>1562</v>
      </c>
      <c r="BD519" t="s">
        <v>3332</v>
      </c>
      <c r="BE519" t="s">
        <v>3</v>
      </c>
      <c r="BF519" t="s">
        <v>3</v>
      </c>
      <c r="BG519" t="s">
        <v>3</v>
      </c>
      <c r="BH519" t="s">
        <v>3</v>
      </c>
      <c r="BI519" t="s">
        <v>3</v>
      </c>
      <c r="BJ519" t="s">
        <v>3363</v>
      </c>
      <c r="BK519" t="s">
        <v>3</v>
      </c>
      <c r="BL519" t="s">
        <v>132</v>
      </c>
      <c r="BM519" t="s">
        <v>1</v>
      </c>
      <c r="BN519">
        <f>Tabla1[[#This Row],[precio del paquete]]</f>
        <v>12900</v>
      </c>
      <c r="BO519" t="s">
        <v>1</v>
      </c>
      <c r="BP519" t="s">
        <v>1</v>
      </c>
      <c r="BQ519" t="s">
        <v>1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0</v>
      </c>
      <c r="BX519" t="s">
        <v>1</v>
      </c>
      <c r="BY519" t="s">
        <v>1</v>
      </c>
      <c r="BZ519" t="s">
        <v>1</v>
      </c>
      <c r="CA519" t="s">
        <v>1</v>
      </c>
      <c r="CB519" t="s">
        <v>3382</v>
      </c>
      <c r="CD519" t="str" cm="1">
        <f t="array" aca="1" ref="CD519" ca="1">eConcatenar(A519:CB519,"|")</f>
        <v>ElfoEVBqeTksFRXD|CAR2020-1056|3|ECONOLINE|TABASCO|HUIMANGUILLO|HUIMANGUILLO|2020-05-07|12900|0|500|50|2|0|0|0|0|0|0|0|0|0|0||0|0|0|ISIDRO|ERGANZO|MARCIAL|SOLTERO|X|X|CALLE NUMERO 7|POBLADO C-33 VEINTE DE NOVIEMBRE|X|9371407434|X|X|X|CALLE NUMERO 7|X|LUNES|x|x|x|x|x|DOMICILIO |10400|2500|X|X|X|2021-11-08|2021-11-15|x|x|x|x|x|QX002LUS9KVTQO|x|HOMBRE|X|12900|X|X|X|X|X|X|X|X|CARDENAS|X|X|X|X|FINAL</v>
      </c>
    </row>
    <row r="520" spans="1:82" x14ac:dyDescent="0.25">
      <c r="A520" t="s">
        <v>1145</v>
      </c>
      <c r="B520" t="s">
        <v>1146</v>
      </c>
      <c r="C520">
        <v>3</v>
      </c>
      <c r="D520" t="s">
        <v>1369</v>
      </c>
      <c r="E520" t="s">
        <v>1380</v>
      </c>
      <c r="F520" t="s">
        <v>0</v>
      </c>
      <c r="G520" t="s">
        <v>0</v>
      </c>
      <c r="H520" t="s">
        <v>1487</v>
      </c>
      <c r="I520">
        <v>14800</v>
      </c>
      <c r="J520">
        <v>0</v>
      </c>
      <c r="K520">
        <v>50</v>
      </c>
      <c r="L520">
        <v>50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Y520">
        <v>0</v>
      </c>
      <c r="Z520">
        <v>0</v>
      </c>
      <c r="AA520">
        <v>0</v>
      </c>
      <c r="AB520" t="s">
        <v>1711</v>
      </c>
      <c r="AC520" t="s">
        <v>1699</v>
      </c>
      <c r="AD520" t="s">
        <v>2340</v>
      </c>
      <c r="AE520" t="s">
        <v>4</v>
      </c>
      <c r="AF520" t="s">
        <v>1</v>
      </c>
      <c r="AG520" t="s">
        <v>1</v>
      </c>
      <c r="AH520" t="s">
        <v>2882</v>
      </c>
      <c r="AI520" t="s">
        <v>3198</v>
      </c>
      <c r="AJ520" t="s">
        <v>1</v>
      </c>
      <c r="AK520">
        <v>9371291040</v>
      </c>
      <c r="AL520" t="s">
        <v>1</v>
      </c>
      <c r="AM520" t="s">
        <v>1</v>
      </c>
      <c r="AN520" t="s">
        <v>1</v>
      </c>
      <c r="AO520" t="s">
        <v>2882</v>
      </c>
      <c r="AP520" t="s">
        <v>1</v>
      </c>
      <c r="AQ520" t="s">
        <v>2</v>
      </c>
      <c r="AR520" t="s">
        <v>3</v>
      </c>
      <c r="AS520" t="s">
        <v>3</v>
      </c>
      <c r="AT520" t="s">
        <v>3</v>
      </c>
      <c r="AU520" t="s">
        <v>3</v>
      </c>
      <c r="AV520" t="s">
        <v>3</v>
      </c>
      <c r="AW520" t="s">
        <v>11</v>
      </c>
      <c r="AX520">
        <f>Tabla1[[#This Row],[precio del paquete]]-Tabla1[[#This Row],[Saldo_Deudor]]</f>
        <v>50</v>
      </c>
      <c r="AY520">
        <v>14750</v>
      </c>
      <c r="AZ520" t="s">
        <v>1</v>
      </c>
      <c r="BA520" t="s">
        <v>1</v>
      </c>
      <c r="BB520" t="s">
        <v>1</v>
      </c>
      <c r="BC520" t="s">
        <v>1487</v>
      </c>
      <c r="BD520" t="s">
        <v>1613</v>
      </c>
      <c r="BE520" t="s">
        <v>3</v>
      </c>
      <c r="BF520" t="s">
        <v>3</v>
      </c>
      <c r="BG520" t="s">
        <v>3</v>
      </c>
      <c r="BH520" t="s">
        <v>3</v>
      </c>
      <c r="BI520" t="s">
        <v>3</v>
      </c>
      <c r="BJ520" t="s">
        <v>3363</v>
      </c>
      <c r="BK520" t="s">
        <v>3</v>
      </c>
      <c r="BL520" t="s">
        <v>132</v>
      </c>
      <c r="BM520" t="s">
        <v>1</v>
      </c>
      <c r="BN520">
        <f>Tabla1[[#This Row],[precio del paquete]]</f>
        <v>14800</v>
      </c>
      <c r="BO520" t="s">
        <v>1</v>
      </c>
      <c r="BP520" t="s">
        <v>1</v>
      </c>
      <c r="BQ520" t="s">
        <v>1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0</v>
      </c>
      <c r="BX520" t="s">
        <v>1</v>
      </c>
      <c r="BY520" t="s">
        <v>1</v>
      </c>
      <c r="BZ520" t="s">
        <v>1</v>
      </c>
      <c r="CA520" t="s">
        <v>1</v>
      </c>
      <c r="CB520" t="s">
        <v>3382</v>
      </c>
      <c r="CD520" t="str" cm="1">
        <f t="array" aca="1" ref="CD520" ca="1">eConcatenar(A520:CB520,"|")</f>
        <v>yNDw1SPuGhNOrqAG|CAR2021-5698|3|MEMORIAL|TABASCO|CARDENAS|CARDENAS|2021-10-01|14800|0|50|50|2|0|0|0|0|0|0|0|0|0|0||0|0|0|HERNANDEZ|CORDOVA|MARIA ESTHER|SOLTERO|X|X|CALLE SEIS SIN NUMERO|POBLADO C-15 ADOLFO LOPEZ MATEO|X|9371291040|X|X|X|CALLE SEIS SIN NUMERO|X|LUNES|x|x|x|x|x|DOMICILIO |50|14750|X|X|X|2021-10-01|2021-10-08|x|x|x|x|x|QX002LUS9KVTQO|x|HOMBRE|X|14800|X|X|X|X|X|X|X|X|CARDENAS|X|X|X|X|FINAL</v>
      </c>
    </row>
    <row r="521" spans="1:82" x14ac:dyDescent="0.25">
      <c r="A521" t="s">
        <v>1147</v>
      </c>
      <c r="B521" t="s">
        <v>1148</v>
      </c>
      <c r="C521">
        <v>3</v>
      </c>
      <c r="D521" t="s">
        <v>1369</v>
      </c>
      <c r="E521" t="s">
        <v>1380</v>
      </c>
      <c r="F521" t="s">
        <v>0</v>
      </c>
      <c r="G521" t="s">
        <v>0</v>
      </c>
      <c r="H521" t="s">
        <v>1511</v>
      </c>
      <c r="I521">
        <v>14800</v>
      </c>
      <c r="J521">
        <v>0</v>
      </c>
      <c r="K521">
        <v>100</v>
      </c>
      <c r="L521">
        <v>50</v>
      </c>
      <c r="M521">
        <v>2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Y521">
        <v>0</v>
      </c>
      <c r="Z521">
        <v>0</v>
      </c>
      <c r="AA521">
        <v>0</v>
      </c>
      <c r="AB521" t="s">
        <v>1919</v>
      </c>
      <c r="AC521" t="s">
        <v>1776</v>
      </c>
      <c r="AD521" t="s">
        <v>2341</v>
      </c>
      <c r="AE521" t="s">
        <v>4</v>
      </c>
      <c r="AF521" t="s">
        <v>1</v>
      </c>
      <c r="AG521" t="s">
        <v>1</v>
      </c>
      <c r="AH521" t="s">
        <v>2883</v>
      </c>
      <c r="AI521" t="s">
        <v>3198</v>
      </c>
      <c r="AJ521" t="s">
        <v>1</v>
      </c>
      <c r="AK521">
        <v>9372835232</v>
      </c>
      <c r="AL521" t="s">
        <v>1</v>
      </c>
      <c r="AM521" t="s">
        <v>1</v>
      </c>
      <c r="AN521" t="s">
        <v>1</v>
      </c>
      <c r="AO521" t="s">
        <v>2883</v>
      </c>
      <c r="AP521" t="s">
        <v>1</v>
      </c>
      <c r="AQ521" t="s">
        <v>2</v>
      </c>
      <c r="AR521" t="s">
        <v>3</v>
      </c>
      <c r="AS521" t="s">
        <v>3</v>
      </c>
      <c r="AT521" t="s">
        <v>3</v>
      </c>
      <c r="AU521" t="s">
        <v>3</v>
      </c>
      <c r="AV521" t="s">
        <v>3</v>
      </c>
      <c r="AW521" t="s">
        <v>11</v>
      </c>
      <c r="AX521">
        <f>Tabla1[[#This Row],[precio del paquete]]-Tabla1[[#This Row],[Saldo_Deudor]]</f>
        <v>1250</v>
      </c>
      <c r="AY521">
        <v>13550</v>
      </c>
      <c r="AZ521" t="s">
        <v>1</v>
      </c>
      <c r="BA521" t="s">
        <v>1</v>
      </c>
      <c r="BB521" t="s">
        <v>1</v>
      </c>
      <c r="BC521" t="s">
        <v>3288</v>
      </c>
      <c r="BD521" t="s">
        <v>1663</v>
      </c>
      <c r="BE521" t="s">
        <v>3</v>
      </c>
      <c r="BF521" t="s">
        <v>3</v>
      </c>
      <c r="BG521" t="s">
        <v>3</v>
      </c>
      <c r="BH521" t="s">
        <v>3</v>
      </c>
      <c r="BI521" t="s">
        <v>3</v>
      </c>
      <c r="BJ521" t="s">
        <v>3363</v>
      </c>
      <c r="BK521" t="s">
        <v>3</v>
      </c>
      <c r="BL521" t="s">
        <v>132</v>
      </c>
      <c r="BM521" t="s">
        <v>1</v>
      </c>
      <c r="BN521">
        <f>Tabla1[[#This Row],[precio del paquete]]</f>
        <v>14800</v>
      </c>
      <c r="BO521" t="s">
        <v>1</v>
      </c>
      <c r="BP521" t="s">
        <v>1</v>
      </c>
      <c r="BQ521" t="s">
        <v>1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0</v>
      </c>
      <c r="BX521" t="s">
        <v>1</v>
      </c>
      <c r="BY521" t="s">
        <v>1</v>
      </c>
      <c r="BZ521" t="s">
        <v>1</v>
      </c>
      <c r="CA521" t="s">
        <v>1</v>
      </c>
      <c r="CB521" t="s">
        <v>3382</v>
      </c>
      <c r="CD521" t="str" cm="1">
        <f t="array" aca="1" ref="CD521" ca="1">eConcatenar(A521:CB521,"|")</f>
        <v>42FCF9DHIEZKNy0U|CAR2021-5442|3|MEMORIAL|TABASCO|CARDENAS|CARDENAS|2021-09-18|14800|0|100|50|2|0|0|0|0|0|0|0|0|0|0||0|0|0|RAMIREZ|AVALOS|FERNANDO|SOLTERO|X|X|CALLE 3 Y 2 ZONA VERDE|POBLADO C-15 ADOLFO LOPEZ MATEO|X|9372835232|X|X|X|CALLE 3 Y 2 ZONA VERDE|X|LUNES|x|x|x|x|x|DOMICILIO |1250|13550|X|X|X|2022-01-06|2022-01-13|x|x|x|x|x|QX002LUS9KVTQO|x|HOMBRE|X|14800|X|X|X|X|X|X|X|X|CARDENAS|X|X|X|X|FINAL</v>
      </c>
    </row>
    <row r="522" spans="1:82" x14ac:dyDescent="0.25">
      <c r="A522" t="s">
        <v>1149</v>
      </c>
      <c r="B522" t="s">
        <v>1150</v>
      </c>
      <c r="C522">
        <v>3</v>
      </c>
      <c r="D522" t="s">
        <v>1369</v>
      </c>
      <c r="E522" t="s">
        <v>1380</v>
      </c>
      <c r="F522" t="s">
        <v>0</v>
      </c>
      <c r="G522" t="s">
        <v>0</v>
      </c>
      <c r="H522" t="s">
        <v>1511</v>
      </c>
      <c r="I522">
        <v>14800</v>
      </c>
      <c r="J522">
        <v>0</v>
      </c>
      <c r="K522">
        <v>100</v>
      </c>
      <c r="L522">
        <v>50</v>
      </c>
      <c r="M522">
        <v>2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Y522">
        <v>0</v>
      </c>
      <c r="Z522">
        <v>0</v>
      </c>
      <c r="AA522">
        <v>0</v>
      </c>
      <c r="AB522" t="s">
        <v>1693</v>
      </c>
      <c r="AC522" t="s">
        <v>2260</v>
      </c>
      <c r="AD522" t="s">
        <v>2342</v>
      </c>
      <c r="AE522" t="s">
        <v>4</v>
      </c>
      <c r="AF522" t="s">
        <v>1</v>
      </c>
      <c r="AG522" t="s">
        <v>1</v>
      </c>
      <c r="AH522" t="s">
        <v>2884</v>
      </c>
      <c r="AI522" t="s">
        <v>3198</v>
      </c>
      <c r="AJ522" t="s">
        <v>1</v>
      </c>
      <c r="AK522">
        <v>9372301343</v>
      </c>
      <c r="AL522" t="s">
        <v>1</v>
      </c>
      <c r="AM522" t="s">
        <v>1</v>
      </c>
      <c r="AN522" t="s">
        <v>1</v>
      </c>
      <c r="AO522" t="s">
        <v>2884</v>
      </c>
      <c r="AP522" t="s">
        <v>1</v>
      </c>
      <c r="AQ522" t="s">
        <v>2</v>
      </c>
      <c r="AR522" t="s">
        <v>3</v>
      </c>
      <c r="AS522" t="s">
        <v>3</v>
      </c>
      <c r="AT522" t="s">
        <v>3</v>
      </c>
      <c r="AU522" t="s">
        <v>3</v>
      </c>
      <c r="AV522" t="s">
        <v>3</v>
      </c>
      <c r="AW522" t="s">
        <v>11</v>
      </c>
      <c r="AX522">
        <f>Tabla1[[#This Row],[precio del paquete]]-Tabla1[[#This Row],[Saldo_Deudor]]</f>
        <v>1100</v>
      </c>
      <c r="AY522">
        <v>13700</v>
      </c>
      <c r="AZ522" t="s">
        <v>1</v>
      </c>
      <c r="BA522" t="s">
        <v>1</v>
      </c>
      <c r="BB522" t="s">
        <v>1</v>
      </c>
      <c r="BC522" t="s">
        <v>1422</v>
      </c>
      <c r="BD522" t="s">
        <v>1607</v>
      </c>
      <c r="BE522" t="s">
        <v>3</v>
      </c>
      <c r="BF522" t="s">
        <v>3</v>
      </c>
      <c r="BG522" t="s">
        <v>3</v>
      </c>
      <c r="BH522" t="s">
        <v>3</v>
      </c>
      <c r="BI522" t="s">
        <v>3</v>
      </c>
      <c r="BJ522" t="s">
        <v>3363</v>
      </c>
      <c r="BK522" t="s">
        <v>3</v>
      </c>
      <c r="BL522" t="s">
        <v>132</v>
      </c>
      <c r="BM522" t="s">
        <v>1</v>
      </c>
      <c r="BN522">
        <f>Tabla1[[#This Row],[precio del paquete]]</f>
        <v>14800</v>
      </c>
      <c r="BO522" t="s">
        <v>1</v>
      </c>
      <c r="BP522" t="s">
        <v>1</v>
      </c>
      <c r="BQ522" t="s">
        <v>1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0</v>
      </c>
      <c r="BX522" t="s">
        <v>1</v>
      </c>
      <c r="BY522" t="s">
        <v>1</v>
      </c>
      <c r="BZ522" t="s">
        <v>1</v>
      </c>
      <c r="CA522" t="s">
        <v>1</v>
      </c>
      <c r="CB522" t="s">
        <v>3382</v>
      </c>
      <c r="CD522" t="str" cm="1">
        <f t="array" aca="1" ref="CD522" ca="1">eConcatenar(A522:CB522,"|")</f>
        <v>Gpu6Y028a8usIHGE|CAR2021-5438|3|MEMORIAL|TABASCO|CARDENAS|CARDENAS|2021-09-18|14800|0|100|50|2|0|0|0|0|0|0|0|0|0|0||0|0|0|RODRIGUEZ|TORRUCO|PLACIDO|SOLTERO|X|X|CALLE 6 Y 7|POBLADO C-15 ADOLFO LOPEZ MATEO|X|9372301343|X|X|X|CALLE 6 Y 7|X|LUNES|x|x|x|x|x|DOMICILIO |1100|13700|X|X|X|2021-11-23|2021-11-30|x|x|x|x|x|QX002LUS9KVTQO|x|HOMBRE|X|14800|X|X|X|X|X|X|X|X|CARDENAS|X|X|X|X|FINAL</v>
      </c>
    </row>
    <row r="523" spans="1:82" x14ac:dyDescent="0.25">
      <c r="A523" t="s">
        <v>1151</v>
      </c>
      <c r="B523" t="s">
        <v>1152</v>
      </c>
      <c r="C523">
        <v>3</v>
      </c>
      <c r="D523" t="s">
        <v>1368</v>
      </c>
      <c r="E523" t="s">
        <v>1380</v>
      </c>
      <c r="F523" t="s">
        <v>0</v>
      </c>
      <c r="G523" t="s">
        <v>0</v>
      </c>
      <c r="H523" t="s">
        <v>1552</v>
      </c>
      <c r="I523">
        <v>24500</v>
      </c>
      <c r="J523">
        <v>0</v>
      </c>
      <c r="K523">
        <v>100</v>
      </c>
      <c r="L523">
        <v>50</v>
      </c>
      <c r="M523">
        <v>2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Y523">
        <v>0</v>
      </c>
      <c r="Z523">
        <v>0</v>
      </c>
      <c r="AA523">
        <v>0</v>
      </c>
      <c r="AB523" t="s">
        <v>2343</v>
      </c>
      <c r="AC523" t="s">
        <v>1814</v>
      </c>
      <c r="AD523" t="s">
        <v>1931</v>
      </c>
      <c r="AE523" t="s">
        <v>4</v>
      </c>
      <c r="AF523" t="s">
        <v>1</v>
      </c>
      <c r="AG523" t="s">
        <v>1</v>
      </c>
      <c r="AH523" t="s">
        <v>2885</v>
      </c>
      <c r="AI523" t="s">
        <v>3201</v>
      </c>
      <c r="AJ523" t="s">
        <v>1</v>
      </c>
      <c r="AK523">
        <v>9371024596</v>
      </c>
      <c r="AL523" t="s">
        <v>1</v>
      </c>
      <c r="AM523" t="s">
        <v>1</v>
      </c>
      <c r="AN523" t="s">
        <v>1</v>
      </c>
      <c r="AO523" t="s">
        <v>2885</v>
      </c>
      <c r="AP523" t="s">
        <v>1</v>
      </c>
      <c r="AQ523" t="s">
        <v>2</v>
      </c>
      <c r="AR523" t="s">
        <v>3</v>
      </c>
      <c r="AS523" t="s">
        <v>3</v>
      </c>
      <c r="AT523" t="s">
        <v>3</v>
      </c>
      <c r="AU523" t="s">
        <v>3</v>
      </c>
      <c r="AV523" t="s">
        <v>3</v>
      </c>
      <c r="AW523" t="s">
        <v>11</v>
      </c>
      <c r="AX523">
        <f>Tabla1[[#This Row],[precio del paquete]]-Tabla1[[#This Row],[Saldo_Deudor]]</f>
        <v>900</v>
      </c>
      <c r="AY523">
        <v>23600</v>
      </c>
      <c r="AZ523" t="s">
        <v>1</v>
      </c>
      <c r="BA523" t="s">
        <v>1</v>
      </c>
      <c r="BB523" t="s">
        <v>1</v>
      </c>
      <c r="BC523" t="s">
        <v>1562</v>
      </c>
      <c r="BD523" t="s">
        <v>3332</v>
      </c>
      <c r="BE523" t="s">
        <v>3</v>
      </c>
      <c r="BF523" t="s">
        <v>3</v>
      </c>
      <c r="BG523" t="s">
        <v>3</v>
      </c>
      <c r="BH523" t="s">
        <v>3</v>
      </c>
      <c r="BI523" t="s">
        <v>3</v>
      </c>
      <c r="BJ523" t="s">
        <v>3363</v>
      </c>
      <c r="BK523" t="s">
        <v>3</v>
      </c>
      <c r="BL523" t="s">
        <v>132</v>
      </c>
      <c r="BM523" t="s">
        <v>1</v>
      </c>
      <c r="BN523">
        <f>Tabla1[[#This Row],[precio del paquete]]</f>
        <v>24500</v>
      </c>
      <c r="BO523" t="s">
        <v>1</v>
      </c>
      <c r="BP523" t="s">
        <v>1</v>
      </c>
      <c r="BQ523" t="s">
        <v>1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0</v>
      </c>
      <c r="BX523" t="s">
        <v>1</v>
      </c>
      <c r="BY523" t="s">
        <v>1</v>
      </c>
      <c r="BZ523" t="s">
        <v>1</v>
      </c>
      <c r="CA523" t="s">
        <v>1</v>
      </c>
      <c r="CB523" t="s">
        <v>3382</v>
      </c>
      <c r="CD523" t="str" cm="1">
        <f t="array" aca="1" ref="CD523" ca="1">eConcatenar(A523:CB523,"|")</f>
        <v>nLbWIYAPWe68jzVT|CAR2021-5603|3|DIGNITY|TABASCO|CARDENAS|CARDENAS|2021-09-23|24500|0|100|50|2|0|0|0|0|0|0|0|0|0|0||0|0|0|SARABIA|FLORES|PABLO|SOLTERO|X|X|CARRETERA AL POBLADO C-28|COLONIA EL PARNASO|X|9371024596|X|X|X|CARRETERA AL POBLADO C-28|X|LUNES|x|x|x|x|x|DOMICILIO |900|23600|X|X|X|2021-11-08|2021-11-15|x|x|x|x|x|QX002LUS9KVTQO|x|HOMBRE|X|24500|X|X|X|X|X|X|X|X|CARDENAS|X|X|X|X|FINAL</v>
      </c>
    </row>
    <row r="524" spans="1:82" x14ac:dyDescent="0.25">
      <c r="A524" t="s">
        <v>1153</v>
      </c>
      <c r="B524" t="s">
        <v>1154</v>
      </c>
      <c r="C524">
        <v>3</v>
      </c>
      <c r="D524" t="s">
        <v>1369</v>
      </c>
      <c r="E524" t="s">
        <v>1380</v>
      </c>
      <c r="F524" t="s">
        <v>0</v>
      </c>
      <c r="G524" t="s">
        <v>0</v>
      </c>
      <c r="H524" t="s">
        <v>1648</v>
      </c>
      <c r="I524">
        <v>14800</v>
      </c>
      <c r="J524">
        <v>0</v>
      </c>
      <c r="K524">
        <v>400</v>
      </c>
      <c r="L524">
        <v>50</v>
      </c>
      <c r="M524">
        <v>2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Y524">
        <v>0</v>
      </c>
      <c r="Z524">
        <v>0</v>
      </c>
      <c r="AA524">
        <v>0</v>
      </c>
      <c r="AB524" t="s">
        <v>1703</v>
      </c>
      <c r="AC524" t="s">
        <v>2344</v>
      </c>
      <c r="AD524" t="s">
        <v>2345</v>
      </c>
      <c r="AE524" t="s">
        <v>4</v>
      </c>
      <c r="AF524" t="s">
        <v>1</v>
      </c>
      <c r="AG524" t="s">
        <v>1</v>
      </c>
      <c r="AH524" t="s">
        <v>2886</v>
      </c>
      <c r="AI524" t="s">
        <v>3202</v>
      </c>
      <c r="AJ524" t="s">
        <v>1</v>
      </c>
      <c r="AK524">
        <v>9371230392</v>
      </c>
      <c r="AL524" t="s">
        <v>1</v>
      </c>
      <c r="AM524" t="s">
        <v>1</v>
      </c>
      <c r="AN524" t="s">
        <v>1</v>
      </c>
      <c r="AO524" t="s">
        <v>2886</v>
      </c>
      <c r="AP524" t="s">
        <v>1</v>
      </c>
      <c r="AQ524" t="s">
        <v>2</v>
      </c>
      <c r="AR524" t="s">
        <v>3</v>
      </c>
      <c r="AS524" t="s">
        <v>3</v>
      </c>
      <c r="AT524" t="s">
        <v>3</v>
      </c>
      <c r="AU524" t="s">
        <v>3</v>
      </c>
      <c r="AV524" t="s">
        <v>3</v>
      </c>
      <c r="AW524" t="s">
        <v>11</v>
      </c>
      <c r="AX524">
        <f>Tabla1[[#This Row],[precio del paquete]]-Tabla1[[#This Row],[Saldo_Deudor]]</f>
        <v>1200</v>
      </c>
      <c r="AY524">
        <v>13600</v>
      </c>
      <c r="AZ524" t="s">
        <v>1</v>
      </c>
      <c r="BA524" t="s">
        <v>1</v>
      </c>
      <c r="BB524" t="s">
        <v>1</v>
      </c>
      <c r="BC524" t="s">
        <v>1660</v>
      </c>
      <c r="BD524" t="s">
        <v>1428</v>
      </c>
      <c r="BE524" t="s">
        <v>3</v>
      </c>
      <c r="BF524" t="s">
        <v>3</v>
      </c>
      <c r="BG524" t="s">
        <v>3</v>
      </c>
      <c r="BH524" t="s">
        <v>3</v>
      </c>
      <c r="BI524" t="s">
        <v>3</v>
      </c>
      <c r="BJ524" t="s">
        <v>3363</v>
      </c>
      <c r="BK524" t="s">
        <v>3</v>
      </c>
      <c r="BL524" t="s">
        <v>132</v>
      </c>
      <c r="BM524" t="s">
        <v>1</v>
      </c>
      <c r="BN524">
        <f>Tabla1[[#This Row],[precio del paquete]]</f>
        <v>14800</v>
      </c>
      <c r="BO524" t="s">
        <v>1</v>
      </c>
      <c r="BP524" t="s">
        <v>1</v>
      </c>
      <c r="BQ524" t="s">
        <v>1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0</v>
      </c>
      <c r="BX524" t="s">
        <v>1</v>
      </c>
      <c r="BY524" t="s">
        <v>1</v>
      </c>
      <c r="BZ524" t="s">
        <v>1</v>
      </c>
      <c r="CA524" t="s">
        <v>1</v>
      </c>
      <c r="CB524" t="s">
        <v>3382</v>
      </c>
      <c r="CD524" t="str" cm="1">
        <f t="array" aca="1" ref="CD524" ca="1">eConcatenar(A524:CB524,"|")</f>
        <v>E3d4AEbJxMXHBMmy|CAR2021-4671|3|MEMORIAL|TABASCO|CARDENAS|CARDENAS|2021-08-17|14800|0|400|50|2|0|0|0|0|0|0|0|0|0|0||0|0|0|RAMOS|VILLAVERDE|LEONRILDA|SOLTERO|X|X|CARRETERA KILOMETRO 13 ZONA VERDE|POBLADO C-14 PLUTARCO ELIAS CALLES|X|9371230392|X|X|X|CARRETERA KILOMETRO 13 ZONA VERDE|X|LUNES|x|x|x|x|x|DOMICILIO |1200|13600|X|X|X|2021-10-12|2021-10-19|x|x|x|x|x|QX002LUS9KVTQO|x|HOMBRE|X|14800|X|X|X|X|X|X|X|X|CARDENAS|X|X|X|X|FINAL</v>
      </c>
    </row>
    <row r="525" spans="1:82" x14ac:dyDescent="0.25">
      <c r="A525" t="s">
        <v>1155</v>
      </c>
      <c r="B525" t="s">
        <v>1156</v>
      </c>
      <c r="C525">
        <v>3</v>
      </c>
      <c r="D525" t="s">
        <v>1369</v>
      </c>
      <c r="E525" t="s">
        <v>1380</v>
      </c>
      <c r="F525" t="s">
        <v>0</v>
      </c>
      <c r="G525" t="s">
        <v>0</v>
      </c>
      <c r="H525" t="s">
        <v>1442</v>
      </c>
      <c r="I525">
        <v>14800</v>
      </c>
      <c r="J525">
        <v>0</v>
      </c>
      <c r="K525">
        <v>50</v>
      </c>
      <c r="L525">
        <v>50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Y525">
        <v>0</v>
      </c>
      <c r="Z525">
        <v>0</v>
      </c>
      <c r="AA525">
        <v>0</v>
      </c>
      <c r="AB525" t="s">
        <v>2073</v>
      </c>
      <c r="AC525" t="s">
        <v>1849</v>
      </c>
      <c r="AD525" t="s">
        <v>2346</v>
      </c>
      <c r="AE525" t="s">
        <v>4</v>
      </c>
      <c r="AF525" t="s">
        <v>1</v>
      </c>
      <c r="AG525" t="s">
        <v>1</v>
      </c>
      <c r="AH525" t="s">
        <v>2887</v>
      </c>
      <c r="AI525" t="s">
        <v>3203</v>
      </c>
      <c r="AJ525" t="s">
        <v>1</v>
      </c>
      <c r="AK525">
        <v>9371835921</v>
      </c>
      <c r="AL525" t="s">
        <v>1</v>
      </c>
      <c r="AM525" t="s">
        <v>1</v>
      </c>
      <c r="AN525" t="s">
        <v>1</v>
      </c>
      <c r="AO525" t="s">
        <v>2887</v>
      </c>
      <c r="AP525" t="s">
        <v>1</v>
      </c>
      <c r="AQ525" t="s">
        <v>2</v>
      </c>
      <c r="AR525" t="s">
        <v>3</v>
      </c>
      <c r="AS525" t="s">
        <v>3</v>
      </c>
      <c r="AT525" t="s">
        <v>3</v>
      </c>
      <c r="AU525" t="s">
        <v>3</v>
      </c>
      <c r="AV525" t="s">
        <v>3</v>
      </c>
      <c r="AW525" t="s">
        <v>11</v>
      </c>
      <c r="AX525">
        <f>Tabla1[[#This Row],[precio del paquete]]-Tabla1[[#This Row],[Saldo_Deudor]]</f>
        <v>800</v>
      </c>
      <c r="AY525">
        <v>14000</v>
      </c>
      <c r="AZ525" t="s">
        <v>1</v>
      </c>
      <c r="BA525" t="s">
        <v>1</v>
      </c>
      <c r="BB525" t="s">
        <v>1</v>
      </c>
      <c r="BC525" t="s">
        <v>3289</v>
      </c>
      <c r="BD525" t="s">
        <v>1484</v>
      </c>
      <c r="BE525" t="s">
        <v>3</v>
      </c>
      <c r="BF525" t="s">
        <v>3</v>
      </c>
      <c r="BG525" t="s">
        <v>3</v>
      </c>
      <c r="BH525" t="s">
        <v>3</v>
      </c>
      <c r="BI525" t="s">
        <v>3</v>
      </c>
      <c r="BJ525" t="s">
        <v>3363</v>
      </c>
      <c r="BK525" t="s">
        <v>3</v>
      </c>
      <c r="BL525" t="s">
        <v>132</v>
      </c>
      <c r="BM525" t="s">
        <v>1</v>
      </c>
      <c r="BN525">
        <f>Tabla1[[#This Row],[precio del paquete]]</f>
        <v>14800</v>
      </c>
      <c r="BO525" t="s">
        <v>1</v>
      </c>
      <c r="BP525" t="s">
        <v>1</v>
      </c>
      <c r="BQ525" t="s">
        <v>1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0</v>
      </c>
      <c r="BX525" t="s">
        <v>1</v>
      </c>
      <c r="BY525" t="s">
        <v>1</v>
      </c>
      <c r="BZ525" t="s">
        <v>1</v>
      </c>
      <c r="CA525" t="s">
        <v>1</v>
      </c>
      <c r="CB525" t="s">
        <v>3382</v>
      </c>
      <c r="CD525" t="str" cm="1">
        <f t="array" aca="1" ref="CD525" ca="1">eConcatenar(A525:CB525,"|")</f>
        <v>B40oHj1XPq5FRnKp|CAR2021-5682|3|MEMORIAL|TABASCO|CARDENAS|CARDENAS|2021-09-29|14800|0|50|50|1|0|0|0|0|0|0|0|0|0|0||0|0|0|ALVAREZ|MAYO|NURY|SOLTERO|X|X|CARRETERA CARDENAS COATZACOALCOS KILOMETRO 82|EJIDO ZAPOTAL QUINTA SECCION|X|9371835921|X|X|X|CARRETERA CARDENAS COATZACOALCOS KILOMETRO 82|X|LUNES|x|x|x|x|x|DOMICILIO |800|14000|X|X|X|2021-10-11|2021-10-18|x|x|x|x|x|QX002LUS9KVTQO|x|HOMBRE|X|14800|X|X|X|X|X|X|X|X|CARDENAS|X|X|X|X|FINAL</v>
      </c>
    </row>
    <row r="526" spans="1:82" x14ac:dyDescent="0.25">
      <c r="A526" t="s">
        <v>1157</v>
      </c>
      <c r="B526" t="s">
        <v>1158</v>
      </c>
      <c r="C526">
        <v>3</v>
      </c>
      <c r="D526" t="s">
        <v>1369</v>
      </c>
      <c r="E526" t="s">
        <v>1380</v>
      </c>
      <c r="F526" t="s">
        <v>0</v>
      </c>
      <c r="G526" t="s">
        <v>0</v>
      </c>
      <c r="H526" t="s">
        <v>1649</v>
      </c>
      <c r="I526">
        <v>14800</v>
      </c>
      <c r="J526">
        <v>0</v>
      </c>
      <c r="K526">
        <v>100</v>
      </c>
      <c r="L526">
        <v>50</v>
      </c>
      <c r="M526">
        <v>1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Y526">
        <v>0</v>
      </c>
      <c r="Z526">
        <v>0</v>
      </c>
      <c r="AA526">
        <v>0</v>
      </c>
      <c r="AB526" t="s">
        <v>1849</v>
      </c>
      <c r="AC526" t="s">
        <v>7</v>
      </c>
      <c r="AD526" t="s">
        <v>1824</v>
      </c>
      <c r="AE526" t="s">
        <v>4</v>
      </c>
      <c r="AF526" t="s">
        <v>1</v>
      </c>
      <c r="AG526" t="s">
        <v>1</v>
      </c>
      <c r="AH526" t="s">
        <v>2888</v>
      </c>
      <c r="AI526" t="s">
        <v>3198</v>
      </c>
      <c r="AJ526" t="s">
        <v>1</v>
      </c>
      <c r="AK526">
        <v>9371034620</v>
      </c>
      <c r="AL526" t="s">
        <v>1</v>
      </c>
      <c r="AM526" t="s">
        <v>1</v>
      </c>
      <c r="AN526" t="s">
        <v>1</v>
      </c>
      <c r="AO526" t="s">
        <v>2888</v>
      </c>
      <c r="AP526" t="s">
        <v>1</v>
      </c>
      <c r="AQ526" t="s">
        <v>2</v>
      </c>
      <c r="AR526" t="s">
        <v>3</v>
      </c>
      <c r="AS526" t="s">
        <v>3</v>
      </c>
      <c r="AT526" t="s">
        <v>3</v>
      </c>
      <c r="AU526" t="s">
        <v>3</v>
      </c>
      <c r="AV526" t="s">
        <v>3</v>
      </c>
      <c r="AW526" t="s">
        <v>11</v>
      </c>
      <c r="AX526">
        <f>Tabla1[[#This Row],[precio del paquete]]-Tabla1[[#This Row],[Saldo_Deudor]]</f>
        <v>700</v>
      </c>
      <c r="AY526">
        <v>14100</v>
      </c>
      <c r="AZ526" t="s">
        <v>1</v>
      </c>
      <c r="BA526" t="s">
        <v>1</v>
      </c>
      <c r="BB526" t="s">
        <v>1</v>
      </c>
      <c r="BC526" t="s">
        <v>3290</v>
      </c>
      <c r="BD526" t="s">
        <v>1616</v>
      </c>
      <c r="BE526" t="s">
        <v>3</v>
      </c>
      <c r="BF526" t="s">
        <v>3</v>
      </c>
      <c r="BG526" t="s">
        <v>3</v>
      </c>
      <c r="BH526" t="s">
        <v>3</v>
      </c>
      <c r="BI526" t="s">
        <v>3</v>
      </c>
      <c r="BJ526" t="s">
        <v>3363</v>
      </c>
      <c r="BK526" t="s">
        <v>3</v>
      </c>
      <c r="BL526" t="s">
        <v>132</v>
      </c>
      <c r="BM526" t="s">
        <v>1</v>
      </c>
      <c r="BN526">
        <f>Tabla1[[#This Row],[precio del paquete]]</f>
        <v>14800</v>
      </c>
      <c r="BO526" t="s">
        <v>1</v>
      </c>
      <c r="BP526" t="s">
        <v>1</v>
      </c>
      <c r="BQ526" t="s">
        <v>1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0</v>
      </c>
      <c r="BX526" t="s">
        <v>1</v>
      </c>
      <c r="BY526" t="s">
        <v>1</v>
      </c>
      <c r="BZ526" t="s">
        <v>1</v>
      </c>
      <c r="CA526" t="s">
        <v>1</v>
      </c>
      <c r="CB526" t="s">
        <v>3382</v>
      </c>
      <c r="CD526" t="str" cm="1">
        <f t="array" aca="1" ref="CD526" ca="1">eConcatenar(A526:CB526,"|")</f>
        <v>upBxKj7Zh5daObpJ|CAR2021-5475|3|MEMORIAL|TABASCO|CARDENAS|CARDENAS|2021-09-21|14800|0|100|50|1|0|0|0|0|0|0|0|0|0|0||0|0|0|MAYO|LOPEZ|HERMELINDA|SOLTERO|X|X|CALLE CINCO SIN NUMERO |POBLADO C-15 ADOLFO LOPEZ MATEO|X|9371034620|X|X|X|CALLE CINCO SIN NUMERO |X|LUNES|x|x|x|x|x|DOMICILIO |700|14100|X|X|X|2021-11-02|2021-11-09|x|x|x|x|x|QX002LUS9KVTQO|x|HOMBRE|X|14800|X|X|X|X|X|X|X|X|CARDENAS|X|X|X|X|FINAL</v>
      </c>
    </row>
    <row r="527" spans="1:82" x14ac:dyDescent="0.25">
      <c r="A527" t="s">
        <v>1159</v>
      </c>
      <c r="B527" t="s">
        <v>1160</v>
      </c>
      <c r="C527">
        <v>3</v>
      </c>
      <c r="D527" t="s">
        <v>1372</v>
      </c>
      <c r="E527" t="s">
        <v>1380</v>
      </c>
      <c r="F527" t="s">
        <v>0</v>
      </c>
      <c r="G527" t="s">
        <v>0</v>
      </c>
      <c r="H527" t="s">
        <v>1650</v>
      </c>
      <c r="I527">
        <v>12900</v>
      </c>
      <c r="J527">
        <v>0</v>
      </c>
      <c r="K527">
        <v>200</v>
      </c>
      <c r="L527">
        <v>50</v>
      </c>
      <c r="M527">
        <v>1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Y527">
        <v>0</v>
      </c>
      <c r="Z527">
        <v>0</v>
      </c>
      <c r="AA527">
        <v>0</v>
      </c>
      <c r="AB527" t="s">
        <v>2011</v>
      </c>
      <c r="AC527" t="s">
        <v>1810</v>
      </c>
      <c r="AD527" t="s">
        <v>2347</v>
      </c>
      <c r="AE527" t="s">
        <v>4</v>
      </c>
      <c r="AF527" t="s">
        <v>1</v>
      </c>
      <c r="AG527" t="s">
        <v>1</v>
      </c>
      <c r="AH527" t="s">
        <v>2735</v>
      </c>
      <c r="AI527" t="s">
        <v>3056</v>
      </c>
      <c r="AJ527" t="s">
        <v>1</v>
      </c>
      <c r="AK527">
        <v>9381422661</v>
      </c>
      <c r="AL527" t="s">
        <v>1</v>
      </c>
      <c r="AM527" t="s">
        <v>1</v>
      </c>
      <c r="AN527" t="s">
        <v>1</v>
      </c>
      <c r="AO527" t="s">
        <v>2735</v>
      </c>
      <c r="AP527" t="s">
        <v>1</v>
      </c>
      <c r="AQ527" t="s">
        <v>2</v>
      </c>
      <c r="AR527" t="s">
        <v>3</v>
      </c>
      <c r="AS527" t="s">
        <v>3</v>
      </c>
      <c r="AT527" t="s">
        <v>3</v>
      </c>
      <c r="AU527" t="s">
        <v>3</v>
      </c>
      <c r="AV527" t="s">
        <v>3</v>
      </c>
      <c r="AW527" t="s">
        <v>11</v>
      </c>
      <c r="AX527">
        <f>Tabla1[[#This Row],[precio del paquete]]-Tabla1[[#This Row],[Saldo_Deudor]]</f>
        <v>1400</v>
      </c>
      <c r="AY527">
        <v>11500</v>
      </c>
      <c r="AZ527" t="s">
        <v>1</v>
      </c>
      <c r="BA527" t="s">
        <v>1</v>
      </c>
      <c r="BB527" t="s">
        <v>1</v>
      </c>
      <c r="BC527" t="s">
        <v>3291</v>
      </c>
      <c r="BD527" t="s">
        <v>1662</v>
      </c>
      <c r="BE527" t="s">
        <v>3</v>
      </c>
      <c r="BF527" t="s">
        <v>3</v>
      </c>
      <c r="BG527" t="s">
        <v>3</v>
      </c>
      <c r="BH527" t="s">
        <v>3</v>
      </c>
      <c r="BI527" t="s">
        <v>3</v>
      </c>
      <c r="BJ527" t="s">
        <v>3363</v>
      </c>
      <c r="BK527" t="s">
        <v>3</v>
      </c>
      <c r="BL527" t="s">
        <v>132</v>
      </c>
      <c r="BM527" t="s">
        <v>1</v>
      </c>
      <c r="BN527">
        <f>Tabla1[[#This Row],[precio del paquete]]</f>
        <v>12900</v>
      </c>
      <c r="BO527" t="s">
        <v>1</v>
      </c>
      <c r="BP527" t="s">
        <v>1</v>
      </c>
      <c r="BQ527" t="s">
        <v>1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0</v>
      </c>
      <c r="BX527" t="s">
        <v>1</v>
      </c>
      <c r="BY527" t="s">
        <v>1</v>
      </c>
      <c r="BZ527" t="s">
        <v>1</v>
      </c>
      <c r="CA527" t="s">
        <v>1</v>
      </c>
      <c r="CB527" t="s">
        <v>3382</v>
      </c>
      <c r="CD527" t="str" cm="1">
        <f t="array" aca="1" ref="CD527" ca="1">eConcatenar(A527:CB527,"|")</f>
        <v>wT1fhLWRAdYm7EpJ|CAR2020-2268|3|IMPERIAL DE LUJO|TABASCO|CARDENAS|CARDENAS|2020-08-10|12900|0|200|50|1|0|0|0|0|0|0|0|0|0|0||0|0|0|ALEJANDRO|CRUZ|JESSICA|SOLTERO|X|X|CALLE PRINCIPAL|RANCHERIA ARROYO HONDO ABEJONAL|X|9381422661|X|X|X|CALLE PRINCIPAL|X|LUNES|x|x|x|x|x|DOMICILIO |1400|11500|X|X|X|2021-01-19|2021-01-26|x|x|x|x|x|QX002LUS9KVTQO|x|HOMBRE|X|12900|X|X|X|X|X|X|X|X|CARDENAS|X|X|X|X|FINAL</v>
      </c>
    </row>
    <row r="528" spans="1:82" x14ac:dyDescent="0.25">
      <c r="A528" t="s">
        <v>1161</v>
      </c>
      <c r="B528" t="s">
        <v>1162</v>
      </c>
      <c r="C528">
        <v>3</v>
      </c>
      <c r="D528" t="s">
        <v>1378</v>
      </c>
      <c r="E528" t="s">
        <v>1380</v>
      </c>
      <c r="F528" t="s">
        <v>0</v>
      </c>
      <c r="G528" t="s">
        <v>0</v>
      </c>
      <c r="H528" t="s">
        <v>1651</v>
      </c>
      <c r="I528">
        <v>31500</v>
      </c>
      <c r="J528">
        <v>0</v>
      </c>
      <c r="K528">
        <v>200</v>
      </c>
      <c r="L528">
        <v>50</v>
      </c>
      <c r="M528">
        <v>1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Y528">
        <v>0</v>
      </c>
      <c r="Z528">
        <v>0</v>
      </c>
      <c r="AA528">
        <v>0</v>
      </c>
      <c r="AB528" t="s">
        <v>1703</v>
      </c>
      <c r="AC528" t="s">
        <v>2333</v>
      </c>
      <c r="AD528" t="s">
        <v>2318</v>
      </c>
      <c r="AE528" t="s">
        <v>4</v>
      </c>
      <c r="AF528" t="s">
        <v>1</v>
      </c>
      <c r="AG528" t="s">
        <v>1</v>
      </c>
      <c r="AH528" t="s">
        <v>2889</v>
      </c>
      <c r="AI528" t="s">
        <v>3086</v>
      </c>
      <c r="AJ528" t="s">
        <v>1</v>
      </c>
      <c r="AK528">
        <v>9993183060</v>
      </c>
      <c r="AL528" t="s">
        <v>1</v>
      </c>
      <c r="AM528" t="s">
        <v>1</v>
      </c>
      <c r="AN528" t="s">
        <v>1</v>
      </c>
      <c r="AO528" t="s">
        <v>2889</v>
      </c>
      <c r="AP528" t="s">
        <v>1</v>
      </c>
      <c r="AQ528" t="s">
        <v>2</v>
      </c>
      <c r="AR528" t="s">
        <v>3</v>
      </c>
      <c r="AS528" t="s">
        <v>3</v>
      </c>
      <c r="AT528" t="s">
        <v>3</v>
      </c>
      <c r="AU528" t="s">
        <v>3</v>
      </c>
      <c r="AV528" t="s">
        <v>3</v>
      </c>
      <c r="AW528" t="s">
        <v>11</v>
      </c>
      <c r="AX528">
        <f>Tabla1[[#This Row],[precio del paquete]]-Tabla1[[#This Row],[Saldo_Deudor]]</f>
        <v>600</v>
      </c>
      <c r="AY528">
        <v>30900</v>
      </c>
      <c r="AZ528" t="s">
        <v>1</v>
      </c>
      <c r="BA528" t="s">
        <v>1</v>
      </c>
      <c r="BB528" t="s">
        <v>1</v>
      </c>
      <c r="BC528" t="s">
        <v>1651</v>
      </c>
      <c r="BD528" t="s">
        <v>1446</v>
      </c>
      <c r="BE528" t="s">
        <v>3</v>
      </c>
      <c r="BF528" t="s">
        <v>3</v>
      </c>
      <c r="BG528" t="s">
        <v>3</v>
      </c>
      <c r="BH528" t="s">
        <v>3</v>
      </c>
      <c r="BI528" t="s">
        <v>3</v>
      </c>
      <c r="BJ528" t="s">
        <v>3363</v>
      </c>
      <c r="BK528" t="s">
        <v>3</v>
      </c>
      <c r="BL528" t="s">
        <v>132</v>
      </c>
      <c r="BM528" t="s">
        <v>1</v>
      </c>
      <c r="BN528">
        <f>Tabla1[[#This Row],[precio del paquete]]</f>
        <v>31500</v>
      </c>
      <c r="BO528" t="s">
        <v>1</v>
      </c>
      <c r="BP528" t="s">
        <v>1</v>
      </c>
      <c r="BQ528" t="s">
        <v>1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0</v>
      </c>
      <c r="BX528" t="s">
        <v>1</v>
      </c>
      <c r="BY528" t="s">
        <v>1</v>
      </c>
      <c r="BZ528" t="s">
        <v>1</v>
      </c>
      <c r="CA528" t="s">
        <v>1</v>
      </c>
      <c r="CB528" t="s">
        <v>3382</v>
      </c>
      <c r="CD528" t="str" cm="1">
        <f t="array" aca="1" ref="CD528" ca="1">eConcatenar(A528:CB528,"|")</f>
        <v>gNauXVsA1ZVyDBmS|CAR2020-0683|3|PRESIDENCIAL|TABASCO|CARDENAS|CARDENAS|2020-03-02|31500|0|200|50|1|0|0|0|0|0|0|0|0|0|0||0|0|0|RAMOS|HIDALGO|BEATRIZ|SOLTERO|X|X|CALLE MOCTEZUMA NUMERO 264 ALTOS|COLONIA CARDENAS CENTRO|X|9993183060|X|X|X|CALLE MOCTEZUMA NUMERO 264 ALTOS|X|LUNES|x|x|x|x|x|DOMICILIO |600|30900|X|X|X|2020-03-02|2020-03-09|x|x|x|x|x|QX002LUS9KVTQO|x|HOMBRE|X|31500|X|X|X|X|X|X|X|X|CARDENAS|X|X|X|X|FINAL</v>
      </c>
    </row>
    <row r="529" spans="1:82" x14ac:dyDescent="0.25">
      <c r="A529" t="s">
        <v>1163</v>
      </c>
      <c r="B529" t="s">
        <v>1164</v>
      </c>
      <c r="C529">
        <v>3</v>
      </c>
      <c r="D529" t="s">
        <v>1373</v>
      </c>
      <c r="E529" t="s">
        <v>1380</v>
      </c>
      <c r="F529" t="s">
        <v>0</v>
      </c>
      <c r="G529" t="s">
        <v>0</v>
      </c>
      <c r="H529" t="s">
        <v>1576</v>
      </c>
      <c r="I529">
        <v>19800</v>
      </c>
      <c r="J529">
        <v>0</v>
      </c>
      <c r="K529">
        <v>200</v>
      </c>
      <c r="L529">
        <v>50</v>
      </c>
      <c r="M529">
        <v>1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Y529">
        <v>0</v>
      </c>
      <c r="Z529">
        <v>0</v>
      </c>
      <c r="AA529">
        <v>0</v>
      </c>
      <c r="AB529" t="s">
        <v>1744</v>
      </c>
      <c r="AC529" t="s">
        <v>7</v>
      </c>
      <c r="AD529" t="s">
        <v>2144</v>
      </c>
      <c r="AE529" t="s">
        <v>4</v>
      </c>
      <c r="AF529" t="s">
        <v>1</v>
      </c>
      <c r="AG529" t="s">
        <v>1</v>
      </c>
      <c r="AH529" t="s">
        <v>2890</v>
      </c>
      <c r="AI529" t="s">
        <v>2600</v>
      </c>
      <c r="AJ529" t="s">
        <v>1</v>
      </c>
      <c r="AK529">
        <v>9932753415</v>
      </c>
      <c r="AL529" t="s">
        <v>1</v>
      </c>
      <c r="AM529" t="s">
        <v>1</v>
      </c>
      <c r="AN529" t="s">
        <v>1</v>
      </c>
      <c r="AO529" t="s">
        <v>2890</v>
      </c>
      <c r="AP529" t="s">
        <v>1</v>
      </c>
      <c r="AQ529" t="s">
        <v>2</v>
      </c>
      <c r="AR529" t="s">
        <v>3</v>
      </c>
      <c r="AS529" t="s">
        <v>3</v>
      </c>
      <c r="AT529" t="s">
        <v>3</v>
      </c>
      <c r="AU529" t="s">
        <v>3</v>
      </c>
      <c r="AV529" t="s">
        <v>3</v>
      </c>
      <c r="AW529" t="s">
        <v>11</v>
      </c>
      <c r="AX529">
        <f>Tabla1[[#This Row],[precio del paquete]]-Tabla1[[#This Row],[Saldo_Deudor]]</f>
        <v>1500</v>
      </c>
      <c r="AY529">
        <v>18300</v>
      </c>
      <c r="AZ529" t="s">
        <v>1</v>
      </c>
      <c r="BA529" t="s">
        <v>1</v>
      </c>
      <c r="BB529" t="s">
        <v>1</v>
      </c>
      <c r="BC529" t="s">
        <v>3292</v>
      </c>
      <c r="BD529" t="s">
        <v>1670</v>
      </c>
      <c r="BE529" t="s">
        <v>3</v>
      </c>
      <c r="BF529" t="s">
        <v>3</v>
      </c>
      <c r="BG529" t="s">
        <v>3</v>
      </c>
      <c r="BH529" t="s">
        <v>3</v>
      </c>
      <c r="BI529" t="s">
        <v>3</v>
      </c>
      <c r="BJ529" t="s">
        <v>3363</v>
      </c>
      <c r="BK529" t="s">
        <v>3</v>
      </c>
      <c r="BL529" t="s">
        <v>132</v>
      </c>
      <c r="BM529" t="s">
        <v>1</v>
      </c>
      <c r="BN529">
        <f>Tabla1[[#This Row],[precio del paquete]]</f>
        <v>19800</v>
      </c>
      <c r="BO529" t="s">
        <v>1</v>
      </c>
      <c r="BP529" t="s">
        <v>1</v>
      </c>
      <c r="BQ529" t="s">
        <v>1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0</v>
      </c>
      <c r="BX529" t="s">
        <v>1</v>
      </c>
      <c r="BY529" t="s">
        <v>1</v>
      </c>
      <c r="BZ529" t="s">
        <v>1</v>
      </c>
      <c r="CA529" t="s">
        <v>1</v>
      </c>
      <c r="CB529" t="s">
        <v>3382</v>
      </c>
      <c r="CD529" t="str" cm="1">
        <f t="array" aca="1" ref="CD529" ca="1">eConcatenar(A529:CB529,"|")</f>
        <v>BjCkrK6jg2G9A0hN|CAR2020-0670|3|ZAFIRO|TABASCO|CARDENAS|CARDENAS|2020-02-28|19800|0|200|50|1|0|0|0|0|0|0|0|0|0|0||0|0|0|PEREZ|LOPEZ|JOSE MANUEL|SOLTERO|X|X|CALLE ARABIA 2 |COLONIA JACINTO LOPEZ|X|9932753415|X|X|X|CALLE ARABIA 2 |X|LUNES|x|x|x|x|x|DOMICILIO |1500|18300|X|X|X|2020-10-20|2020-10-27|x|x|x|x|x|QX002LUS9KVTQO|x|HOMBRE|X|19800|X|X|X|X|X|X|X|X|CARDENAS|X|X|X|X|FINAL</v>
      </c>
    </row>
    <row r="530" spans="1:82" x14ac:dyDescent="0.25">
      <c r="A530" t="s">
        <v>1165</v>
      </c>
      <c r="B530" t="s">
        <v>1166</v>
      </c>
      <c r="C530">
        <v>3</v>
      </c>
      <c r="D530" t="s">
        <v>1372</v>
      </c>
      <c r="E530" t="s">
        <v>1380</v>
      </c>
      <c r="F530" t="s">
        <v>0</v>
      </c>
      <c r="G530" t="s">
        <v>0</v>
      </c>
      <c r="H530" t="s">
        <v>1652</v>
      </c>
      <c r="I530">
        <v>12900</v>
      </c>
      <c r="J530">
        <v>0</v>
      </c>
      <c r="K530">
        <v>200</v>
      </c>
      <c r="L530">
        <v>50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Y530">
        <v>0</v>
      </c>
      <c r="Z530">
        <v>0</v>
      </c>
      <c r="AA530">
        <v>0</v>
      </c>
      <c r="AB530" t="s">
        <v>1695</v>
      </c>
      <c r="AC530" t="s">
        <v>1731</v>
      </c>
      <c r="AD530" t="s">
        <v>2348</v>
      </c>
      <c r="AE530" t="s">
        <v>4</v>
      </c>
      <c r="AF530" t="s">
        <v>1</v>
      </c>
      <c r="AG530" t="s">
        <v>1</v>
      </c>
      <c r="AH530" t="s">
        <v>2891</v>
      </c>
      <c r="AI530" t="s">
        <v>2600</v>
      </c>
      <c r="AJ530" t="s">
        <v>1</v>
      </c>
      <c r="AK530">
        <v>9372834226</v>
      </c>
      <c r="AL530" t="s">
        <v>1</v>
      </c>
      <c r="AM530" t="s">
        <v>1</v>
      </c>
      <c r="AN530" t="s">
        <v>1</v>
      </c>
      <c r="AO530" t="s">
        <v>2891</v>
      </c>
      <c r="AP530" t="s">
        <v>1</v>
      </c>
      <c r="AQ530" t="s">
        <v>2</v>
      </c>
      <c r="AR530" t="s">
        <v>3</v>
      </c>
      <c r="AS530" t="s">
        <v>3</v>
      </c>
      <c r="AT530" t="s">
        <v>3</v>
      </c>
      <c r="AU530" t="s">
        <v>3</v>
      </c>
      <c r="AV530" t="s">
        <v>3</v>
      </c>
      <c r="AW530" t="s">
        <v>11</v>
      </c>
      <c r="AX530">
        <f>Tabla1[[#This Row],[precio del paquete]]-Tabla1[[#This Row],[Saldo_Deudor]]</f>
        <v>400</v>
      </c>
      <c r="AY530">
        <v>12500</v>
      </c>
      <c r="AZ530" t="s">
        <v>1</v>
      </c>
      <c r="BA530" t="s">
        <v>1</v>
      </c>
      <c r="BB530" t="s">
        <v>1</v>
      </c>
      <c r="BC530" t="s">
        <v>3292</v>
      </c>
      <c r="BD530" t="s">
        <v>1670</v>
      </c>
      <c r="BE530" t="s">
        <v>3</v>
      </c>
      <c r="BF530" t="s">
        <v>3</v>
      </c>
      <c r="BG530" t="s">
        <v>3</v>
      </c>
      <c r="BH530" t="s">
        <v>3</v>
      </c>
      <c r="BI530" t="s">
        <v>3</v>
      </c>
      <c r="BJ530" t="s">
        <v>3363</v>
      </c>
      <c r="BK530" t="s">
        <v>3</v>
      </c>
      <c r="BL530" t="s">
        <v>132</v>
      </c>
      <c r="BM530" t="s">
        <v>1</v>
      </c>
      <c r="BN530">
        <f>Tabla1[[#This Row],[precio del paquete]]</f>
        <v>12900</v>
      </c>
      <c r="BO530" t="s">
        <v>1</v>
      </c>
      <c r="BP530" t="s">
        <v>1</v>
      </c>
      <c r="BQ530" t="s">
        <v>1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0</v>
      </c>
      <c r="BX530" t="s">
        <v>1</v>
      </c>
      <c r="BY530" t="s">
        <v>1</v>
      </c>
      <c r="BZ530" t="s">
        <v>1</v>
      </c>
      <c r="CA530" t="s">
        <v>1</v>
      </c>
      <c r="CB530" t="s">
        <v>3382</v>
      </c>
      <c r="CD530" t="str" cm="1">
        <f t="array" aca="1" ref="CD530" ca="1">eConcatenar(A530:CB530,"|")</f>
        <v>S4DtAzBoRlQjElPR|CAR2020-2836|3|IMPERIAL DE LUJO|TABASCO|CARDENAS|CARDENAS|2020-09-01|12900|0|200|50|1|0|0|0|0|0|0|0|0|0|0||0|0|0|MORALES|GARCIA|JOSE JESUS|SOLTERO|X|X|CALLE RUMANIA |COLONIA JACINTO LOPEZ|X|9372834226|X|X|X|CALLE RUMANIA |X|LUNES|x|x|x|x|x|DOMICILIO |400|12500|X|X|X|2020-10-20|2020-10-27|x|x|x|x|x|QX002LUS9KVTQO|x|HOMBRE|X|12900|X|X|X|X|X|X|X|X|CARDENAS|X|X|X|X|FINAL</v>
      </c>
    </row>
    <row r="531" spans="1:82" x14ac:dyDescent="0.25">
      <c r="A531" t="s">
        <v>1167</v>
      </c>
      <c r="B531" t="s">
        <v>1168</v>
      </c>
      <c r="C531">
        <v>3</v>
      </c>
      <c r="D531" t="s">
        <v>1372</v>
      </c>
      <c r="E531" t="s">
        <v>1380</v>
      </c>
      <c r="F531" t="s">
        <v>0</v>
      </c>
      <c r="G531" t="s">
        <v>0</v>
      </c>
      <c r="H531" t="s">
        <v>1594</v>
      </c>
      <c r="I531">
        <v>12900</v>
      </c>
      <c r="J531">
        <v>0</v>
      </c>
      <c r="K531">
        <v>200</v>
      </c>
      <c r="L531">
        <v>50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Y531">
        <v>0</v>
      </c>
      <c r="Z531">
        <v>0</v>
      </c>
      <c r="AA531">
        <v>0</v>
      </c>
      <c r="AB531" t="s">
        <v>2064</v>
      </c>
      <c r="AC531" t="s">
        <v>1849</v>
      </c>
      <c r="AD531" t="s">
        <v>2349</v>
      </c>
      <c r="AE531" t="s">
        <v>4</v>
      </c>
      <c r="AF531" t="s">
        <v>1</v>
      </c>
      <c r="AG531" t="s">
        <v>1</v>
      </c>
      <c r="AH531" t="s">
        <v>2892</v>
      </c>
      <c r="AI531" t="s">
        <v>3056</v>
      </c>
      <c r="AJ531" t="s">
        <v>1</v>
      </c>
      <c r="AK531">
        <v>9371082386</v>
      </c>
      <c r="AL531" t="s">
        <v>1</v>
      </c>
      <c r="AM531" t="s">
        <v>1</v>
      </c>
      <c r="AN531" t="s">
        <v>1</v>
      </c>
      <c r="AO531" t="s">
        <v>2892</v>
      </c>
      <c r="AP531" t="s">
        <v>1</v>
      </c>
      <c r="AQ531" t="s">
        <v>2</v>
      </c>
      <c r="AR531" t="s">
        <v>3</v>
      </c>
      <c r="AS531" t="s">
        <v>3</v>
      </c>
      <c r="AT531" t="s">
        <v>3</v>
      </c>
      <c r="AU531" t="s">
        <v>3</v>
      </c>
      <c r="AV531" t="s">
        <v>3</v>
      </c>
      <c r="AW531" t="s">
        <v>11</v>
      </c>
      <c r="AX531">
        <f>Tabla1[[#This Row],[precio del paquete]]-Tabla1[[#This Row],[Saldo_Deudor]]</f>
        <v>900</v>
      </c>
      <c r="AY531">
        <v>12000</v>
      </c>
      <c r="AZ531" t="s">
        <v>1</v>
      </c>
      <c r="BA531" t="s">
        <v>1</v>
      </c>
      <c r="BB531" t="s">
        <v>1</v>
      </c>
      <c r="BC531" t="s">
        <v>1559</v>
      </c>
      <c r="BD531" t="s">
        <v>1488</v>
      </c>
      <c r="BE531" t="s">
        <v>3</v>
      </c>
      <c r="BF531" t="s">
        <v>3</v>
      </c>
      <c r="BG531" t="s">
        <v>3</v>
      </c>
      <c r="BH531" t="s">
        <v>3</v>
      </c>
      <c r="BI531" t="s">
        <v>3</v>
      </c>
      <c r="BJ531" t="s">
        <v>3363</v>
      </c>
      <c r="BK531" t="s">
        <v>3</v>
      </c>
      <c r="BL531" t="s">
        <v>132</v>
      </c>
      <c r="BM531" t="s">
        <v>1</v>
      </c>
      <c r="BN531">
        <f>Tabla1[[#This Row],[precio del paquete]]</f>
        <v>12900</v>
      </c>
      <c r="BO531" t="s">
        <v>1</v>
      </c>
      <c r="BP531" t="s">
        <v>1</v>
      </c>
      <c r="BQ531" t="s">
        <v>1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0</v>
      </c>
      <c r="BX531" t="s">
        <v>1</v>
      </c>
      <c r="BY531" t="s">
        <v>1</v>
      </c>
      <c r="BZ531" t="s">
        <v>1</v>
      </c>
      <c r="CA531" t="s">
        <v>1</v>
      </c>
      <c r="CB531" t="s">
        <v>3382</v>
      </c>
      <c r="CD531" t="str" cm="1">
        <f t="array" aca="1" ref="CD531" ca="1">eConcatenar(A531:CB531,"|")</f>
        <v>j9sLSqaJrAfaDhxu|CAR2020-1894|3|IMPERIAL DE LUJO|TABASCO|CARDENAS|CARDENAS|2020-07-27|12900|0|200|50|1|0|0|0|0|0|0|0|0|0|0||0|0|0|MONTIEL|MAYO|MARISELA|SOLTERO|X|X|ENTRADA LA VIA SIN NUMERO|RANCHERIA ARROYO HONDO ABEJONAL|X|9371082386|X|X|X|ENTRADA LA VIA SIN NUMERO|X|LUNES|x|x|x|x|x|DOMICILIO |900|12000|X|X|X|2020-10-06|2020-10-13|x|x|x|x|x|QX002LUS9KVTQO|x|HOMBRE|X|12900|X|X|X|X|X|X|X|X|CARDENAS|X|X|X|X|FINAL</v>
      </c>
    </row>
    <row r="532" spans="1:82" x14ac:dyDescent="0.25">
      <c r="A532" t="s">
        <v>1169</v>
      </c>
      <c r="B532" t="s">
        <v>1170</v>
      </c>
      <c r="C532">
        <v>3</v>
      </c>
      <c r="D532" t="s">
        <v>1372</v>
      </c>
      <c r="E532" t="s">
        <v>1380</v>
      </c>
      <c r="F532" t="s">
        <v>0</v>
      </c>
      <c r="G532" t="s">
        <v>0</v>
      </c>
      <c r="H532" t="s">
        <v>1646</v>
      </c>
      <c r="I532">
        <v>12900</v>
      </c>
      <c r="J532">
        <v>0</v>
      </c>
      <c r="K532">
        <v>200</v>
      </c>
      <c r="L532">
        <v>50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Y532">
        <v>0</v>
      </c>
      <c r="Z532">
        <v>0</v>
      </c>
      <c r="AA532">
        <v>0</v>
      </c>
      <c r="AB532" t="s">
        <v>1783</v>
      </c>
      <c r="AC532" t="s">
        <v>2238</v>
      </c>
      <c r="AD532" t="s">
        <v>2350</v>
      </c>
      <c r="AE532" t="s">
        <v>4</v>
      </c>
      <c r="AF532" t="s">
        <v>1</v>
      </c>
      <c r="AG532" t="s">
        <v>1</v>
      </c>
      <c r="AH532" t="s">
        <v>2893</v>
      </c>
      <c r="AI532" t="s">
        <v>3203</v>
      </c>
      <c r="AJ532" t="s">
        <v>1</v>
      </c>
      <c r="AK532">
        <v>9371242937</v>
      </c>
      <c r="AL532" t="s">
        <v>1</v>
      </c>
      <c r="AM532" t="s">
        <v>1</v>
      </c>
      <c r="AN532" t="s">
        <v>1</v>
      </c>
      <c r="AO532" t="s">
        <v>2893</v>
      </c>
      <c r="AP532" t="s">
        <v>1</v>
      </c>
      <c r="AQ532" t="s">
        <v>2</v>
      </c>
      <c r="AR532" t="s">
        <v>3</v>
      </c>
      <c r="AS532" t="s">
        <v>3</v>
      </c>
      <c r="AT532" t="s">
        <v>3</v>
      </c>
      <c r="AU532" t="s">
        <v>3</v>
      </c>
      <c r="AV532" t="s">
        <v>3</v>
      </c>
      <c r="AW532" t="s">
        <v>11</v>
      </c>
      <c r="AX532">
        <f>Tabla1[[#This Row],[precio del paquete]]-Tabla1[[#This Row],[Saldo_Deudor]]</f>
        <v>4000</v>
      </c>
      <c r="AY532">
        <v>8900</v>
      </c>
      <c r="AZ532" t="s">
        <v>1</v>
      </c>
      <c r="BA532" t="s">
        <v>1</v>
      </c>
      <c r="BB532" t="s">
        <v>1</v>
      </c>
      <c r="BC532" t="s">
        <v>3293</v>
      </c>
      <c r="BD532" t="s">
        <v>3298</v>
      </c>
      <c r="BE532" t="s">
        <v>3</v>
      </c>
      <c r="BF532" t="s">
        <v>3</v>
      </c>
      <c r="BG532" t="s">
        <v>3</v>
      </c>
      <c r="BH532" t="s">
        <v>3</v>
      </c>
      <c r="BI532" t="s">
        <v>3</v>
      </c>
      <c r="BJ532" t="s">
        <v>3363</v>
      </c>
      <c r="BK532" t="s">
        <v>3</v>
      </c>
      <c r="BL532" t="s">
        <v>132</v>
      </c>
      <c r="BM532" t="s">
        <v>1</v>
      </c>
      <c r="BN532">
        <f>Tabla1[[#This Row],[precio del paquete]]</f>
        <v>12900</v>
      </c>
      <c r="BO532" t="s">
        <v>1</v>
      </c>
      <c r="BP532" t="s">
        <v>1</v>
      </c>
      <c r="BQ532" t="s">
        <v>1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0</v>
      </c>
      <c r="BX532" t="s">
        <v>1</v>
      </c>
      <c r="BY532" t="s">
        <v>1</v>
      </c>
      <c r="BZ532" t="s">
        <v>1</v>
      </c>
      <c r="CA532" t="s">
        <v>1</v>
      </c>
      <c r="CB532" t="s">
        <v>3382</v>
      </c>
      <c r="CD532" t="str" cm="1">
        <f t="array" aca="1" ref="CD532" ca="1">eConcatenar(A532:CB532,"|")</f>
        <v>f5SbyEuB003l5nqL|CAR2020-4249|3|IMPERIAL DE LUJO|TABASCO|CARDENAS|CARDENAS|2020-10-23|12900|0|200|50|1|0|0|0|0|0|0|0|0|0|0||0|0|0|MENDEZ|BARAHONA|TOMASA|SOLTERO|X|X|CARRETERA CARDENAS - COATZACOALCOS SIN NUMERO|EJIDO ZAPOTAL QUINTA SECCION|X|9371242937|X|X|X|CARRETERA CARDENAS - COATZACOALCOS SIN NUMERO|X|LUNES|x|x|x|x|x|DOMICILIO |4000|8900|X|X|X|2021-08-02|2021-08-09|x|x|x|x|x|QX002LUS9KVTQO|x|HOMBRE|X|12900|X|X|X|X|X|X|X|X|CARDENAS|X|X|X|X|FINAL</v>
      </c>
    </row>
    <row r="533" spans="1:82" x14ac:dyDescent="0.25">
      <c r="A533" t="s">
        <v>1171</v>
      </c>
      <c r="B533" t="s">
        <v>1172</v>
      </c>
      <c r="C533">
        <v>3</v>
      </c>
      <c r="D533" t="s">
        <v>1372</v>
      </c>
      <c r="E533" t="s">
        <v>1380</v>
      </c>
      <c r="F533" t="s">
        <v>0</v>
      </c>
      <c r="G533" t="s">
        <v>0</v>
      </c>
      <c r="H533" t="s">
        <v>1646</v>
      </c>
      <c r="I533">
        <v>12900</v>
      </c>
      <c r="J533">
        <v>0</v>
      </c>
      <c r="K533">
        <v>200</v>
      </c>
      <c r="L533">
        <v>50</v>
      </c>
      <c r="M533">
        <v>1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Y533">
        <v>0</v>
      </c>
      <c r="Z533">
        <v>0</v>
      </c>
      <c r="AA533">
        <v>0</v>
      </c>
      <c r="AB533" t="s">
        <v>2064</v>
      </c>
      <c r="AC533" t="s">
        <v>2351</v>
      </c>
      <c r="AD533" t="s">
        <v>2210</v>
      </c>
      <c r="AE533" t="s">
        <v>4</v>
      </c>
      <c r="AF533" t="s">
        <v>1</v>
      </c>
      <c r="AG533" t="s">
        <v>1</v>
      </c>
      <c r="AH533" t="s">
        <v>2894</v>
      </c>
      <c r="AI533" t="s">
        <v>3200</v>
      </c>
      <c r="AJ533" t="s">
        <v>1</v>
      </c>
      <c r="AK533">
        <v>9373698270</v>
      </c>
      <c r="AL533" t="s">
        <v>1</v>
      </c>
      <c r="AM533" t="s">
        <v>1</v>
      </c>
      <c r="AN533" t="s">
        <v>1</v>
      </c>
      <c r="AO533" t="s">
        <v>2894</v>
      </c>
      <c r="AP533" t="s">
        <v>1</v>
      </c>
      <c r="AQ533" t="s">
        <v>2</v>
      </c>
      <c r="AR533" t="s">
        <v>3</v>
      </c>
      <c r="AS533" t="s">
        <v>3</v>
      </c>
      <c r="AT533" t="s">
        <v>3</v>
      </c>
      <c r="AU533" t="s">
        <v>3</v>
      </c>
      <c r="AV533" t="s">
        <v>3</v>
      </c>
      <c r="AW533" t="s">
        <v>11</v>
      </c>
      <c r="AX533">
        <f>Tabla1[[#This Row],[precio del paquete]]-Tabla1[[#This Row],[Saldo_Deudor]]</f>
        <v>1800</v>
      </c>
      <c r="AY533">
        <v>11100</v>
      </c>
      <c r="AZ533" t="s">
        <v>1</v>
      </c>
      <c r="BA533" t="s">
        <v>1</v>
      </c>
      <c r="BB533" t="s">
        <v>1</v>
      </c>
      <c r="BC533" t="s">
        <v>3294</v>
      </c>
      <c r="BD533" t="s">
        <v>3333</v>
      </c>
      <c r="BE533" t="s">
        <v>3</v>
      </c>
      <c r="BF533" t="s">
        <v>3</v>
      </c>
      <c r="BG533" t="s">
        <v>3</v>
      </c>
      <c r="BH533" t="s">
        <v>3</v>
      </c>
      <c r="BI533" t="s">
        <v>3</v>
      </c>
      <c r="BJ533" t="s">
        <v>3363</v>
      </c>
      <c r="BK533" t="s">
        <v>3</v>
      </c>
      <c r="BL533" t="s">
        <v>132</v>
      </c>
      <c r="BM533" t="s">
        <v>1</v>
      </c>
      <c r="BN533">
        <f>Tabla1[[#This Row],[precio del paquete]]</f>
        <v>12900</v>
      </c>
      <c r="BO533" t="s">
        <v>1</v>
      </c>
      <c r="BP533" t="s">
        <v>1</v>
      </c>
      <c r="BQ533" t="s">
        <v>1</v>
      </c>
      <c r="BR533" t="s">
        <v>1</v>
      </c>
      <c r="BS533" t="s">
        <v>1</v>
      </c>
      <c r="BT533" t="s">
        <v>1</v>
      </c>
      <c r="BU533" t="s">
        <v>1</v>
      </c>
      <c r="BV533" t="s">
        <v>1</v>
      </c>
      <c r="BW533" t="s">
        <v>0</v>
      </c>
      <c r="BX533" t="s">
        <v>1</v>
      </c>
      <c r="BY533" t="s">
        <v>1</v>
      </c>
      <c r="BZ533" t="s">
        <v>1</v>
      </c>
      <c r="CA533" t="s">
        <v>1</v>
      </c>
      <c r="CB533" t="s">
        <v>3382</v>
      </c>
      <c r="CD533" t="str" cm="1">
        <f t="array" aca="1" ref="CD533" ca="1">eConcatenar(A533:CB533,"|")</f>
        <v>ewuNNvobQzBrTUzN|CAR2020-4246|3|IMPERIAL DE LUJO|TABASCO|CARDENAS|CARDENAS|2020-10-23|12900|0|200|50|1|0|0|0|0|0|0|0|0|0|0||0|0|0|MONTIEL|ESTEBAN|GRACIELA|SOLTERO|X|X|CALLE NUMERO 2 CASA NUMERO 94|POBLADO C-23 VENUSTIANO CARRANZA|X|9373698270|X|X|X|CALLE NUMERO 2 CASA NUMERO 94|X|LUNES|x|x|x|x|x|DOMICILIO |1800|11100|X|X|X|2022-07-05|2022-07-12|x|x|x|x|x|QX002LUS9KVTQO|x|HOMBRE|X|12900|X|X|X|X|X|X|X|X|CARDENAS|X|X|X|X|FINAL</v>
      </c>
    </row>
    <row r="534" spans="1:82" x14ac:dyDescent="0.25">
      <c r="A534" t="s">
        <v>1173</v>
      </c>
      <c r="B534" t="s">
        <v>1174</v>
      </c>
      <c r="C534">
        <v>3</v>
      </c>
      <c r="D534" t="s">
        <v>1369</v>
      </c>
      <c r="E534" t="s">
        <v>1380</v>
      </c>
      <c r="F534" t="s">
        <v>0</v>
      </c>
      <c r="G534" t="s">
        <v>0</v>
      </c>
      <c r="H534" t="s">
        <v>1648</v>
      </c>
      <c r="I534">
        <v>14800</v>
      </c>
      <c r="J534">
        <v>0</v>
      </c>
      <c r="K534">
        <v>100</v>
      </c>
      <c r="L534">
        <v>50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Y534">
        <v>0</v>
      </c>
      <c r="Z534">
        <v>0</v>
      </c>
      <c r="AA534">
        <v>0</v>
      </c>
      <c r="AB534" t="s">
        <v>2310</v>
      </c>
      <c r="AC534" t="s">
        <v>1790</v>
      </c>
      <c r="AD534" t="s">
        <v>2001</v>
      </c>
      <c r="AE534" t="s">
        <v>4</v>
      </c>
      <c r="AF534" t="s">
        <v>1</v>
      </c>
      <c r="AG534" t="s">
        <v>1</v>
      </c>
      <c r="AH534" t="s">
        <v>2895</v>
      </c>
      <c r="AI534" t="s">
        <v>3202</v>
      </c>
      <c r="AJ534" t="s">
        <v>1</v>
      </c>
      <c r="AK534">
        <v>9371094201</v>
      </c>
      <c r="AL534" t="s">
        <v>1</v>
      </c>
      <c r="AM534" t="s">
        <v>1</v>
      </c>
      <c r="AN534" t="s">
        <v>1</v>
      </c>
      <c r="AO534" t="s">
        <v>2895</v>
      </c>
      <c r="AP534" t="s">
        <v>1</v>
      </c>
      <c r="AQ534" t="s">
        <v>2</v>
      </c>
      <c r="AR534" t="s">
        <v>3</v>
      </c>
      <c r="AS534" t="s">
        <v>3</v>
      </c>
      <c r="AT534" t="s">
        <v>3</v>
      </c>
      <c r="AU534" t="s">
        <v>3</v>
      </c>
      <c r="AV534" t="s">
        <v>3</v>
      </c>
      <c r="AW534" t="s">
        <v>11</v>
      </c>
      <c r="AX534">
        <f>Tabla1[[#This Row],[precio del paquete]]-Tabla1[[#This Row],[Saldo_Deudor]]</f>
        <v>600</v>
      </c>
      <c r="AY534">
        <v>14200</v>
      </c>
      <c r="AZ534" t="s">
        <v>1</v>
      </c>
      <c r="BA534" t="s">
        <v>1</v>
      </c>
      <c r="BB534" t="s">
        <v>1</v>
      </c>
      <c r="BC534" t="s">
        <v>3295</v>
      </c>
      <c r="BD534" t="s">
        <v>3334</v>
      </c>
      <c r="BE534" t="s">
        <v>3</v>
      </c>
      <c r="BF534" t="s">
        <v>3</v>
      </c>
      <c r="BG534" t="s">
        <v>3</v>
      </c>
      <c r="BH534" t="s">
        <v>3</v>
      </c>
      <c r="BI534" t="s">
        <v>3</v>
      </c>
      <c r="BJ534" t="s">
        <v>3363</v>
      </c>
      <c r="BK534" t="s">
        <v>3</v>
      </c>
      <c r="BL534" t="s">
        <v>132</v>
      </c>
      <c r="BM534" t="s">
        <v>1</v>
      </c>
      <c r="BN534">
        <f>Tabla1[[#This Row],[precio del paquete]]</f>
        <v>14800</v>
      </c>
      <c r="BO534" t="s">
        <v>1</v>
      </c>
      <c r="BP534" t="s">
        <v>1</v>
      </c>
      <c r="BQ534" t="s">
        <v>1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0</v>
      </c>
      <c r="BX534" t="s">
        <v>1</v>
      </c>
      <c r="BY534" t="s">
        <v>1</v>
      </c>
      <c r="BZ534" t="s">
        <v>1</v>
      </c>
      <c r="CA534" t="s">
        <v>1</v>
      </c>
      <c r="CB534" t="s">
        <v>3382</v>
      </c>
      <c r="CD534" t="str" cm="1">
        <f t="array" aca="1" ref="CD534" ca="1">eConcatenar(A534:CB534,"|")</f>
        <v>5Axy28XSihkjC9YC|CAR2021-4672|3|MEMORIAL|TABASCO|CARDENAS|CARDENAS|2021-08-17|14800|0|100|50|0|0|0|0|0|0|0|0|0|0|0||0|0|0|CONTRERAS|DOMINGUEZ|CECILIA|SOLTERO|X|X|CALLE ZONA VERDE SIN NUMERO|POBLADO C-14 PLUTARCO ELIAS CALLES|X|9371094201|X|X|X|CALLE ZONA VERDE SIN NUMERO|X|LUNES|x|x|x|x|x|DOMICILIO |600|14200|X|X|X|2022-11-08|2022-11-15|x|x|x|x|x|QX002LUS9KVTQO|x|HOMBRE|X|14800|X|X|X|X|X|X|X|X|CARDENAS|X|X|X|X|FINAL</v>
      </c>
    </row>
    <row r="535" spans="1:82" x14ac:dyDescent="0.25">
      <c r="A535" t="s">
        <v>1175</v>
      </c>
      <c r="B535" t="s">
        <v>1176</v>
      </c>
      <c r="C535">
        <v>3</v>
      </c>
      <c r="D535" t="s">
        <v>1369</v>
      </c>
      <c r="E535" t="s">
        <v>1380</v>
      </c>
      <c r="F535" t="s">
        <v>0</v>
      </c>
      <c r="G535" t="s">
        <v>0</v>
      </c>
      <c r="H535" t="s">
        <v>1552</v>
      </c>
      <c r="I535">
        <v>14800</v>
      </c>
      <c r="J535">
        <v>0</v>
      </c>
      <c r="K535">
        <v>100</v>
      </c>
      <c r="L535">
        <v>50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Y535">
        <v>0</v>
      </c>
      <c r="Z535">
        <v>0</v>
      </c>
      <c r="AA535">
        <v>0</v>
      </c>
      <c r="AB535" t="s">
        <v>1793</v>
      </c>
      <c r="AC535" t="s">
        <v>1748</v>
      </c>
      <c r="AD535" t="s">
        <v>2144</v>
      </c>
      <c r="AE535" t="s">
        <v>4</v>
      </c>
      <c r="AF535" t="s">
        <v>1</v>
      </c>
      <c r="AG535" t="s">
        <v>1</v>
      </c>
      <c r="AH535" t="s">
        <v>2896</v>
      </c>
      <c r="AI535" t="s">
        <v>3201</v>
      </c>
      <c r="AJ535" t="s">
        <v>1</v>
      </c>
      <c r="AK535">
        <v>9372704282</v>
      </c>
      <c r="AL535" t="s">
        <v>1</v>
      </c>
      <c r="AM535" t="s">
        <v>1</v>
      </c>
      <c r="AN535" t="s">
        <v>1</v>
      </c>
      <c r="AO535" t="s">
        <v>2896</v>
      </c>
      <c r="AP535" t="s">
        <v>1</v>
      </c>
      <c r="AQ535" t="s">
        <v>2</v>
      </c>
      <c r="AR535" t="s">
        <v>3</v>
      </c>
      <c r="AS535" t="s">
        <v>3</v>
      </c>
      <c r="AT535" t="s">
        <v>3</v>
      </c>
      <c r="AU535" t="s">
        <v>3</v>
      </c>
      <c r="AV535" t="s">
        <v>3</v>
      </c>
      <c r="AW535" t="s">
        <v>11</v>
      </c>
      <c r="AX535">
        <f>Tabla1[[#This Row],[precio del paquete]]-Tabla1[[#This Row],[Saldo_Deudor]]</f>
        <v>100</v>
      </c>
      <c r="AY535">
        <v>14700</v>
      </c>
      <c r="AZ535" t="s">
        <v>1</v>
      </c>
      <c r="BA535" t="s">
        <v>1</v>
      </c>
      <c r="BB535" t="s">
        <v>1</v>
      </c>
      <c r="BC535" t="s">
        <v>1660</v>
      </c>
      <c r="BD535" t="s">
        <v>1428</v>
      </c>
      <c r="BE535" t="s">
        <v>3</v>
      </c>
      <c r="BF535" t="s">
        <v>3</v>
      </c>
      <c r="BG535" t="s">
        <v>3</v>
      </c>
      <c r="BH535" t="s">
        <v>3</v>
      </c>
      <c r="BI535" t="s">
        <v>3</v>
      </c>
      <c r="BJ535" t="s">
        <v>3363</v>
      </c>
      <c r="BK535" t="s">
        <v>3</v>
      </c>
      <c r="BL535" t="s">
        <v>132</v>
      </c>
      <c r="BM535" t="s">
        <v>1</v>
      </c>
      <c r="BN535">
        <f>Tabla1[[#This Row],[precio del paquete]]</f>
        <v>14800</v>
      </c>
      <c r="BO535" t="s">
        <v>1</v>
      </c>
      <c r="BP535" t="s">
        <v>1</v>
      </c>
      <c r="BQ535" t="s">
        <v>1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0</v>
      </c>
      <c r="BX535" t="s">
        <v>1</v>
      </c>
      <c r="BY535" t="s">
        <v>1</v>
      </c>
      <c r="BZ535" t="s">
        <v>1</v>
      </c>
      <c r="CA535" t="s">
        <v>1</v>
      </c>
      <c r="CB535" t="s">
        <v>3382</v>
      </c>
      <c r="CD535" t="str" cm="1">
        <f t="array" aca="1" ref="CD535" ca="1">eConcatenar(A535:CB535,"|")</f>
        <v>VygIVZOwxg5oNi59|CAR2021-5604|3|MEMORIAL|TABASCO|CARDENAS|CARDENAS|2021-09-23|14800|0|100|50|0|0|0|0|0|0|0|0|0|0|0||0|0|0|SOLIS|JIMENEZ|JOSE MANUEL|SOLTERO|X|X|CARRETERA PRINCIPAL CONDOMINIO NUMERO 7|COLONIA EL PARNASO|X|9372704282|X|X|X|CARRETERA PRINCIPAL CONDOMINIO NUMERO 7|X|LUNES|x|x|x|x|x|DOMICILIO |100|14700|X|X|X|2021-10-12|2021-10-19|x|x|x|x|x|QX002LUS9KVTQO|x|HOMBRE|X|14800|X|X|X|X|X|X|X|X|CARDENAS|X|X|X|X|FINAL</v>
      </c>
    </row>
    <row r="536" spans="1:82" x14ac:dyDescent="0.25">
      <c r="A536" t="s">
        <v>1177</v>
      </c>
      <c r="B536" t="s">
        <v>1178</v>
      </c>
      <c r="C536">
        <v>3</v>
      </c>
      <c r="D536" t="s">
        <v>1372</v>
      </c>
      <c r="E536" t="s">
        <v>1380</v>
      </c>
      <c r="F536" t="s">
        <v>0</v>
      </c>
      <c r="G536" t="s">
        <v>0</v>
      </c>
      <c r="H536" t="s">
        <v>1653</v>
      </c>
      <c r="I536">
        <v>12900</v>
      </c>
      <c r="J536">
        <v>0</v>
      </c>
      <c r="K536">
        <v>200</v>
      </c>
      <c r="L536">
        <v>50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Y536">
        <v>0</v>
      </c>
      <c r="Z536">
        <v>0</v>
      </c>
      <c r="AA536">
        <v>0</v>
      </c>
      <c r="AB536" t="s">
        <v>2352</v>
      </c>
      <c r="AC536" t="s">
        <v>1895</v>
      </c>
      <c r="AD536" t="s">
        <v>2353</v>
      </c>
      <c r="AE536" t="s">
        <v>4</v>
      </c>
      <c r="AF536" t="s">
        <v>1</v>
      </c>
      <c r="AG536" t="s">
        <v>1</v>
      </c>
      <c r="AH536" t="s">
        <v>2897</v>
      </c>
      <c r="AI536" t="s">
        <v>3204</v>
      </c>
      <c r="AJ536" t="s">
        <v>1</v>
      </c>
      <c r="AK536">
        <v>9371708153</v>
      </c>
      <c r="AL536" t="s">
        <v>1</v>
      </c>
      <c r="AM536" t="s">
        <v>1</v>
      </c>
      <c r="AN536" t="s">
        <v>1</v>
      </c>
      <c r="AO536" t="s">
        <v>2897</v>
      </c>
      <c r="AP536" t="s">
        <v>1</v>
      </c>
      <c r="AQ536" t="s">
        <v>2</v>
      </c>
      <c r="AR536" t="s">
        <v>3</v>
      </c>
      <c r="AS536" t="s">
        <v>3</v>
      </c>
      <c r="AT536" t="s">
        <v>3</v>
      </c>
      <c r="AU536" t="s">
        <v>3</v>
      </c>
      <c r="AV536" t="s">
        <v>3</v>
      </c>
      <c r="AW536" t="s">
        <v>11</v>
      </c>
      <c r="AX536">
        <f>Tabla1[[#This Row],[precio del paquete]]-Tabla1[[#This Row],[Saldo_Deudor]]</f>
        <v>1000</v>
      </c>
      <c r="AY536">
        <v>11900</v>
      </c>
      <c r="AZ536" t="s">
        <v>1</v>
      </c>
      <c r="BA536" t="s">
        <v>1</v>
      </c>
      <c r="BB536" t="s">
        <v>1</v>
      </c>
      <c r="BC536" t="s">
        <v>3296</v>
      </c>
      <c r="BD536" t="s">
        <v>3335</v>
      </c>
      <c r="BE536" t="s">
        <v>3</v>
      </c>
      <c r="BF536" t="s">
        <v>3</v>
      </c>
      <c r="BG536" t="s">
        <v>3</v>
      </c>
      <c r="BH536" t="s">
        <v>3</v>
      </c>
      <c r="BI536" t="s">
        <v>3</v>
      </c>
      <c r="BJ536" t="s">
        <v>3363</v>
      </c>
      <c r="BK536" t="s">
        <v>3</v>
      </c>
      <c r="BL536" t="s">
        <v>132</v>
      </c>
      <c r="BM536" t="s">
        <v>1</v>
      </c>
      <c r="BN536">
        <f>Tabla1[[#This Row],[precio del paquete]]</f>
        <v>12900</v>
      </c>
      <c r="BO536" t="s">
        <v>1</v>
      </c>
      <c r="BP536" t="s">
        <v>1</v>
      </c>
      <c r="BQ536" t="s">
        <v>1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0</v>
      </c>
      <c r="BX536" t="s">
        <v>1</v>
      </c>
      <c r="BY536" t="s">
        <v>1</v>
      </c>
      <c r="BZ536" t="s">
        <v>1</v>
      </c>
      <c r="CA536" t="s">
        <v>1</v>
      </c>
      <c r="CB536" t="s">
        <v>3382</v>
      </c>
      <c r="CD536" t="str" cm="1">
        <f t="array" aca="1" ref="CD536" ca="1">eConcatenar(A536:CB536,"|")</f>
        <v>tOXX7ekv3IAUtKOy|CAR2020-4841|3|IMPERIAL DE LUJO|TABASCO|CARDENAS|CARDENAS|2020-11-25|12900|0|200|50|0|0|0|0|0|0|0|0|0|0|0||0|0|0|CABERTA|MENA|JAZMIN|SOLTERO|X|X|CALLE CONSTITUCION PONIENTE SIN NUMERO|EJIDO LA PENINSULA |X|9371708153|X|X|X|CALLE CONSTITUCION PONIENTE SIN NUMERO|X|LUNES|x|x|x|x|x|DOMICILIO |1000|11900|X|X|X|2021-02-16|2021-02-23|x|x|x|x|x|QX002LUS9KVTQO|x|HOMBRE|X|12900|X|X|X|X|X|X|X|X|CARDENAS|X|X|X|X|FINAL</v>
      </c>
    </row>
    <row r="537" spans="1:82" x14ac:dyDescent="0.25">
      <c r="A537" t="s">
        <v>1179</v>
      </c>
      <c r="B537" t="s">
        <v>1180</v>
      </c>
      <c r="C537">
        <v>3</v>
      </c>
      <c r="D537" t="s">
        <v>1371</v>
      </c>
      <c r="E537" t="s">
        <v>1380</v>
      </c>
      <c r="F537" t="s">
        <v>0</v>
      </c>
      <c r="G537" t="s">
        <v>0</v>
      </c>
      <c r="H537" t="s">
        <v>1654</v>
      </c>
      <c r="I537">
        <v>9860</v>
      </c>
      <c r="J537">
        <v>0</v>
      </c>
      <c r="K537">
        <v>100</v>
      </c>
      <c r="L537">
        <v>50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Y537">
        <v>0</v>
      </c>
      <c r="Z537">
        <v>0</v>
      </c>
      <c r="AA537">
        <v>0</v>
      </c>
      <c r="AB537" t="s">
        <v>2354</v>
      </c>
      <c r="AC537" t="s">
        <v>1748</v>
      </c>
      <c r="AD537" t="s">
        <v>2355</v>
      </c>
      <c r="AE537" t="s">
        <v>4</v>
      </c>
      <c r="AF537" t="s">
        <v>1</v>
      </c>
      <c r="AG537" t="s">
        <v>1</v>
      </c>
      <c r="AH537" t="s">
        <v>2898</v>
      </c>
      <c r="AI537" t="s">
        <v>3195</v>
      </c>
      <c r="AJ537" t="s">
        <v>1</v>
      </c>
      <c r="AK537">
        <v>9371280797</v>
      </c>
      <c r="AL537" t="s">
        <v>1</v>
      </c>
      <c r="AM537" t="s">
        <v>1</v>
      </c>
      <c r="AN537" t="s">
        <v>1</v>
      </c>
      <c r="AO537" t="s">
        <v>2898</v>
      </c>
      <c r="AP537" t="s">
        <v>1</v>
      </c>
      <c r="AQ537" t="s">
        <v>2</v>
      </c>
      <c r="AR537" t="s">
        <v>3</v>
      </c>
      <c r="AS537" t="s">
        <v>3</v>
      </c>
      <c r="AT537" t="s">
        <v>3</v>
      </c>
      <c r="AU537" t="s">
        <v>3</v>
      </c>
      <c r="AV537" t="s">
        <v>3</v>
      </c>
      <c r="AW537" t="s">
        <v>11</v>
      </c>
      <c r="AX537">
        <f>Tabla1[[#This Row],[precio del paquete]]-Tabla1[[#This Row],[Saldo_Deudor]]</f>
        <v>8900</v>
      </c>
      <c r="AY537">
        <v>960</v>
      </c>
      <c r="AZ537" t="s">
        <v>1</v>
      </c>
      <c r="BA537" t="s">
        <v>1</v>
      </c>
      <c r="BB537" t="s">
        <v>1</v>
      </c>
      <c r="BC537" t="s">
        <v>1418</v>
      </c>
      <c r="BD537" t="s">
        <v>1417</v>
      </c>
      <c r="BE537" t="s">
        <v>3</v>
      </c>
      <c r="BF537" t="s">
        <v>3</v>
      </c>
      <c r="BG537" t="s">
        <v>3</v>
      </c>
      <c r="BH537" t="s">
        <v>3</v>
      </c>
      <c r="BI537" t="s">
        <v>3</v>
      </c>
      <c r="BJ537" t="s">
        <v>3363</v>
      </c>
      <c r="BK537" t="s">
        <v>3</v>
      </c>
      <c r="BL537" t="s">
        <v>132</v>
      </c>
      <c r="BM537" t="s">
        <v>1</v>
      </c>
      <c r="BN537">
        <f>Tabla1[[#This Row],[precio del paquete]]</f>
        <v>9860</v>
      </c>
      <c r="BO537" t="s">
        <v>1</v>
      </c>
      <c r="BP537" t="s">
        <v>1</v>
      </c>
      <c r="BQ537" t="s">
        <v>1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0</v>
      </c>
      <c r="BX537" t="s">
        <v>1</v>
      </c>
      <c r="BY537" t="s">
        <v>1</v>
      </c>
      <c r="BZ537" t="s">
        <v>1</v>
      </c>
      <c r="CA537" t="s">
        <v>1</v>
      </c>
      <c r="CB537" t="s">
        <v>3382</v>
      </c>
      <c r="CD537" t="str" cm="1">
        <f t="array" aca="1" ref="CD537" ca="1">eConcatenar(A537:CB537,"|")</f>
        <v>fb0iPwFQGv38RAQQ|CAR2015-0718|3|ECONOLINE|TABASCO|CARDENAS|CARDENAS|2015-11-05|9860|0|100|50|0|0|0|0|0|0|0|0|0|0|0||0|0|0|BRENDA|JIMENEZ|LUIS ANGEL|SOLTERO|X|X|CALLE HECADOR CENTRAL|COLONIA SANTA RITA|X|9371280797|X|X|X|CALLE HECADOR CENTRAL|X|LUNES|x|x|x|x|x|DOMICILIO |8900|960|X|X|X|2021-08-24|2021-08-31|x|x|x|x|x|QX002LUS9KVTQO|x|HOMBRE|X|9860|X|X|X|X|X|X|X|X|CARDENAS|X|X|X|X|FINAL</v>
      </c>
    </row>
    <row r="538" spans="1:82" x14ac:dyDescent="0.25">
      <c r="A538" t="s">
        <v>1181</v>
      </c>
      <c r="B538" t="s">
        <v>1182</v>
      </c>
      <c r="C538">
        <v>3</v>
      </c>
      <c r="D538" t="s">
        <v>1372</v>
      </c>
      <c r="E538" t="s">
        <v>1380</v>
      </c>
      <c r="F538" t="s">
        <v>0</v>
      </c>
      <c r="G538" t="s">
        <v>0</v>
      </c>
      <c r="H538" t="s">
        <v>1655</v>
      </c>
      <c r="I538">
        <v>12900</v>
      </c>
      <c r="J538">
        <v>0</v>
      </c>
      <c r="K538">
        <v>200</v>
      </c>
      <c r="L538">
        <v>50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Y538">
        <v>0</v>
      </c>
      <c r="Z538">
        <v>0</v>
      </c>
      <c r="AA538">
        <v>0</v>
      </c>
      <c r="AB538" t="s">
        <v>2005</v>
      </c>
      <c r="AC538" t="s">
        <v>1708</v>
      </c>
      <c r="AD538" t="s">
        <v>2356</v>
      </c>
      <c r="AE538" t="s">
        <v>4</v>
      </c>
      <c r="AF538" t="s">
        <v>1</v>
      </c>
      <c r="AG538" t="s">
        <v>1</v>
      </c>
      <c r="AH538" t="s">
        <v>2899</v>
      </c>
      <c r="AI538" t="s">
        <v>3060</v>
      </c>
      <c r="AJ538" t="s">
        <v>1</v>
      </c>
      <c r="AK538">
        <v>9371081852</v>
      </c>
      <c r="AL538" t="s">
        <v>1</v>
      </c>
      <c r="AM538" t="s">
        <v>1</v>
      </c>
      <c r="AN538" t="s">
        <v>1</v>
      </c>
      <c r="AO538" t="s">
        <v>2899</v>
      </c>
      <c r="AP538" t="s">
        <v>1</v>
      </c>
      <c r="AQ538" t="s">
        <v>2</v>
      </c>
      <c r="AR538" t="s">
        <v>3</v>
      </c>
      <c r="AS538" t="s">
        <v>3</v>
      </c>
      <c r="AT538" t="s">
        <v>3</v>
      </c>
      <c r="AU538" t="s">
        <v>3</v>
      </c>
      <c r="AV538" t="s">
        <v>3</v>
      </c>
      <c r="AW538" t="s">
        <v>11</v>
      </c>
      <c r="AX538">
        <f>Tabla1[[#This Row],[precio del paquete]]-Tabla1[[#This Row],[Saldo_Deudor]]</f>
        <v>1100</v>
      </c>
      <c r="AY538">
        <v>11800</v>
      </c>
      <c r="AZ538" t="s">
        <v>1</v>
      </c>
      <c r="BA538" t="s">
        <v>1</v>
      </c>
      <c r="BB538" t="s">
        <v>1</v>
      </c>
      <c r="BC538" t="s">
        <v>3297</v>
      </c>
      <c r="BD538" t="s">
        <v>3296</v>
      </c>
      <c r="BE538" t="s">
        <v>3</v>
      </c>
      <c r="BF538" t="s">
        <v>3</v>
      </c>
      <c r="BG538" t="s">
        <v>3</v>
      </c>
      <c r="BH538" t="s">
        <v>3</v>
      </c>
      <c r="BI538" t="s">
        <v>3</v>
      </c>
      <c r="BJ538" t="s">
        <v>3363</v>
      </c>
      <c r="BK538" t="s">
        <v>3</v>
      </c>
      <c r="BL538" t="s">
        <v>132</v>
      </c>
      <c r="BM538" t="s">
        <v>1</v>
      </c>
      <c r="BN538">
        <f>Tabla1[[#This Row],[precio del paquete]]</f>
        <v>12900</v>
      </c>
      <c r="BO538" t="s">
        <v>1</v>
      </c>
      <c r="BP538" t="s">
        <v>1</v>
      </c>
      <c r="BQ538" t="s">
        <v>1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0</v>
      </c>
      <c r="BX538" t="s">
        <v>1</v>
      </c>
      <c r="BY538" t="s">
        <v>1</v>
      </c>
      <c r="BZ538" t="s">
        <v>1</v>
      </c>
      <c r="CA538" t="s">
        <v>1</v>
      </c>
      <c r="CB538" t="s">
        <v>3382</v>
      </c>
      <c r="CD538" t="str" cm="1">
        <f t="array" aca="1" ref="CD538" ca="1">eConcatenar(A538:CB538,"|")</f>
        <v>hs08DPotLTKp9Aqu|CAR2020-4643|3|IMPERIAL DE LUJO|TABASCO|CARDENAS|CARDENAS|2020-11-13|12900|0|200|50|0|0|0|0|0|0|0|0|0|0|0||0|0|0|FUENTE||BERNABE|SOLTERO|X|X|CALLE 27 DE FEBRERO NUMERO 305|COLONIA PUEBLO NUEVO|X|9371081852|X|X|X|CALLE 27 DE FEBRERO NUMERO 305|X|LUNES|x|x|x|x|x|DOMICILIO |1100|11800|X|X|X|2021-02-09|2021-02-16|x|x|x|x|x|QX002LUS9KVTQO|x|HOMBRE|X|12900|X|X|X|X|X|X|X|X|CARDENAS|X|X|X|X|FINAL</v>
      </c>
    </row>
    <row r="539" spans="1:82" x14ac:dyDescent="0.25">
      <c r="A539" t="s">
        <v>1183</v>
      </c>
      <c r="B539" t="s">
        <v>1184</v>
      </c>
      <c r="C539">
        <v>3</v>
      </c>
      <c r="D539" t="s">
        <v>1369</v>
      </c>
      <c r="E539" t="s">
        <v>1380</v>
      </c>
      <c r="F539" t="s">
        <v>0</v>
      </c>
      <c r="G539" t="s">
        <v>0</v>
      </c>
      <c r="H539" t="s">
        <v>1532</v>
      </c>
      <c r="I539">
        <v>14750</v>
      </c>
      <c r="J539">
        <v>0</v>
      </c>
      <c r="K539">
        <v>50</v>
      </c>
      <c r="L539">
        <v>50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Y539">
        <v>0</v>
      </c>
      <c r="Z539">
        <v>0</v>
      </c>
      <c r="AA539">
        <v>0</v>
      </c>
      <c r="AB539" t="s">
        <v>7</v>
      </c>
      <c r="AC539" t="s">
        <v>2357</v>
      </c>
      <c r="AD539" t="s">
        <v>1916</v>
      </c>
      <c r="AE539" t="s">
        <v>4</v>
      </c>
      <c r="AF539" t="s">
        <v>1</v>
      </c>
      <c r="AG539" t="s">
        <v>1</v>
      </c>
      <c r="AH539" t="s">
        <v>2900</v>
      </c>
      <c r="AI539" t="s">
        <v>3205</v>
      </c>
      <c r="AJ539" t="s">
        <v>1</v>
      </c>
      <c r="AK539">
        <v>9371087859</v>
      </c>
      <c r="AL539" t="s">
        <v>1</v>
      </c>
      <c r="AM539" t="s">
        <v>1</v>
      </c>
      <c r="AN539" t="s">
        <v>1</v>
      </c>
      <c r="AO539" t="s">
        <v>2900</v>
      </c>
      <c r="AP539" t="s">
        <v>1</v>
      </c>
      <c r="AQ539" t="s">
        <v>2</v>
      </c>
      <c r="AR539" t="s">
        <v>3</v>
      </c>
      <c r="AS539" t="s">
        <v>3</v>
      </c>
      <c r="AT539" t="s">
        <v>3</v>
      </c>
      <c r="AU539" t="s">
        <v>3</v>
      </c>
      <c r="AV539" t="s">
        <v>3</v>
      </c>
      <c r="AW539" t="s">
        <v>11</v>
      </c>
      <c r="AX539">
        <f>Tabla1[[#This Row],[precio del paquete]]-Tabla1[[#This Row],[Saldo_Deudor]]</f>
        <v>0</v>
      </c>
      <c r="AY539">
        <v>14750</v>
      </c>
      <c r="AZ539" t="s">
        <v>1</v>
      </c>
      <c r="BA539" t="s">
        <v>1</v>
      </c>
      <c r="BB539" t="s">
        <v>1</v>
      </c>
      <c r="BC539" t="s">
        <v>1532</v>
      </c>
      <c r="BD539" t="s">
        <v>3336</v>
      </c>
      <c r="BE539" t="s">
        <v>3</v>
      </c>
      <c r="BF539" t="s">
        <v>3</v>
      </c>
      <c r="BG539" t="s">
        <v>3</v>
      </c>
      <c r="BH539" t="s">
        <v>3</v>
      </c>
      <c r="BI539" t="s">
        <v>3</v>
      </c>
      <c r="BJ539" t="s">
        <v>3363</v>
      </c>
      <c r="BK539" t="s">
        <v>3</v>
      </c>
      <c r="BL539" t="s">
        <v>132</v>
      </c>
      <c r="BM539" t="s">
        <v>1</v>
      </c>
      <c r="BN539">
        <f>Tabla1[[#This Row],[precio del paquete]]</f>
        <v>14750</v>
      </c>
      <c r="BO539" t="s">
        <v>1</v>
      </c>
      <c r="BP539" t="s">
        <v>1</v>
      </c>
      <c r="BQ539" t="s">
        <v>1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0</v>
      </c>
      <c r="BX539" t="s">
        <v>1</v>
      </c>
      <c r="BY539" t="s">
        <v>1</v>
      </c>
      <c r="BZ539" t="s">
        <v>1</v>
      </c>
      <c r="CA539" t="s">
        <v>1</v>
      </c>
      <c r="CB539" t="s">
        <v>3382</v>
      </c>
      <c r="CD539" t="str" cm="1">
        <f t="array" aca="1" ref="CD539" ca="1">eConcatenar(A539:CB539,"|")</f>
        <v>pXULE6y12WNcR3Hp|CAR2021-3853|3|MEMORIAL|TABASCO|CARDENAS|CARDENAS|2021-07-24|14750|0|50|50|0|0|0|0|0|0|0|0|0|0|0||0|0|0|LOPEZ|CHUNG|ARMANDO|SOLTERO|X|X|CALLE LAS LOMITAS|COLONIA ANDRES MANUEL LOPEZ OBRADOR|X|9371087859|X|X|X|CALLE LAS LOMITAS|X|LUNES|x|x|x|x|x|DOMICILIO |0|14750|X|X|X|2021-07-24|2021-07-31|x|x|x|x|x|QX002LUS9KVTQO|x|HOMBRE|X|14750|X|X|X|X|X|X|X|X|CARDENAS|X|X|X|X|FINAL</v>
      </c>
    </row>
    <row r="540" spans="1:82" x14ac:dyDescent="0.25">
      <c r="A540" t="s">
        <v>1185</v>
      </c>
      <c r="B540" t="s">
        <v>1186</v>
      </c>
      <c r="C540">
        <v>3</v>
      </c>
      <c r="D540" t="s">
        <v>1371</v>
      </c>
      <c r="E540" t="s">
        <v>1380</v>
      </c>
      <c r="F540" t="s">
        <v>0</v>
      </c>
      <c r="G540" t="s">
        <v>0</v>
      </c>
      <c r="H540" t="s">
        <v>1656</v>
      </c>
      <c r="I540">
        <v>12900</v>
      </c>
      <c r="J540">
        <v>0</v>
      </c>
      <c r="K540">
        <v>100</v>
      </c>
      <c r="L540">
        <v>50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Y540">
        <v>0</v>
      </c>
      <c r="Z540">
        <v>0</v>
      </c>
      <c r="AA540">
        <v>0</v>
      </c>
      <c r="AB540" t="s">
        <v>1810</v>
      </c>
      <c r="AC540" t="s">
        <v>7</v>
      </c>
      <c r="AD540" t="s">
        <v>2045</v>
      </c>
      <c r="AE540" t="s">
        <v>4</v>
      </c>
      <c r="AF540" t="s">
        <v>1</v>
      </c>
      <c r="AG540" t="s">
        <v>1</v>
      </c>
      <c r="AH540" t="s">
        <v>2901</v>
      </c>
      <c r="AI540" t="s">
        <v>3206</v>
      </c>
      <c r="AJ540" t="s">
        <v>1</v>
      </c>
      <c r="AK540">
        <v>9371623001</v>
      </c>
      <c r="AL540" t="s">
        <v>1</v>
      </c>
      <c r="AM540" t="s">
        <v>1</v>
      </c>
      <c r="AN540" t="s">
        <v>1</v>
      </c>
      <c r="AO540" t="s">
        <v>2901</v>
      </c>
      <c r="AP540" t="s">
        <v>1</v>
      </c>
      <c r="AQ540" t="s">
        <v>2</v>
      </c>
      <c r="AR540" t="s">
        <v>3</v>
      </c>
      <c r="AS540" t="s">
        <v>3</v>
      </c>
      <c r="AT540" t="s">
        <v>3</v>
      </c>
      <c r="AU540" t="s">
        <v>3</v>
      </c>
      <c r="AV540" t="s">
        <v>3</v>
      </c>
      <c r="AW540" t="s">
        <v>11</v>
      </c>
      <c r="AX540">
        <f>Tabla1[[#This Row],[precio del paquete]]-Tabla1[[#This Row],[Saldo_Deudor]]</f>
        <v>3650</v>
      </c>
      <c r="AY540">
        <v>9250</v>
      </c>
      <c r="AZ540" t="s">
        <v>1</v>
      </c>
      <c r="BA540" t="s">
        <v>1</v>
      </c>
      <c r="BB540" t="s">
        <v>1</v>
      </c>
      <c r="BC540" t="s">
        <v>3298</v>
      </c>
      <c r="BD540" t="s">
        <v>3337</v>
      </c>
      <c r="BE540" t="s">
        <v>3</v>
      </c>
      <c r="BF540" t="s">
        <v>3</v>
      </c>
      <c r="BG540" t="s">
        <v>3</v>
      </c>
      <c r="BH540" t="s">
        <v>3</v>
      </c>
      <c r="BI540" t="s">
        <v>3</v>
      </c>
      <c r="BJ540" t="s">
        <v>3363</v>
      </c>
      <c r="BK540" t="s">
        <v>3</v>
      </c>
      <c r="BL540" t="s">
        <v>132</v>
      </c>
      <c r="BM540" t="s">
        <v>1</v>
      </c>
      <c r="BN540">
        <f>Tabla1[[#This Row],[precio del paquete]]</f>
        <v>12900</v>
      </c>
      <c r="BO540" t="s">
        <v>1</v>
      </c>
      <c r="BP540" t="s">
        <v>1</v>
      </c>
      <c r="BQ540" t="s">
        <v>1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0</v>
      </c>
      <c r="BX540" t="s">
        <v>1</v>
      </c>
      <c r="BY540" t="s">
        <v>1</v>
      </c>
      <c r="BZ540" t="s">
        <v>1</v>
      </c>
      <c r="CA540" t="s">
        <v>1</v>
      </c>
      <c r="CB540" t="s">
        <v>3382</v>
      </c>
      <c r="CD540" t="str" cm="1">
        <f t="array" aca="1" ref="CD540" ca="1">eConcatenar(A540:CB540,"|")</f>
        <v>QFcERUv4tkWRfMVW|CAR2018-0452|3|ECONOLINE|TABASCO|CARDENAS|CARDENAS|2018-04-07|12900|0|100|50|0|0|0|0|0|0|0|0|0|0|0||0|0|0|CRUZ|LOPEZ|RAUL|SOLTERO|X|X|CALLE NUMERO 3|POBLADO C-21 LICENCIADO BENITO JUAREZ|X|9371623001|X|X|X|CALLE NUMERO 3|X|LUNES|x|x|x|x|x|DOMICILIO |3650|9250|X|X|X|2021-08-09|2021-08-16|x|x|x|x|x|QX002LUS9KVTQO|x|HOMBRE|X|12900|X|X|X|X|X|X|X|X|CARDENAS|X|X|X|X|FINAL</v>
      </c>
    </row>
    <row r="541" spans="1:82" x14ac:dyDescent="0.25">
      <c r="A541" t="s">
        <v>1187</v>
      </c>
      <c r="B541" t="s">
        <v>1188</v>
      </c>
      <c r="C541">
        <v>3</v>
      </c>
      <c r="D541" t="s">
        <v>1369</v>
      </c>
      <c r="E541" t="s">
        <v>1380</v>
      </c>
      <c r="F541" t="s">
        <v>0</v>
      </c>
      <c r="G541" t="s">
        <v>0</v>
      </c>
      <c r="H541" t="s">
        <v>1657</v>
      </c>
      <c r="I541">
        <v>14800</v>
      </c>
      <c r="J541">
        <v>0</v>
      </c>
      <c r="K541">
        <v>100</v>
      </c>
      <c r="L541">
        <v>50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Y541">
        <v>0</v>
      </c>
      <c r="Z541">
        <v>0</v>
      </c>
      <c r="AA541">
        <v>0</v>
      </c>
      <c r="AB541" t="s">
        <v>1731</v>
      </c>
      <c r="AC541" t="s">
        <v>1741</v>
      </c>
      <c r="AD541" t="s">
        <v>2358</v>
      </c>
      <c r="AE541" t="s">
        <v>4</v>
      </c>
      <c r="AF541" t="s">
        <v>1</v>
      </c>
      <c r="AG541" t="s">
        <v>1</v>
      </c>
      <c r="AH541" t="s">
        <v>2465</v>
      </c>
      <c r="AI541" t="s">
        <v>3207</v>
      </c>
      <c r="AJ541" t="s">
        <v>1</v>
      </c>
      <c r="AK541">
        <v>9381303977</v>
      </c>
      <c r="AL541" t="s">
        <v>1</v>
      </c>
      <c r="AM541" t="s">
        <v>1</v>
      </c>
      <c r="AN541" t="s">
        <v>1</v>
      </c>
      <c r="AO541" t="s">
        <v>2465</v>
      </c>
      <c r="AP541" t="s">
        <v>1</v>
      </c>
      <c r="AQ541" t="s">
        <v>2</v>
      </c>
      <c r="AR541" t="s">
        <v>3</v>
      </c>
      <c r="AS541" t="s">
        <v>3</v>
      </c>
      <c r="AT541" t="s">
        <v>3</v>
      </c>
      <c r="AU541" t="s">
        <v>3</v>
      </c>
      <c r="AV541" t="s">
        <v>3</v>
      </c>
      <c r="AW541" t="s">
        <v>11</v>
      </c>
      <c r="AX541">
        <f>Tabla1[[#This Row],[precio del paquete]]-Tabla1[[#This Row],[Saldo_Deudor]]</f>
        <v>200</v>
      </c>
      <c r="AY541">
        <v>14600</v>
      </c>
      <c r="AZ541" t="s">
        <v>1</v>
      </c>
      <c r="BA541" t="s">
        <v>1</v>
      </c>
      <c r="BB541" t="s">
        <v>1</v>
      </c>
      <c r="BC541" t="s">
        <v>1443</v>
      </c>
      <c r="BD541" t="s">
        <v>1449</v>
      </c>
      <c r="BE541" t="s">
        <v>3</v>
      </c>
      <c r="BF541" t="s">
        <v>3</v>
      </c>
      <c r="BG541" t="s">
        <v>3</v>
      </c>
      <c r="BH541" t="s">
        <v>3</v>
      </c>
      <c r="BI541" t="s">
        <v>3</v>
      </c>
      <c r="BJ541" t="s">
        <v>3363</v>
      </c>
      <c r="BK541" t="s">
        <v>3</v>
      </c>
      <c r="BL541" t="s">
        <v>132</v>
      </c>
      <c r="BM541" t="s">
        <v>1</v>
      </c>
      <c r="BN541">
        <f>Tabla1[[#This Row],[precio del paquete]]</f>
        <v>14800</v>
      </c>
      <c r="BO541" t="s">
        <v>1</v>
      </c>
      <c r="BP541" t="s">
        <v>1</v>
      </c>
      <c r="BQ541" t="s">
        <v>1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0</v>
      </c>
      <c r="BX541" t="s">
        <v>1</v>
      </c>
      <c r="BY541" t="s">
        <v>1</v>
      </c>
      <c r="BZ541" t="s">
        <v>1</v>
      </c>
      <c r="CA541" t="s">
        <v>1</v>
      </c>
      <c r="CB541" t="s">
        <v>3382</v>
      </c>
      <c r="CD541" t="str" cm="1">
        <f t="array" aca="1" ref="CD541" ca="1">eConcatenar(A541:CB541,"|")</f>
        <v>Q8CEnP6cNnHUDfFH|CAR2021-6246|3|MEMORIAL|TABASCO|CARDENAS|CARDENAS|2021-10-20|14800|0|100|50|0|0|0|0|0|0|0|0|0|0|0||0|0|0|GARCIA|CARRETA|JUAN ANTONIO|SOLTERO|X|X|CARRETERA PRINCIPAL SIN NUMERO|EJIDO ARROYO HONDO PRIMERA SECCION|X|9381303977|X|X|X|CARRETERA PRINCIPAL SIN NUMERO|X|LUNES|x|x|x|x|x|DOMICILIO |200|14600|X|X|X|2021-11-06|2021-11-13|x|x|x|x|x|QX002LUS9KVTQO|x|HOMBRE|X|14800|X|X|X|X|X|X|X|X|CARDENAS|X|X|X|X|FINAL</v>
      </c>
    </row>
    <row r="542" spans="1:82" x14ac:dyDescent="0.25">
      <c r="A542" t="s">
        <v>1189</v>
      </c>
      <c r="B542" t="s">
        <v>1190</v>
      </c>
      <c r="C542">
        <v>3</v>
      </c>
      <c r="D542" t="s">
        <v>1369</v>
      </c>
      <c r="E542" t="s">
        <v>1380</v>
      </c>
      <c r="F542" t="s">
        <v>1384</v>
      </c>
      <c r="G542" t="s">
        <v>1384</v>
      </c>
      <c r="H542" t="s">
        <v>1424</v>
      </c>
      <c r="I542">
        <v>14800</v>
      </c>
      <c r="J542">
        <v>0</v>
      </c>
      <c r="K542">
        <v>100</v>
      </c>
      <c r="L542">
        <v>50</v>
      </c>
      <c r="M542">
        <v>1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Y542">
        <v>0</v>
      </c>
      <c r="Z542">
        <v>0</v>
      </c>
      <c r="AA542">
        <v>0</v>
      </c>
      <c r="AB542" t="s">
        <v>1719</v>
      </c>
      <c r="AC542" t="s">
        <v>1693</v>
      </c>
      <c r="AD542" t="s">
        <v>2290</v>
      </c>
      <c r="AE542" t="s">
        <v>4</v>
      </c>
      <c r="AF542" t="s">
        <v>1</v>
      </c>
      <c r="AG542" t="s">
        <v>1</v>
      </c>
      <c r="AH542" t="s">
        <v>2902</v>
      </c>
      <c r="AI542" t="s">
        <v>3208</v>
      </c>
      <c r="AJ542" t="s">
        <v>1</v>
      </c>
      <c r="AK542">
        <v>9932224382</v>
      </c>
      <c r="AL542" t="s">
        <v>1</v>
      </c>
      <c r="AM542" t="s">
        <v>1</v>
      </c>
      <c r="AN542" t="s">
        <v>1</v>
      </c>
      <c r="AO542" t="s">
        <v>2902</v>
      </c>
      <c r="AP542" t="s">
        <v>1</v>
      </c>
      <c r="AQ542" t="s">
        <v>2</v>
      </c>
      <c r="AR542" t="s">
        <v>3</v>
      </c>
      <c r="AS542" t="s">
        <v>3</v>
      </c>
      <c r="AT542" t="s">
        <v>3</v>
      </c>
      <c r="AU542" t="s">
        <v>3</v>
      </c>
      <c r="AV542" t="s">
        <v>3</v>
      </c>
      <c r="AW542" t="s">
        <v>11</v>
      </c>
      <c r="AX542">
        <f>Tabla1[[#This Row],[precio del paquete]]-Tabla1[[#This Row],[Saldo_Deudor]]</f>
        <v>700</v>
      </c>
      <c r="AY542">
        <v>14100</v>
      </c>
      <c r="AZ542" t="s">
        <v>1</v>
      </c>
      <c r="BA542" t="s">
        <v>1</v>
      </c>
      <c r="BB542" t="s">
        <v>1</v>
      </c>
      <c r="BC542" t="s">
        <v>1407</v>
      </c>
      <c r="BD542" t="s">
        <v>3338</v>
      </c>
      <c r="BE542" t="s">
        <v>3</v>
      </c>
      <c r="BF542" t="s">
        <v>3</v>
      </c>
      <c r="BG542" t="s">
        <v>3</v>
      </c>
      <c r="BH542" t="s">
        <v>3</v>
      </c>
      <c r="BI542" t="s">
        <v>3</v>
      </c>
      <c r="BJ542" t="s">
        <v>3373</v>
      </c>
      <c r="BK542" t="s">
        <v>3</v>
      </c>
      <c r="BL542" t="s">
        <v>132</v>
      </c>
      <c r="BM542" t="s">
        <v>1</v>
      </c>
      <c r="BN542">
        <f>Tabla1[[#This Row],[precio del paquete]]</f>
        <v>14800</v>
      </c>
      <c r="BO542" t="s">
        <v>1</v>
      </c>
      <c r="BP542" t="s">
        <v>1</v>
      </c>
      <c r="BQ542" t="s">
        <v>1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0</v>
      </c>
      <c r="BX542" t="s">
        <v>1</v>
      </c>
      <c r="BY542" t="s">
        <v>1</v>
      </c>
      <c r="BZ542" t="s">
        <v>1</v>
      </c>
      <c r="CA542" t="s">
        <v>1</v>
      </c>
      <c r="CB542" t="s">
        <v>3382</v>
      </c>
      <c r="CD542" t="str" cm="1">
        <f t="array" aca="1" ref="CD542" ca="1">eConcatenar(A542:CB542,"|")</f>
        <v>cvuDAv8Tnvjbqd6s|COM2022-0157|3|MEMORIAL|TABASCO|COMALCALCO|COMALCALCO|2022-01-14|14800|0|100|50|1|0|0|0|0|0|0|0|0|0|0||0|0|0|PALMA|RODRIGUEZ|MIGUEL|SOLTERO|X|X|NORTE SEGUNDA SECCION|RANCHERIA NORTE SEGUNDA SECCION|X|9932224382|X|X|X|NORTE SEGUNDA SECCION|X|LUNES|x|x|x|x|x|DOMICILIO |700|14100|X|X|X|2022-02-18|2022-02-25|x|x|x|x|x|QX002MIY9KVTQO|x|HOMBRE|X|14800|X|X|X|X|X|X|X|X|CARDENAS|X|X|X|X|FINAL</v>
      </c>
    </row>
    <row r="543" spans="1:82" x14ac:dyDescent="0.25">
      <c r="A543" t="s">
        <v>1191</v>
      </c>
      <c r="B543" t="s">
        <v>1192</v>
      </c>
      <c r="C543">
        <v>3</v>
      </c>
      <c r="D543" t="s">
        <v>1369</v>
      </c>
      <c r="E543" t="s">
        <v>1380</v>
      </c>
      <c r="F543" t="s">
        <v>1385</v>
      </c>
      <c r="G543" t="s">
        <v>1385</v>
      </c>
      <c r="H543" t="s">
        <v>1658</v>
      </c>
      <c r="I543">
        <v>14800</v>
      </c>
      <c r="J543">
        <v>0</v>
      </c>
      <c r="K543">
        <v>400</v>
      </c>
      <c r="L543">
        <v>50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Y543">
        <v>0</v>
      </c>
      <c r="Z543">
        <v>0</v>
      </c>
      <c r="AA543">
        <v>0</v>
      </c>
      <c r="AB543" t="s">
        <v>1728</v>
      </c>
      <c r="AC543" t="s">
        <v>1887</v>
      </c>
      <c r="AD543" t="s">
        <v>2359</v>
      </c>
      <c r="AE543" t="s">
        <v>4</v>
      </c>
      <c r="AF543" t="s">
        <v>1</v>
      </c>
      <c r="AG543" t="s">
        <v>1</v>
      </c>
      <c r="AH543" t="s">
        <v>2903</v>
      </c>
      <c r="AI543" t="s">
        <v>3209</v>
      </c>
      <c r="AJ543" t="s">
        <v>1</v>
      </c>
      <c r="AK543">
        <v>9331056894</v>
      </c>
      <c r="AL543" t="s">
        <v>1</v>
      </c>
      <c r="AM543" t="s">
        <v>1</v>
      </c>
      <c r="AN543" t="s">
        <v>1</v>
      </c>
      <c r="AO543" t="s">
        <v>2903</v>
      </c>
      <c r="AP543" t="s">
        <v>1</v>
      </c>
      <c r="AQ543" t="s">
        <v>2</v>
      </c>
      <c r="AR543" t="s">
        <v>3</v>
      </c>
      <c r="AS543" t="s">
        <v>3</v>
      </c>
      <c r="AT543" t="s">
        <v>3</v>
      </c>
      <c r="AU543" t="s">
        <v>3</v>
      </c>
      <c r="AV543" t="s">
        <v>3</v>
      </c>
      <c r="AW543" t="s">
        <v>11</v>
      </c>
      <c r="AX543">
        <f>Tabla1[[#This Row],[precio del paquete]]-Tabla1[[#This Row],[Saldo_Deudor]]</f>
        <v>1000</v>
      </c>
      <c r="AY543">
        <v>13800</v>
      </c>
      <c r="AZ543" t="s">
        <v>1</v>
      </c>
      <c r="BA543" t="s">
        <v>1</v>
      </c>
      <c r="BB543" t="s">
        <v>1</v>
      </c>
      <c r="BC543" t="s">
        <v>1407</v>
      </c>
      <c r="BD543" t="s">
        <v>3338</v>
      </c>
      <c r="BE543" t="s">
        <v>3</v>
      </c>
      <c r="BF543" t="s">
        <v>3</v>
      </c>
      <c r="BG543" t="s">
        <v>3</v>
      </c>
      <c r="BH543" t="s">
        <v>3</v>
      </c>
      <c r="BI543" t="s">
        <v>3</v>
      </c>
      <c r="BJ543" t="s">
        <v>3373</v>
      </c>
      <c r="BK543" t="s">
        <v>3</v>
      </c>
      <c r="BL543" t="s">
        <v>132</v>
      </c>
      <c r="BM543" t="s">
        <v>1</v>
      </c>
      <c r="BN543">
        <f>Tabla1[[#This Row],[precio del paquete]]</f>
        <v>14800</v>
      </c>
      <c r="BO543" t="s">
        <v>1</v>
      </c>
      <c r="BP543" t="s">
        <v>1</v>
      </c>
      <c r="BQ543" t="s">
        <v>1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0</v>
      </c>
      <c r="BX543" t="s">
        <v>1</v>
      </c>
      <c r="BY543" t="s">
        <v>1</v>
      </c>
      <c r="BZ543" t="s">
        <v>1</v>
      </c>
      <c r="CA543" t="s">
        <v>1</v>
      </c>
      <c r="CB543" t="s">
        <v>3382</v>
      </c>
      <c r="CD543" t="str" cm="1">
        <f t="array" aca="1" ref="CD543" ca="1">eConcatenar(A543:CB543,"|")</f>
        <v>xTFYUWzudajQuyIH|PAR2022-0127|3|MEMORIAL|TABASCO|PARAISO|PARAISO|2022-01-08|14800|0|400|50|0|0|0|0|0|0|0|0|0|0|0||0|0|0|RICARDEZ|GALLEGOS|DANELY|SOLTERO|X|X|CARRETERA A CHILTEPEC SIN NUMERO|RANCHERIA NICOLAS BRAVO TERCERA SECCION|X|9331056894|X|X|X|CARRETERA A CHILTEPEC SIN NUMERO|X|LUNES|x|x|x|x|x|DOMICILIO |1000|13800|X|X|X|2022-02-18|2022-02-25|x|x|x|x|x|QX002MIY9KVTQO|x|HOMBRE|X|14800|X|X|X|X|X|X|X|X|CARDENAS|X|X|X|X|FINAL</v>
      </c>
    </row>
    <row r="544" spans="1:82" x14ac:dyDescent="0.25">
      <c r="A544" t="s">
        <v>1193</v>
      </c>
      <c r="B544" t="s">
        <v>1194</v>
      </c>
      <c r="C544">
        <v>3</v>
      </c>
      <c r="D544" t="s">
        <v>1369</v>
      </c>
      <c r="E544" t="s">
        <v>1380</v>
      </c>
      <c r="F544" t="s">
        <v>1385</v>
      </c>
      <c r="G544" t="s">
        <v>1385</v>
      </c>
      <c r="H544" t="s">
        <v>1659</v>
      </c>
      <c r="I544">
        <v>14800</v>
      </c>
      <c r="J544">
        <v>0</v>
      </c>
      <c r="K544">
        <v>50</v>
      </c>
      <c r="L544">
        <v>50</v>
      </c>
      <c r="M544">
        <v>1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Y544">
        <v>0</v>
      </c>
      <c r="Z544">
        <v>0</v>
      </c>
      <c r="AA544">
        <v>0</v>
      </c>
      <c r="AB544" t="s">
        <v>1790</v>
      </c>
      <c r="AC544" t="s">
        <v>2064</v>
      </c>
      <c r="AD544" t="s">
        <v>2360</v>
      </c>
      <c r="AE544" t="s">
        <v>4</v>
      </c>
      <c r="AF544" t="s">
        <v>1</v>
      </c>
      <c r="AG544" t="s">
        <v>1</v>
      </c>
      <c r="AH544" t="s">
        <v>2904</v>
      </c>
      <c r="AI544" t="s">
        <v>3210</v>
      </c>
      <c r="AJ544" t="s">
        <v>1</v>
      </c>
      <c r="AK544">
        <v>9381429100</v>
      </c>
      <c r="AL544" t="s">
        <v>1</v>
      </c>
      <c r="AM544" t="s">
        <v>1</v>
      </c>
      <c r="AN544" t="s">
        <v>1</v>
      </c>
      <c r="AO544" t="s">
        <v>2904</v>
      </c>
      <c r="AP544" t="s">
        <v>1</v>
      </c>
      <c r="AQ544" t="s">
        <v>2</v>
      </c>
      <c r="AR544" t="s">
        <v>3</v>
      </c>
      <c r="AS544" t="s">
        <v>3</v>
      </c>
      <c r="AT544" t="s">
        <v>3</v>
      </c>
      <c r="AU544" t="s">
        <v>3</v>
      </c>
      <c r="AV544" t="s">
        <v>3</v>
      </c>
      <c r="AW544" t="s">
        <v>11</v>
      </c>
      <c r="AX544">
        <f>Tabla1[[#This Row],[precio del paquete]]-Tabla1[[#This Row],[Saldo_Deudor]]</f>
        <v>550</v>
      </c>
      <c r="AY544">
        <v>14250</v>
      </c>
      <c r="AZ544" t="s">
        <v>1</v>
      </c>
      <c r="BA544" t="s">
        <v>1</v>
      </c>
      <c r="BB544" t="s">
        <v>1</v>
      </c>
      <c r="BC544" t="s">
        <v>1407</v>
      </c>
      <c r="BD544" t="s">
        <v>3338</v>
      </c>
      <c r="BE544" t="s">
        <v>3</v>
      </c>
      <c r="BF544" t="s">
        <v>3</v>
      </c>
      <c r="BG544" t="s">
        <v>3</v>
      </c>
      <c r="BH544" t="s">
        <v>3</v>
      </c>
      <c r="BI544" t="s">
        <v>3</v>
      </c>
      <c r="BJ544" t="s">
        <v>3373</v>
      </c>
      <c r="BK544" t="s">
        <v>3</v>
      </c>
      <c r="BL544" t="s">
        <v>132</v>
      </c>
      <c r="BM544" t="s">
        <v>1</v>
      </c>
      <c r="BN544">
        <f>Tabla1[[#This Row],[precio del paquete]]</f>
        <v>14800</v>
      </c>
      <c r="BO544" t="s">
        <v>1</v>
      </c>
      <c r="BP544" t="s">
        <v>1</v>
      </c>
      <c r="BQ544" t="s">
        <v>1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0</v>
      </c>
      <c r="BX544" t="s">
        <v>1</v>
      </c>
      <c r="BY544" t="s">
        <v>1</v>
      </c>
      <c r="BZ544" t="s">
        <v>1</v>
      </c>
      <c r="CA544" t="s">
        <v>1</v>
      </c>
      <c r="CB544" t="s">
        <v>3382</v>
      </c>
      <c r="CD544" t="str" cm="1">
        <f t="array" aca="1" ref="CD544" ca="1">eConcatenar(A544:CB544,"|")</f>
        <v>7K5jkkihHJKjTe2T|PAR2021-4103|3|MEMORIAL|TABASCO|PARAISO|PARAISO|2021-12-28|14800|0|50|50|1|0|0|0|0|0|0|0|0|0|0||0|0|0|DOMINGUEZ|MONTIEL|JESUS NOEL|SOLTERO|X|X|ENTRADA LA MONTAÑITA SIN NUMERO|RANCHERIA LIBERTAD|X|9381429100|X|X|X|ENTRADA LA MONTAÑITA SIN NUMERO|X|LUNES|x|x|x|x|x|DOMICILIO |550|14250|X|X|X|2022-02-18|2022-02-25|x|x|x|x|x|QX002MIY9KVTQO|x|HOMBRE|X|14800|X|X|X|X|X|X|X|X|CARDENAS|X|X|X|X|FINAL</v>
      </c>
    </row>
    <row r="545" spans="1:82" x14ac:dyDescent="0.25">
      <c r="A545" t="s">
        <v>1195</v>
      </c>
      <c r="B545" t="s">
        <v>1196</v>
      </c>
      <c r="C545">
        <v>3</v>
      </c>
      <c r="D545" t="s">
        <v>1369</v>
      </c>
      <c r="E545" t="s">
        <v>1380</v>
      </c>
      <c r="F545" t="s">
        <v>1385</v>
      </c>
      <c r="G545" t="s">
        <v>1385</v>
      </c>
      <c r="H545" t="s">
        <v>1395</v>
      </c>
      <c r="I545">
        <v>14800</v>
      </c>
      <c r="J545">
        <v>0</v>
      </c>
      <c r="K545">
        <v>100</v>
      </c>
      <c r="L545">
        <v>50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Y545">
        <v>0</v>
      </c>
      <c r="Z545">
        <v>0</v>
      </c>
      <c r="AA545">
        <v>0</v>
      </c>
      <c r="AB545" t="s">
        <v>1987</v>
      </c>
      <c r="AC545" t="s">
        <v>8</v>
      </c>
      <c r="AD545" t="s">
        <v>2361</v>
      </c>
      <c r="AE545" t="s">
        <v>4</v>
      </c>
      <c r="AF545" t="s">
        <v>1</v>
      </c>
      <c r="AG545" t="s">
        <v>1</v>
      </c>
      <c r="AH545" t="s">
        <v>2905</v>
      </c>
      <c r="AI545" t="s">
        <v>3211</v>
      </c>
      <c r="AJ545" t="s">
        <v>1</v>
      </c>
      <c r="AK545">
        <v>9331332326</v>
      </c>
      <c r="AL545" t="s">
        <v>1</v>
      </c>
      <c r="AM545" t="s">
        <v>1</v>
      </c>
      <c r="AN545" t="s">
        <v>1</v>
      </c>
      <c r="AO545" t="s">
        <v>2905</v>
      </c>
      <c r="AP545" t="s">
        <v>1</v>
      </c>
      <c r="AQ545" t="s">
        <v>2</v>
      </c>
      <c r="AR545" t="s">
        <v>3</v>
      </c>
      <c r="AS545" t="s">
        <v>3</v>
      </c>
      <c r="AT545" t="s">
        <v>3</v>
      </c>
      <c r="AU545" t="s">
        <v>3</v>
      </c>
      <c r="AV545" t="s">
        <v>3</v>
      </c>
      <c r="AW545" t="s">
        <v>11</v>
      </c>
      <c r="AX545">
        <f>Tabla1[[#This Row],[precio del paquete]]-Tabla1[[#This Row],[Saldo_Deudor]]</f>
        <v>700</v>
      </c>
      <c r="AY545">
        <v>14100</v>
      </c>
      <c r="AZ545" t="s">
        <v>1</v>
      </c>
      <c r="BA545" t="s">
        <v>1</v>
      </c>
      <c r="BB545" t="s">
        <v>1</v>
      </c>
      <c r="BC545" t="s">
        <v>1407</v>
      </c>
      <c r="BD545" t="s">
        <v>3338</v>
      </c>
      <c r="BE545" t="s">
        <v>3</v>
      </c>
      <c r="BF545" t="s">
        <v>3</v>
      </c>
      <c r="BG545" t="s">
        <v>3</v>
      </c>
      <c r="BH545" t="s">
        <v>3</v>
      </c>
      <c r="BI545" t="s">
        <v>3</v>
      </c>
      <c r="BJ545" t="s">
        <v>3373</v>
      </c>
      <c r="BK545" t="s">
        <v>3</v>
      </c>
      <c r="BL545" t="s">
        <v>132</v>
      </c>
      <c r="BM545" t="s">
        <v>1</v>
      </c>
      <c r="BN545">
        <f>Tabla1[[#This Row],[precio del paquete]]</f>
        <v>14800</v>
      </c>
      <c r="BO545" t="s">
        <v>1</v>
      </c>
      <c r="BP545" t="s">
        <v>1</v>
      </c>
      <c r="BQ545" t="s">
        <v>1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0</v>
      </c>
      <c r="BX545" t="s">
        <v>1</v>
      </c>
      <c r="BY545" t="s">
        <v>1</v>
      </c>
      <c r="BZ545" t="s">
        <v>1</v>
      </c>
      <c r="CA545" t="s">
        <v>1</v>
      </c>
      <c r="CB545" t="s">
        <v>3382</v>
      </c>
      <c r="CD545" t="str" cm="1">
        <f t="array" aca="1" ref="CD545" ca="1">eConcatenar(A545:CB545,"|")</f>
        <v>zfHfAovwMrF2HPYT|PAR2022-0191|3|MEMORIAL|TABASCO|PARAISO|PARAISO|2022-01-21|14800|0|100|50|0|0|0|0|0|0|0|0|0|0|0||0|0|0|CHABLE|GOMEZ|ANITA|SOLTERO|X|X|EL TUCUY SIN NUMERO|RANCHERIA LIBERTAD PRIMERA SECCION|X|9331332326|X|X|X|EL TUCUY SIN NUMERO|X|LUNES|x|x|x|x|x|DOMICILIO |700|14100|X|X|X|2022-02-18|2022-02-25|x|x|x|x|x|QX002MIY9KVTQO|x|HOMBRE|X|14800|X|X|X|X|X|X|X|X|CARDENAS|X|X|X|X|FINAL</v>
      </c>
    </row>
    <row r="546" spans="1:82" x14ac:dyDescent="0.25">
      <c r="A546" t="s">
        <v>1197</v>
      </c>
      <c r="B546" t="s">
        <v>1198</v>
      </c>
      <c r="C546">
        <v>3</v>
      </c>
      <c r="D546" t="s">
        <v>1369</v>
      </c>
      <c r="E546" t="s">
        <v>1380</v>
      </c>
      <c r="F546" t="s">
        <v>1385</v>
      </c>
      <c r="G546" t="s">
        <v>1385</v>
      </c>
      <c r="H546" t="s">
        <v>1395</v>
      </c>
      <c r="I546">
        <v>14800</v>
      </c>
      <c r="J546">
        <v>0</v>
      </c>
      <c r="K546">
        <v>100</v>
      </c>
      <c r="L546">
        <v>50</v>
      </c>
      <c r="M546">
        <v>1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Y546">
        <v>0</v>
      </c>
      <c r="Z546">
        <v>0</v>
      </c>
      <c r="AA546">
        <v>0</v>
      </c>
      <c r="AB546" t="s">
        <v>1743</v>
      </c>
      <c r="AC546" t="s">
        <v>2362</v>
      </c>
      <c r="AD546" t="s">
        <v>2363</v>
      </c>
      <c r="AE546" t="s">
        <v>4</v>
      </c>
      <c r="AF546" t="s">
        <v>1</v>
      </c>
      <c r="AG546" t="s">
        <v>1</v>
      </c>
      <c r="AH546" t="s">
        <v>2906</v>
      </c>
      <c r="AI546" t="s">
        <v>3211</v>
      </c>
      <c r="AJ546" t="s">
        <v>1</v>
      </c>
      <c r="AK546">
        <v>9332104751</v>
      </c>
      <c r="AL546" t="s">
        <v>1</v>
      </c>
      <c r="AM546" t="s">
        <v>1</v>
      </c>
      <c r="AN546" t="s">
        <v>1</v>
      </c>
      <c r="AO546" t="s">
        <v>2906</v>
      </c>
      <c r="AP546" t="s">
        <v>1</v>
      </c>
      <c r="AQ546" t="s">
        <v>2</v>
      </c>
      <c r="AR546" t="s">
        <v>3</v>
      </c>
      <c r="AS546" t="s">
        <v>3</v>
      </c>
      <c r="AT546" t="s">
        <v>3</v>
      </c>
      <c r="AU546" t="s">
        <v>3</v>
      </c>
      <c r="AV546" t="s">
        <v>3</v>
      </c>
      <c r="AW546" t="s">
        <v>11</v>
      </c>
      <c r="AX546">
        <f>Tabla1[[#This Row],[precio del paquete]]-Tabla1[[#This Row],[Saldo_Deudor]]</f>
        <v>500</v>
      </c>
      <c r="AY546">
        <v>14300</v>
      </c>
      <c r="AZ546" t="s">
        <v>1</v>
      </c>
      <c r="BA546" t="s">
        <v>1</v>
      </c>
      <c r="BB546" t="s">
        <v>1</v>
      </c>
      <c r="BC546" t="s">
        <v>1407</v>
      </c>
      <c r="BD546" t="s">
        <v>3338</v>
      </c>
      <c r="BE546" t="s">
        <v>3</v>
      </c>
      <c r="BF546" t="s">
        <v>3</v>
      </c>
      <c r="BG546" t="s">
        <v>3</v>
      </c>
      <c r="BH546" t="s">
        <v>3</v>
      </c>
      <c r="BI546" t="s">
        <v>3</v>
      </c>
      <c r="BJ546" t="s">
        <v>3373</v>
      </c>
      <c r="BK546" t="s">
        <v>3</v>
      </c>
      <c r="BL546" t="s">
        <v>132</v>
      </c>
      <c r="BM546" t="s">
        <v>1</v>
      </c>
      <c r="BN546">
        <f>Tabla1[[#This Row],[precio del paquete]]</f>
        <v>14800</v>
      </c>
      <c r="BO546" t="s">
        <v>1</v>
      </c>
      <c r="BP546" t="s">
        <v>1</v>
      </c>
      <c r="BQ546" t="s">
        <v>1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0</v>
      </c>
      <c r="BX546" t="s">
        <v>1</v>
      </c>
      <c r="BY546" t="s">
        <v>1</v>
      </c>
      <c r="BZ546" t="s">
        <v>1</v>
      </c>
      <c r="CA546" t="s">
        <v>1</v>
      </c>
      <c r="CB546" t="s">
        <v>3382</v>
      </c>
      <c r="CD546" t="str" cm="1">
        <f t="array" aca="1" ref="CD546" ca="1">eConcatenar(A546:CB546,"|")</f>
        <v>1IcDlXsV5kF63NFQ|PAR2022-0192|3|MEMORIAL|TABASCO|PARAISO|PARAISO|2022-01-21|14800|0|100|50|1|0|0|0|0|0|0|0|0|0|0||0|0|0|DIAZ|CORDVA|NORMA|SOLTERO|X|X|ENTRADA DE PALMA HUACA|RANCHERIA LIBERTAD PRIMERA SECCION|X|9332104751|X|X|X|ENTRADA DE PALMA HUACA|X|LUNES|x|x|x|x|x|DOMICILIO |500|14300|X|X|X|2022-02-18|2022-02-25|x|x|x|x|x|QX002MIY9KVTQO|x|HOMBRE|X|14800|X|X|X|X|X|X|X|X|CARDENAS|X|X|X|X|FINAL</v>
      </c>
    </row>
    <row r="547" spans="1:82" x14ac:dyDescent="0.25">
      <c r="A547" t="s">
        <v>1199</v>
      </c>
      <c r="B547" t="s">
        <v>1200</v>
      </c>
      <c r="C547">
        <v>3</v>
      </c>
      <c r="D547" t="s">
        <v>1369</v>
      </c>
      <c r="E547" t="s">
        <v>1380</v>
      </c>
      <c r="F547" t="s">
        <v>1385</v>
      </c>
      <c r="G547" t="s">
        <v>1385</v>
      </c>
      <c r="H547" t="s">
        <v>1420</v>
      </c>
      <c r="I547">
        <v>14800</v>
      </c>
      <c r="J547">
        <v>0</v>
      </c>
      <c r="K547">
        <v>200</v>
      </c>
      <c r="L547">
        <v>50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Y547">
        <v>0</v>
      </c>
      <c r="Z547">
        <v>0</v>
      </c>
      <c r="AA547">
        <v>0</v>
      </c>
      <c r="AB547" t="s">
        <v>1748</v>
      </c>
      <c r="AC547" t="s">
        <v>1987</v>
      </c>
      <c r="AD547" t="s">
        <v>2364</v>
      </c>
      <c r="AE547" t="s">
        <v>4</v>
      </c>
      <c r="AF547" t="s">
        <v>1</v>
      </c>
      <c r="AG547" t="s">
        <v>1</v>
      </c>
      <c r="AH547" t="s">
        <v>2907</v>
      </c>
      <c r="AI547" t="s">
        <v>3212</v>
      </c>
      <c r="AJ547" t="s">
        <v>1</v>
      </c>
      <c r="AK547">
        <v>9331016752</v>
      </c>
      <c r="AL547" t="s">
        <v>1</v>
      </c>
      <c r="AM547" t="s">
        <v>1</v>
      </c>
      <c r="AN547" t="s">
        <v>1</v>
      </c>
      <c r="AO547" t="s">
        <v>2907</v>
      </c>
      <c r="AP547" t="s">
        <v>1</v>
      </c>
      <c r="AQ547" t="s">
        <v>2</v>
      </c>
      <c r="AR547" t="s">
        <v>3</v>
      </c>
      <c r="AS547" t="s">
        <v>3</v>
      </c>
      <c r="AT547" t="s">
        <v>3</v>
      </c>
      <c r="AU547" t="s">
        <v>3</v>
      </c>
      <c r="AV547" t="s">
        <v>3</v>
      </c>
      <c r="AW547" t="s">
        <v>11</v>
      </c>
      <c r="AX547">
        <f>Tabla1[[#This Row],[precio del paquete]]-Tabla1[[#This Row],[Saldo_Deudor]]</f>
        <v>2200</v>
      </c>
      <c r="AY547">
        <v>12600</v>
      </c>
      <c r="AZ547" t="s">
        <v>1</v>
      </c>
      <c r="BA547" t="s">
        <v>1</v>
      </c>
      <c r="BB547" t="s">
        <v>1</v>
      </c>
      <c r="BC547" t="s">
        <v>1407</v>
      </c>
      <c r="BD547" t="s">
        <v>3338</v>
      </c>
      <c r="BE547" t="s">
        <v>3</v>
      </c>
      <c r="BF547" t="s">
        <v>3</v>
      </c>
      <c r="BG547" t="s">
        <v>3</v>
      </c>
      <c r="BH547" t="s">
        <v>3</v>
      </c>
      <c r="BI547" t="s">
        <v>3</v>
      </c>
      <c r="BJ547" t="s">
        <v>3373</v>
      </c>
      <c r="BK547" t="s">
        <v>3</v>
      </c>
      <c r="BL547" t="s">
        <v>132</v>
      </c>
      <c r="BM547" t="s">
        <v>1</v>
      </c>
      <c r="BN547">
        <f>Tabla1[[#This Row],[precio del paquete]]</f>
        <v>14800</v>
      </c>
      <c r="BO547" t="s">
        <v>1</v>
      </c>
      <c r="BP547" t="s">
        <v>1</v>
      </c>
      <c r="BQ547" t="s">
        <v>1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0</v>
      </c>
      <c r="BX547" t="s">
        <v>1</v>
      </c>
      <c r="BY547" t="s">
        <v>1</v>
      </c>
      <c r="BZ547" t="s">
        <v>1</v>
      </c>
      <c r="CA547" t="s">
        <v>1</v>
      </c>
      <c r="CB547" t="s">
        <v>3382</v>
      </c>
      <c r="CD547" t="str" cm="1">
        <f t="array" aca="1" ref="CD547" ca="1">eConcatenar(A547:CB547,"|")</f>
        <v>dtaKXjW9CJI4Q75Q|PAR2021-3962|3|MEMORIAL|TABASCO|PARAISO|PARAISO|2021-12-11|14800|0|200|50|0|0|0|0|0|0|0|0|0|0|0||0|0|0|JIMENEZ|CHABLE|WILFRIDO|SOLTERO|X|X|CALLE FERNANDO MONTE DE OCA|EJIDO PALESTINA|X|9331016752|X|X|X|CALLE FERNANDO MONTE DE OCA|X|LUNES|x|x|x|x|x|DOMICILIO |2200|12600|X|X|X|2022-02-18|2022-02-25|x|x|x|x|x|QX002MIY9KVTQO|x|HOMBRE|X|14800|X|X|X|X|X|X|X|X|CARDENAS|X|X|X|X|FINAL</v>
      </c>
    </row>
    <row r="548" spans="1:82" x14ac:dyDescent="0.25">
      <c r="A548" t="s">
        <v>1201</v>
      </c>
      <c r="B548" t="s">
        <v>1202</v>
      </c>
      <c r="C548">
        <v>3</v>
      </c>
      <c r="D548" t="s">
        <v>1369</v>
      </c>
      <c r="E548" t="s">
        <v>1380</v>
      </c>
      <c r="F548" t="s">
        <v>1385</v>
      </c>
      <c r="G548" t="s">
        <v>1385</v>
      </c>
      <c r="H548" t="s">
        <v>1395</v>
      </c>
      <c r="I548">
        <v>14800</v>
      </c>
      <c r="J548">
        <v>0</v>
      </c>
      <c r="K548">
        <v>500</v>
      </c>
      <c r="L548">
        <v>50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Y548">
        <v>0</v>
      </c>
      <c r="Z548">
        <v>0</v>
      </c>
      <c r="AA548">
        <v>0</v>
      </c>
      <c r="AB548" t="s">
        <v>1812</v>
      </c>
      <c r="AC548" t="s">
        <v>2365</v>
      </c>
      <c r="AD548" t="s">
        <v>2366</v>
      </c>
      <c r="AE548" t="s">
        <v>4</v>
      </c>
      <c r="AF548" t="s">
        <v>1</v>
      </c>
      <c r="AG548" t="s">
        <v>1</v>
      </c>
      <c r="AH548" t="s">
        <v>2908</v>
      </c>
      <c r="AI548" t="s">
        <v>3213</v>
      </c>
      <c r="AJ548" t="s">
        <v>1</v>
      </c>
      <c r="AK548">
        <v>9331527633</v>
      </c>
      <c r="AL548" t="s">
        <v>1</v>
      </c>
      <c r="AM548" t="s">
        <v>1</v>
      </c>
      <c r="AN548" t="s">
        <v>1</v>
      </c>
      <c r="AO548" t="s">
        <v>2908</v>
      </c>
      <c r="AP548" t="s">
        <v>1</v>
      </c>
      <c r="AQ548" t="s">
        <v>2</v>
      </c>
      <c r="AR548" t="s">
        <v>3</v>
      </c>
      <c r="AS548" t="s">
        <v>3</v>
      </c>
      <c r="AT548" t="s">
        <v>3</v>
      </c>
      <c r="AU548" t="s">
        <v>3</v>
      </c>
      <c r="AV548" t="s">
        <v>3</v>
      </c>
      <c r="AW548" t="s">
        <v>11</v>
      </c>
      <c r="AX548">
        <f>Tabla1[[#This Row],[precio del paquete]]-Tabla1[[#This Row],[Saldo_Deudor]]</f>
        <v>900</v>
      </c>
      <c r="AY548">
        <v>13900</v>
      </c>
      <c r="AZ548" t="s">
        <v>1</v>
      </c>
      <c r="BA548" t="s">
        <v>1</v>
      </c>
      <c r="BB548" t="s">
        <v>1</v>
      </c>
      <c r="BC548" t="s">
        <v>1407</v>
      </c>
      <c r="BD548" t="s">
        <v>3338</v>
      </c>
      <c r="BE548" t="s">
        <v>3</v>
      </c>
      <c r="BF548" t="s">
        <v>3</v>
      </c>
      <c r="BG548" t="s">
        <v>3</v>
      </c>
      <c r="BH548" t="s">
        <v>3</v>
      </c>
      <c r="BI548" t="s">
        <v>3</v>
      </c>
      <c r="BJ548" t="s">
        <v>3373</v>
      </c>
      <c r="BK548" t="s">
        <v>3</v>
      </c>
      <c r="BL548" t="s">
        <v>132</v>
      </c>
      <c r="BM548" t="s">
        <v>1</v>
      </c>
      <c r="BN548">
        <f>Tabla1[[#This Row],[precio del paquete]]</f>
        <v>14800</v>
      </c>
      <c r="BO548" t="s">
        <v>1</v>
      </c>
      <c r="BP548" t="s">
        <v>1</v>
      </c>
      <c r="BQ548" t="s">
        <v>1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0</v>
      </c>
      <c r="BX548" t="s">
        <v>1</v>
      </c>
      <c r="BY548" t="s">
        <v>1</v>
      </c>
      <c r="BZ548" t="s">
        <v>1</v>
      </c>
      <c r="CA548" t="s">
        <v>1</v>
      </c>
      <c r="CB548" t="s">
        <v>3382</v>
      </c>
      <c r="CD548" t="str" cm="1">
        <f t="array" aca="1" ref="CD548" ca="1">eConcatenar(A548:CB548,"|")</f>
        <v>1KbBqg4EhCW5QjtR|PAR2022-0189|3|MEMORIAL|TABASCO|PARAISO|PARAISO|2022-01-21|14800|0|500|50|0|0|0|0|0|0|0|0|0|0|0||0|0|0|SANCHEZ|ESTIADAS|JOAQUIN|SOLTERO|X|X|CALLE ALDEMIR MAGAÑA SIN NUMERO|RANCHERIA ORIENTE SAN CALLETANO|X|9331527633|X|X|X|CALLE ALDEMIR MAGAÑA SIN NUMERO|X|LUNES|x|x|x|x|x|DOMICILIO |900|13900|X|X|X|2022-02-18|2022-02-25|x|x|x|x|x|QX002MIY9KVTQO|x|HOMBRE|X|14800|X|X|X|X|X|X|X|X|CARDENAS|X|X|X|X|FINAL</v>
      </c>
    </row>
    <row r="549" spans="1:82" x14ac:dyDescent="0.25">
      <c r="A549" t="s">
        <v>1203</v>
      </c>
      <c r="B549" t="s">
        <v>1204</v>
      </c>
      <c r="C549">
        <v>3</v>
      </c>
      <c r="D549" t="s">
        <v>1369</v>
      </c>
      <c r="E549" t="s">
        <v>1380</v>
      </c>
      <c r="F549" t="s">
        <v>1385</v>
      </c>
      <c r="G549" t="s">
        <v>1385</v>
      </c>
      <c r="H549" t="s">
        <v>1395</v>
      </c>
      <c r="I549">
        <v>14800</v>
      </c>
      <c r="J549">
        <v>0</v>
      </c>
      <c r="K549">
        <v>200</v>
      </c>
      <c r="L549">
        <v>50</v>
      </c>
      <c r="M549">
        <v>1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Y549">
        <v>0</v>
      </c>
      <c r="Z549">
        <v>0</v>
      </c>
      <c r="AA549">
        <v>0</v>
      </c>
      <c r="AB549" t="s">
        <v>2333</v>
      </c>
      <c r="AC549" t="s">
        <v>1744</v>
      </c>
      <c r="AD549" t="s">
        <v>2367</v>
      </c>
      <c r="AE549" t="s">
        <v>4</v>
      </c>
      <c r="AF549" t="s">
        <v>1</v>
      </c>
      <c r="AG549" t="s">
        <v>1</v>
      </c>
      <c r="AH549" t="s">
        <v>2909</v>
      </c>
      <c r="AI549" t="s">
        <v>3213</v>
      </c>
      <c r="AJ549" t="s">
        <v>1</v>
      </c>
      <c r="AK549">
        <v>9931755411</v>
      </c>
      <c r="AL549" t="s">
        <v>1</v>
      </c>
      <c r="AM549" t="s">
        <v>1</v>
      </c>
      <c r="AN549" t="s">
        <v>1</v>
      </c>
      <c r="AO549" t="s">
        <v>2909</v>
      </c>
      <c r="AP549" t="s">
        <v>1</v>
      </c>
      <c r="AQ549" t="s">
        <v>2</v>
      </c>
      <c r="AR549" t="s">
        <v>3</v>
      </c>
      <c r="AS549" t="s">
        <v>3</v>
      </c>
      <c r="AT549" t="s">
        <v>3</v>
      </c>
      <c r="AU549" t="s">
        <v>3</v>
      </c>
      <c r="AV549" t="s">
        <v>3</v>
      </c>
      <c r="AW549" t="s">
        <v>11</v>
      </c>
      <c r="AX549">
        <f>Tabla1[[#This Row],[precio del paquete]]-Tabla1[[#This Row],[Saldo_Deudor]]</f>
        <v>800</v>
      </c>
      <c r="AY549">
        <v>14000</v>
      </c>
      <c r="AZ549" t="s">
        <v>1</v>
      </c>
      <c r="BA549" t="s">
        <v>1</v>
      </c>
      <c r="BB549" t="s">
        <v>1</v>
      </c>
      <c r="BC549" t="s">
        <v>1407</v>
      </c>
      <c r="BD549" t="s">
        <v>3338</v>
      </c>
      <c r="BE549" t="s">
        <v>3</v>
      </c>
      <c r="BF549" t="s">
        <v>3</v>
      </c>
      <c r="BG549" t="s">
        <v>3</v>
      </c>
      <c r="BH549" t="s">
        <v>3</v>
      </c>
      <c r="BI549" t="s">
        <v>3</v>
      </c>
      <c r="BJ549" t="s">
        <v>3373</v>
      </c>
      <c r="BK549" t="s">
        <v>3</v>
      </c>
      <c r="BL549" t="s">
        <v>132</v>
      </c>
      <c r="BM549" t="s">
        <v>1</v>
      </c>
      <c r="BN549">
        <f>Tabla1[[#This Row],[precio del paquete]]</f>
        <v>14800</v>
      </c>
      <c r="BO549" t="s">
        <v>1</v>
      </c>
      <c r="BP549" t="s">
        <v>1</v>
      </c>
      <c r="BQ549" t="s">
        <v>1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0</v>
      </c>
      <c r="BX549" t="s">
        <v>1</v>
      </c>
      <c r="BY549" t="s">
        <v>1</v>
      </c>
      <c r="BZ549" t="s">
        <v>1</v>
      </c>
      <c r="CA549" t="s">
        <v>1</v>
      </c>
      <c r="CB549" t="s">
        <v>3382</v>
      </c>
      <c r="CD549" t="str" cm="1">
        <f t="array" aca="1" ref="CD549" ca="1">eConcatenar(A549:CB549,"|")</f>
        <v>LhFb82Aec35KryQx|PAR2022-0188|3|MEMORIAL|TABASCO|PARAISO|PARAISO|2022-01-21|14800|0|200|50|1|0|0|0|0|0|0|0|0|0|0||0|0|0|HIDALGO|PEREZ|ZURISADA|SOLTERO|X|X|CALLE EMILIANO ZAPATA|RANCHERIA ORIENTE SAN CALLETANO|X|9931755411|X|X|X|CALLE EMILIANO ZAPATA|X|LUNES|x|x|x|x|x|DOMICILIO |800|14000|X|X|X|2022-02-18|2022-02-25|x|x|x|x|x|QX002MIY9KVTQO|x|HOMBRE|X|14800|X|X|X|X|X|X|X|X|CARDENAS|X|X|X|X|FINAL</v>
      </c>
    </row>
    <row r="550" spans="1:82" x14ac:dyDescent="0.25">
      <c r="A550" t="s">
        <v>1205</v>
      </c>
      <c r="B550" t="s">
        <v>1206</v>
      </c>
      <c r="C550">
        <v>3</v>
      </c>
      <c r="D550" t="s">
        <v>1369</v>
      </c>
      <c r="E550" t="s">
        <v>1380</v>
      </c>
      <c r="F550" t="s">
        <v>1384</v>
      </c>
      <c r="G550" t="s">
        <v>1384</v>
      </c>
      <c r="H550" t="s">
        <v>1660</v>
      </c>
      <c r="I550">
        <v>14800</v>
      </c>
      <c r="J550">
        <v>0</v>
      </c>
      <c r="K550">
        <v>200</v>
      </c>
      <c r="L550">
        <v>50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Y550">
        <v>0</v>
      </c>
      <c r="Z550">
        <v>0</v>
      </c>
      <c r="AA550">
        <v>0</v>
      </c>
      <c r="AB550" t="s">
        <v>2368</v>
      </c>
      <c r="AC550" t="s">
        <v>2015</v>
      </c>
      <c r="AD550" t="s">
        <v>2369</v>
      </c>
      <c r="AE550" t="s">
        <v>4</v>
      </c>
      <c r="AF550" t="s">
        <v>1</v>
      </c>
      <c r="AG550" t="s">
        <v>1</v>
      </c>
      <c r="AH550" t="s">
        <v>2910</v>
      </c>
      <c r="AI550" t="s">
        <v>3214</v>
      </c>
      <c r="AJ550" t="s">
        <v>1</v>
      </c>
      <c r="AK550">
        <v>9331043967</v>
      </c>
      <c r="AL550" t="s">
        <v>1</v>
      </c>
      <c r="AM550" t="s">
        <v>1</v>
      </c>
      <c r="AN550" t="s">
        <v>1</v>
      </c>
      <c r="AO550" t="s">
        <v>2910</v>
      </c>
      <c r="AP550" t="s">
        <v>1</v>
      </c>
      <c r="AQ550" t="s">
        <v>2</v>
      </c>
      <c r="AR550" t="s">
        <v>3</v>
      </c>
      <c r="AS550" t="s">
        <v>3</v>
      </c>
      <c r="AT550" t="s">
        <v>3</v>
      </c>
      <c r="AU550" t="s">
        <v>3</v>
      </c>
      <c r="AV550" t="s">
        <v>3</v>
      </c>
      <c r="AW550" t="s">
        <v>11</v>
      </c>
      <c r="AX550">
        <f>Tabla1[[#This Row],[precio del paquete]]-Tabla1[[#This Row],[Saldo_Deudor]]</f>
        <v>1400</v>
      </c>
      <c r="AY550">
        <v>13400</v>
      </c>
      <c r="AZ550" t="s">
        <v>1</v>
      </c>
      <c r="BA550" t="s">
        <v>1</v>
      </c>
      <c r="BB550" t="s">
        <v>1</v>
      </c>
      <c r="BC550" t="s">
        <v>3252</v>
      </c>
      <c r="BD550" t="s">
        <v>3310</v>
      </c>
      <c r="BE550" t="s">
        <v>3</v>
      </c>
      <c r="BF550" t="s">
        <v>3</v>
      </c>
      <c r="BG550" t="s">
        <v>3</v>
      </c>
      <c r="BH550" t="s">
        <v>3</v>
      </c>
      <c r="BI550" t="s">
        <v>3</v>
      </c>
      <c r="BJ550" t="s">
        <v>3373</v>
      </c>
      <c r="BK550" t="s">
        <v>3</v>
      </c>
      <c r="BL550" t="s">
        <v>132</v>
      </c>
      <c r="BM550" t="s">
        <v>1</v>
      </c>
      <c r="BN550">
        <f>Tabla1[[#This Row],[precio del paquete]]</f>
        <v>14800</v>
      </c>
      <c r="BO550" t="s">
        <v>1</v>
      </c>
      <c r="BP550" t="s">
        <v>1</v>
      </c>
      <c r="BQ550" t="s">
        <v>1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0</v>
      </c>
      <c r="BX550" t="s">
        <v>1</v>
      </c>
      <c r="BY550" t="s">
        <v>1</v>
      </c>
      <c r="BZ550" t="s">
        <v>1</v>
      </c>
      <c r="CA550" t="s">
        <v>1</v>
      </c>
      <c r="CB550" t="s">
        <v>3382</v>
      </c>
      <c r="CD550" t="str" cm="1">
        <f t="array" aca="1" ref="CD550" ca="1">eConcatenar(A550:CB550,"|")</f>
        <v>bU6veyj4yiL9rIgL|COM2021-3167|3|MEMORIAL|TABASCO|COMALCALCO|COMALCALCO|2021-10-12|14800|0|200|50|1|0|0|0|0|0|0|0|0|0|0||0|0|0|IZQUERDO|LORENA|BERTHA LILA|SOLTERO|X|X|CARRETERA A CHICHICAPA SIN NUMERO|FRACCIONAMIENTO LAS ROSAS|X|9331043967|X|X|X|CARRETERA A CHICHICAPA SIN NUMERO|X|LUNES|x|x|x|x|x|DOMICILIO |1400|13400|X|X|X|2022-02-19|2022-02-26|x|x|x|x|x|QX002MIY9KVTQO|x|HOMBRE|X|14800|X|X|X|X|X|X|X|X|CARDENAS|X|X|X|X|FINAL</v>
      </c>
    </row>
    <row r="551" spans="1:82" x14ac:dyDescent="0.25">
      <c r="A551" t="s">
        <v>1207</v>
      </c>
      <c r="B551" t="s">
        <v>1208</v>
      </c>
      <c r="C551">
        <v>3</v>
      </c>
      <c r="D551" t="s">
        <v>1372</v>
      </c>
      <c r="E551" t="s">
        <v>1380</v>
      </c>
      <c r="F551" t="s">
        <v>1384</v>
      </c>
      <c r="G551" t="s">
        <v>1384</v>
      </c>
      <c r="H551" t="s">
        <v>1661</v>
      </c>
      <c r="I551">
        <v>12900</v>
      </c>
      <c r="J551">
        <v>0</v>
      </c>
      <c r="K551">
        <v>100</v>
      </c>
      <c r="L551">
        <v>50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Y551">
        <v>0</v>
      </c>
      <c r="Z551">
        <v>0</v>
      </c>
      <c r="AA551">
        <v>0</v>
      </c>
      <c r="AB551" t="s">
        <v>1699</v>
      </c>
      <c r="AC551" t="s">
        <v>2370</v>
      </c>
      <c r="AD551" t="s">
        <v>2371</v>
      </c>
      <c r="AE551" t="s">
        <v>4</v>
      </c>
      <c r="AF551" t="s">
        <v>1</v>
      </c>
      <c r="AG551" t="s">
        <v>1</v>
      </c>
      <c r="AH551" t="s">
        <v>2911</v>
      </c>
      <c r="AI551" t="s">
        <v>3215</v>
      </c>
      <c r="AJ551" t="s">
        <v>1</v>
      </c>
      <c r="AK551">
        <v>2721111219</v>
      </c>
      <c r="AL551" t="s">
        <v>1</v>
      </c>
      <c r="AM551" t="s">
        <v>1</v>
      </c>
      <c r="AN551" t="s">
        <v>1</v>
      </c>
      <c r="AO551" t="s">
        <v>2911</v>
      </c>
      <c r="AP551" t="s">
        <v>1</v>
      </c>
      <c r="AQ551" t="s">
        <v>2</v>
      </c>
      <c r="AR551" t="s">
        <v>3</v>
      </c>
      <c r="AS551" t="s">
        <v>3</v>
      </c>
      <c r="AT551" t="s">
        <v>3</v>
      </c>
      <c r="AU551" t="s">
        <v>3</v>
      </c>
      <c r="AV551" t="s">
        <v>3</v>
      </c>
      <c r="AW551" t="s">
        <v>11</v>
      </c>
      <c r="AX551">
        <f>Tabla1[[#This Row],[precio del paquete]]-Tabla1[[#This Row],[Saldo_Deudor]]</f>
        <v>1600</v>
      </c>
      <c r="AY551">
        <v>11300</v>
      </c>
      <c r="AZ551" t="s">
        <v>1</v>
      </c>
      <c r="BA551" t="s">
        <v>1</v>
      </c>
      <c r="BB551" t="s">
        <v>1</v>
      </c>
      <c r="BC551" t="s">
        <v>3252</v>
      </c>
      <c r="BD551" t="s">
        <v>3310</v>
      </c>
      <c r="BE551" t="s">
        <v>3</v>
      </c>
      <c r="BF551" t="s">
        <v>3</v>
      </c>
      <c r="BG551" t="s">
        <v>3</v>
      </c>
      <c r="BH551" t="s">
        <v>3</v>
      </c>
      <c r="BI551" t="s">
        <v>3</v>
      </c>
      <c r="BJ551" t="s">
        <v>3373</v>
      </c>
      <c r="BK551" t="s">
        <v>3</v>
      </c>
      <c r="BL551" t="s">
        <v>132</v>
      </c>
      <c r="BM551" t="s">
        <v>1</v>
      </c>
      <c r="BN551">
        <f>Tabla1[[#This Row],[precio del paquete]]</f>
        <v>12900</v>
      </c>
      <c r="BO551" t="s">
        <v>1</v>
      </c>
      <c r="BP551" t="s">
        <v>1</v>
      </c>
      <c r="BQ551" t="s">
        <v>1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0</v>
      </c>
      <c r="BX551" t="s">
        <v>1</v>
      </c>
      <c r="BY551" t="s">
        <v>1</v>
      </c>
      <c r="BZ551" t="s">
        <v>1</v>
      </c>
      <c r="CA551" t="s">
        <v>1</v>
      </c>
      <c r="CB551" t="s">
        <v>3382</v>
      </c>
      <c r="CD551" t="str" cm="1">
        <f t="array" aca="1" ref="CD551" ca="1">eConcatenar(A551:CB551,"|")</f>
        <v>8Zy76JJCLzzA8Kmn|COM2021-1303|3|IMPERIAL DE LUJO|TABASCO|COMALCALCO|COMALCALCO|2021-04-03|12900|0|100|50|0|0|0|0|0|0|0|0|0|0|0||0|0|0|CORDOVA|CAMACHO|ANA CRISTEL|SOLTERO|X|X|CERRADA GABRIEL CAMACHO|EJIDO BUENA VISTA|X|2721111219|X|X|X|CERRADA GABRIEL CAMACHO|X|LUNES|x|x|x|x|x|DOMICILIO |1600|11300|X|X|X|2022-02-19|2022-02-26|x|x|x|x|x|QX002MIY9KVTQO|x|HOMBRE|X|12900|X|X|X|X|X|X|X|X|CARDENAS|X|X|X|X|FINAL</v>
      </c>
    </row>
    <row r="552" spans="1:82" x14ac:dyDescent="0.25">
      <c r="A552" t="s">
        <v>1209</v>
      </c>
      <c r="B552" t="s">
        <v>1210</v>
      </c>
      <c r="C552">
        <v>3</v>
      </c>
      <c r="D552" t="s">
        <v>1369</v>
      </c>
      <c r="E552" t="s">
        <v>1380</v>
      </c>
      <c r="F552" t="s">
        <v>1385</v>
      </c>
      <c r="G552" t="s">
        <v>1385</v>
      </c>
      <c r="H552" t="s">
        <v>1390</v>
      </c>
      <c r="I552">
        <v>14800</v>
      </c>
      <c r="J552">
        <v>0</v>
      </c>
      <c r="K552">
        <v>50</v>
      </c>
      <c r="L552">
        <v>50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Y552">
        <v>0</v>
      </c>
      <c r="Z552">
        <v>0</v>
      </c>
      <c r="AA552">
        <v>0</v>
      </c>
      <c r="AB552" t="s">
        <v>2372</v>
      </c>
      <c r="AC552" t="s">
        <v>1711</v>
      </c>
      <c r="AD552" t="s">
        <v>2373</v>
      </c>
      <c r="AE552" t="s">
        <v>4</v>
      </c>
      <c r="AF552" t="s">
        <v>1</v>
      </c>
      <c r="AG552" t="s">
        <v>1</v>
      </c>
      <c r="AH552" t="s">
        <v>2912</v>
      </c>
      <c r="AI552" t="s">
        <v>3216</v>
      </c>
      <c r="AJ552" t="s">
        <v>1</v>
      </c>
      <c r="AK552">
        <v>9332071368</v>
      </c>
      <c r="AL552" t="s">
        <v>1</v>
      </c>
      <c r="AM552" t="s">
        <v>1</v>
      </c>
      <c r="AN552" t="s">
        <v>1</v>
      </c>
      <c r="AO552" t="s">
        <v>2912</v>
      </c>
      <c r="AP552" t="s">
        <v>1</v>
      </c>
      <c r="AQ552" t="s">
        <v>2</v>
      </c>
      <c r="AR552" t="s">
        <v>3</v>
      </c>
      <c r="AS552" t="s">
        <v>3</v>
      </c>
      <c r="AT552" t="s">
        <v>3</v>
      </c>
      <c r="AU552" t="s">
        <v>3</v>
      </c>
      <c r="AV552" t="s">
        <v>3</v>
      </c>
      <c r="AW552" t="s">
        <v>11</v>
      </c>
      <c r="AX552">
        <f>Tabla1[[#This Row],[precio del paquete]]-Tabla1[[#This Row],[Saldo_Deudor]]</f>
        <v>150</v>
      </c>
      <c r="AY552">
        <v>14650</v>
      </c>
      <c r="AZ552" t="s">
        <v>1</v>
      </c>
      <c r="BA552" t="s">
        <v>1</v>
      </c>
      <c r="BB552" t="s">
        <v>1</v>
      </c>
      <c r="BC552" t="s">
        <v>3252</v>
      </c>
      <c r="BD552" t="s">
        <v>3310</v>
      </c>
      <c r="BE552" t="s">
        <v>3</v>
      </c>
      <c r="BF552" t="s">
        <v>3</v>
      </c>
      <c r="BG552" t="s">
        <v>3</v>
      </c>
      <c r="BH552" t="s">
        <v>3</v>
      </c>
      <c r="BI552" t="s">
        <v>3</v>
      </c>
      <c r="BJ552" t="s">
        <v>3373</v>
      </c>
      <c r="BK552" t="s">
        <v>3</v>
      </c>
      <c r="BL552" t="s">
        <v>132</v>
      </c>
      <c r="BM552" t="s">
        <v>1</v>
      </c>
      <c r="BN552">
        <f>Tabla1[[#This Row],[precio del paquete]]</f>
        <v>14800</v>
      </c>
      <c r="BO552" t="s">
        <v>1</v>
      </c>
      <c r="BP552" t="s">
        <v>1</v>
      </c>
      <c r="BQ552" t="s">
        <v>1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0</v>
      </c>
      <c r="BX552" t="s">
        <v>1</v>
      </c>
      <c r="BY552" t="s">
        <v>1</v>
      </c>
      <c r="BZ552" t="s">
        <v>1</v>
      </c>
      <c r="CA552" t="s">
        <v>1</v>
      </c>
      <c r="CB552" t="s">
        <v>3382</v>
      </c>
      <c r="CD552" t="str" cm="1">
        <f t="array" aca="1" ref="CD552" ca="1">eConcatenar(A552:CB552,"|")</f>
        <v>HxPex3bteUvPtAoe|PAR2022-0009|3|MEMORIAL|TABASCO|PARAISO|PARAISO|2022-02-02|14800|0|50|50|0|0|0|0|0|0|0|0|0|0|0||0|0|0|DE LA PEÑA|HERNANDEZ|ANGELICA GEORGINA|SOLTERO|X|X|ENTRADA LOS HERNANDEZ|RANCHERIA LIBERTAD SEGUNDA SECCION|X|9332071368|X|X|X|ENTRADA LOS HERNANDEZ|X|LUNES|x|x|x|x|x|DOMICILIO |150|14650|X|X|X|2022-02-19|2022-02-26|x|x|x|x|x|QX002MIY9KVTQO|x|HOMBRE|X|14800|X|X|X|X|X|X|X|X|CARDENAS|X|X|X|X|FINAL</v>
      </c>
    </row>
    <row r="553" spans="1:82" x14ac:dyDescent="0.25">
      <c r="A553" t="s">
        <v>1211</v>
      </c>
      <c r="B553" t="s">
        <v>1212</v>
      </c>
      <c r="C553">
        <v>3</v>
      </c>
      <c r="D553" t="s">
        <v>1372</v>
      </c>
      <c r="E553" t="s">
        <v>1380</v>
      </c>
      <c r="F553" t="s">
        <v>1385</v>
      </c>
      <c r="G553" t="s">
        <v>1385</v>
      </c>
      <c r="H553" t="s">
        <v>1662</v>
      </c>
      <c r="I553">
        <v>12900</v>
      </c>
      <c r="J553">
        <v>0</v>
      </c>
      <c r="K553">
        <v>100</v>
      </c>
      <c r="L553">
        <v>50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Y553">
        <v>0</v>
      </c>
      <c r="Z553">
        <v>0</v>
      </c>
      <c r="AA553">
        <v>0</v>
      </c>
      <c r="AB553" t="s">
        <v>1711</v>
      </c>
      <c r="AC553" t="s">
        <v>2184</v>
      </c>
      <c r="AD553" t="s">
        <v>2374</v>
      </c>
      <c r="AE553" t="s">
        <v>4</v>
      </c>
      <c r="AF553" t="s">
        <v>1</v>
      </c>
      <c r="AG553" t="s">
        <v>1</v>
      </c>
      <c r="AH553" t="s">
        <v>2913</v>
      </c>
      <c r="AI553" t="s">
        <v>3217</v>
      </c>
      <c r="AJ553" t="s">
        <v>1</v>
      </c>
      <c r="AK553">
        <v>9331587879</v>
      </c>
      <c r="AL553" t="s">
        <v>1</v>
      </c>
      <c r="AM553" t="s">
        <v>1</v>
      </c>
      <c r="AN553" t="s">
        <v>1</v>
      </c>
      <c r="AO553" t="s">
        <v>2913</v>
      </c>
      <c r="AP553" t="s">
        <v>1</v>
      </c>
      <c r="AQ553" t="s">
        <v>2</v>
      </c>
      <c r="AR553" t="s">
        <v>3</v>
      </c>
      <c r="AS553" t="s">
        <v>3</v>
      </c>
      <c r="AT553" t="s">
        <v>3</v>
      </c>
      <c r="AU553" t="s">
        <v>3</v>
      </c>
      <c r="AV553" t="s">
        <v>3</v>
      </c>
      <c r="AW553" t="s">
        <v>11</v>
      </c>
      <c r="AX553">
        <f>Tabla1[[#This Row],[precio del paquete]]-Tabla1[[#This Row],[Saldo_Deudor]]</f>
        <v>4950</v>
      </c>
      <c r="AY553">
        <v>7950</v>
      </c>
      <c r="AZ553" t="s">
        <v>1</v>
      </c>
      <c r="BA553" t="s">
        <v>1</v>
      </c>
      <c r="BB553" t="s">
        <v>1</v>
      </c>
      <c r="BC553" t="s">
        <v>3252</v>
      </c>
      <c r="BD553" t="s">
        <v>3310</v>
      </c>
      <c r="BE553" t="s">
        <v>3</v>
      </c>
      <c r="BF553" t="s">
        <v>3</v>
      </c>
      <c r="BG553" t="s">
        <v>3</v>
      </c>
      <c r="BH553" t="s">
        <v>3</v>
      </c>
      <c r="BI553" t="s">
        <v>3</v>
      </c>
      <c r="BJ553" t="s">
        <v>3373</v>
      </c>
      <c r="BK553" t="s">
        <v>3</v>
      </c>
      <c r="BL553" t="s">
        <v>132</v>
      </c>
      <c r="BM553" t="s">
        <v>1</v>
      </c>
      <c r="BN553">
        <f>Tabla1[[#This Row],[precio del paquete]]</f>
        <v>12900</v>
      </c>
      <c r="BO553" t="s">
        <v>1</v>
      </c>
      <c r="BP553" t="s">
        <v>1</v>
      </c>
      <c r="BQ553" t="s">
        <v>1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0</v>
      </c>
      <c r="BX553" t="s">
        <v>1</v>
      </c>
      <c r="BY553" t="s">
        <v>1</v>
      </c>
      <c r="BZ553" t="s">
        <v>1</v>
      </c>
      <c r="CA553" t="s">
        <v>1</v>
      </c>
      <c r="CB553" t="s">
        <v>3382</v>
      </c>
      <c r="CD553" t="str" cm="1">
        <f t="array" aca="1" ref="CD553" ca="1">eConcatenar(A553:CB553,"|")</f>
        <v>FHGVB7yQExB8ErAJ|COM2021-0196|3|IMPERIAL DE LUJO|TABASCO|PARAISO|PARAISO|2021-01-26|12900|0|100|50|0|0|0|0|0|0|0|0|0|0|0||0|0|0|HERNANDEZ|MAGAÑA|TELMA|SOLTERO|X|X|CALLE DE LA IGLESIA CATOLICA|EJIDO ORIENTE SAN CALLETANO|X|9331587879|X|X|X|CALLE DE LA IGLESIA CATOLICA|X|LUNES|x|x|x|x|x|DOMICILIO |4950|7950|X|X|X|2022-02-19|2022-02-26|x|x|x|x|x|QX002MIY9KVTQO|x|HOMBRE|X|12900|X|X|X|X|X|X|X|X|CARDENAS|X|X|X|X|FINAL</v>
      </c>
    </row>
    <row r="554" spans="1:82" x14ac:dyDescent="0.25">
      <c r="A554" t="s">
        <v>1213</v>
      </c>
      <c r="B554" t="s">
        <v>1214</v>
      </c>
      <c r="C554">
        <v>3</v>
      </c>
      <c r="D554" t="s">
        <v>1369</v>
      </c>
      <c r="E554" t="s">
        <v>1380</v>
      </c>
      <c r="F554" t="s">
        <v>1385</v>
      </c>
      <c r="G554" t="s">
        <v>1385</v>
      </c>
      <c r="H554" t="s">
        <v>1663</v>
      </c>
      <c r="I554">
        <v>14800</v>
      </c>
      <c r="J554">
        <v>0</v>
      </c>
      <c r="K554">
        <v>200</v>
      </c>
      <c r="L554">
        <v>50</v>
      </c>
      <c r="M554">
        <v>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Y554">
        <v>0</v>
      </c>
      <c r="Z554">
        <v>0</v>
      </c>
      <c r="AA554">
        <v>0</v>
      </c>
      <c r="AB554" t="s">
        <v>1758</v>
      </c>
      <c r="AC554" t="s">
        <v>7</v>
      </c>
      <c r="AD554" t="s">
        <v>2375</v>
      </c>
      <c r="AE554" t="s">
        <v>4</v>
      </c>
      <c r="AF554" t="s">
        <v>1</v>
      </c>
      <c r="AG554" t="s">
        <v>1</v>
      </c>
      <c r="AH554" t="s">
        <v>2914</v>
      </c>
      <c r="AI554" t="s">
        <v>3218</v>
      </c>
      <c r="AJ554" t="s">
        <v>1</v>
      </c>
      <c r="AK554">
        <v>9331014409</v>
      </c>
      <c r="AL554" t="s">
        <v>1</v>
      </c>
      <c r="AM554" t="s">
        <v>1</v>
      </c>
      <c r="AN554" t="s">
        <v>1</v>
      </c>
      <c r="AO554" t="s">
        <v>2914</v>
      </c>
      <c r="AP554" t="s">
        <v>1</v>
      </c>
      <c r="AQ554" t="s">
        <v>2</v>
      </c>
      <c r="AR554" t="s">
        <v>3</v>
      </c>
      <c r="AS554" t="s">
        <v>3</v>
      </c>
      <c r="AT554" t="s">
        <v>3</v>
      </c>
      <c r="AU554" t="s">
        <v>3</v>
      </c>
      <c r="AV554" t="s">
        <v>3</v>
      </c>
      <c r="AW554" t="s">
        <v>11</v>
      </c>
      <c r="AX554">
        <f>Tabla1[[#This Row],[precio del paquete]]-Tabla1[[#This Row],[Saldo_Deudor]]</f>
        <v>400</v>
      </c>
      <c r="AY554">
        <v>14400</v>
      </c>
      <c r="AZ554" t="s">
        <v>1</v>
      </c>
      <c r="BA554" t="s">
        <v>1</v>
      </c>
      <c r="BB554" t="s">
        <v>1</v>
      </c>
      <c r="BC554" t="s">
        <v>3252</v>
      </c>
      <c r="BD554" t="s">
        <v>3310</v>
      </c>
      <c r="BE554" t="s">
        <v>3</v>
      </c>
      <c r="BF554" t="s">
        <v>3</v>
      </c>
      <c r="BG554" t="s">
        <v>3</v>
      </c>
      <c r="BH554" t="s">
        <v>3</v>
      </c>
      <c r="BI554" t="s">
        <v>3</v>
      </c>
      <c r="BJ554" t="s">
        <v>3373</v>
      </c>
      <c r="BK554" t="s">
        <v>3</v>
      </c>
      <c r="BL554" t="s">
        <v>132</v>
      </c>
      <c r="BM554" t="s">
        <v>1</v>
      </c>
      <c r="BN554">
        <f>Tabla1[[#This Row],[precio del paquete]]</f>
        <v>14800</v>
      </c>
      <c r="BO554" t="s">
        <v>1</v>
      </c>
      <c r="BP554" t="s">
        <v>1</v>
      </c>
      <c r="BQ554" t="s">
        <v>1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0</v>
      </c>
      <c r="BX554" t="s">
        <v>1</v>
      </c>
      <c r="BY554" t="s">
        <v>1</v>
      </c>
      <c r="BZ554" t="s">
        <v>1</v>
      </c>
      <c r="CA554" t="s">
        <v>1</v>
      </c>
      <c r="CB554" t="s">
        <v>3382</v>
      </c>
      <c r="CD554" t="str" cm="1">
        <f t="array" aca="1" ref="CD554" ca="1">eConcatenar(A554:CB554,"|")</f>
        <v>tVvTi6s5WMknml1Y|PAR2022-0190|3|MEMORIAL|TABASCO|PARAISO|PARAISO|2022-01-13|14800|0|200|50|1|0|0|0|0|0|0|0|0|0|0||0|0|0|ARIAS|LOPEZ|ANA ELLDIRA|SOLTERO|X|X|PASANDO LA ENTRADA DE ADALBERTO SANTOS|LAS FLORES PRIMERA SECCION|X|9331014409|X|X|X|PASANDO LA ENTRADA DE ADALBERTO SANTOS|X|LUNES|x|x|x|x|x|DOMICILIO |400|14400|X|X|X|2022-02-19|2022-02-26|x|x|x|x|x|QX002MIY9KVTQO|x|HOMBRE|X|14800|X|X|X|X|X|X|X|X|CARDENAS|X|X|X|X|FINAL</v>
      </c>
    </row>
    <row r="555" spans="1:82" x14ac:dyDescent="0.25">
      <c r="A555" t="s">
        <v>1215</v>
      </c>
      <c r="B555" t="s">
        <v>1216</v>
      </c>
      <c r="C555">
        <v>3</v>
      </c>
      <c r="D555" t="s">
        <v>1371</v>
      </c>
      <c r="E555" t="s">
        <v>1380</v>
      </c>
      <c r="F555" t="s">
        <v>1385</v>
      </c>
      <c r="G555" t="s">
        <v>1385</v>
      </c>
      <c r="H555" t="s">
        <v>1664</v>
      </c>
      <c r="I555">
        <v>12900</v>
      </c>
      <c r="J555">
        <v>0</v>
      </c>
      <c r="K555">
        <v>200</v>
      </c>
      <c r="L555">
        <v>50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Y555">
        <v>0</v>
      </c>
      <c r="Z555">
        <v>0</v>
      </c>
      <c r="AA555">
        <v>0</v>
      </c>
      <c r="AB555" t="s">
        <v>2376</v>
      </c>
      <c r="AC555" t="s">
        <v>1711</v>
      </c>
      <c r="AD555" t="s">
        <v>2031</v>
      </c>
      <c r="AE555" t="s">
        <v>4</v>
      </c>
      <c r="AF555" t="s">
        <v>1</v>
      </c>
      <c r="AG555" t="s">
        <v>1</v>
      </c>
      <c r="AH555" t="s">
        <v>2915</v>
      </c>
      <c r="AI555" t="s">
        <v>3219</v>
      </c>
      <c r="AJ555" t="s">
        <v>1</v>
      </c>
      <c r="AK555" t="s">
        <v>1</v>
      </c>
      <c r="AL555" t="s">
        <v>1</v>
      </c>
      <c r="AM555" t="s">
        <v>1</v>
      </c>
      <c r="AN555" t="s">
        <v>1</v>
      </c>
      <c r="AO555" t="s">
        <v>2915</v>
      </c>
      <c r="AP555" t="s">
        <v>1</v>
      </c>
      <c r="AQ555" t="s">
        <v>2</v>
      </c>
      <c r="AR555" t="s">
        <v>3</v>
      </c>
      <c r="AS555" t="s">
        <v>3</v>
      </c>
      <c r="AT555" t="s">
        <v>3</v>
      </c>
      <c r="AU555" t="s">
        <v>3</v>
      </c>
      <c r="AV555" t="s">
        <v>3</v>
      </c>
      <c r="AW555" t="s">
        <v>11</v>
      </c>
      <c r="AX555">
        <f>Tabla1[[#This Row],[precio del paquete]]-Tabla1[[#This Row],[Saldo_Deudor]]</f>
        <v>11200</v>
      </c>
      <c r="AY555">
        <v>1700</v>
      </c>
      <c r="AZ555" t="s">
        <v>1</v>
      </c>
      <c r="BA555" t="s">
        <v>1</v>
      </c>
      <c r="BB555" t="s">
        <v>1</v>
      </c>
      <c r="BC555" t="s">
        <v>3252</v>
      </c>
      <c r="BD555" t="s">
        <v>3310</v>
      </c>
      <c r="BE555" t="s">
        <v>3</v>
      </c>
      <c r="BF555" t="s">
        <v>3</v>
      </c>
      <c r="BG555" t="s">
        <v>3</v>
      </c>
      <c r="BH555" t="s">
        <v>3</v>
      </c>
      <c r="BI555" t="s">
        <v>3</v>
      </c>
      <c r="BJ555" t="s">
        <v>3373</v>
      </c>
      <c r="BK555" t="s">
        <v>3</v>
      </c>
      <c r="BL555" t="s">
        <v>132</v>
      </c>
      <c r="BM555" t="s">
        <v>1</v>
      </c>
      <c r="BN555">
        <f>Tabla1[[#This Row],[precio del paquete]]</f>
        <v>12900</v>
      </c>
      <c r="BO555" t="s">
        <v>1</v>
      </c>
      <c r="BP555" t="s">
        <v>1</v>
      </c>
      <c r="BQ555" t="s">
        <v>1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0</v>
      </c>
      <c r="BX555" t="s">
        <v>1</v>
      </c>
      <c r="BY555" t="s">
        <v>1</v>
      </c>
      <c r="BZ555" t="s">
        <v>1</v>
      </c>
      <c r="CA555" t="s">
        <v>1</v>
      </c>
      <c r="CB555" t="s">
        <v>3382</v>
      </c>
      <c r="CD555" t="str" cm="1">
        <f t="array" aca="1" ref="CD555" ca="1">eConcatenar(A555:CB555,"|")</f>
        <v>ciBLOPEmuHNGnMfJ|PAR2018-1384|3|ECONOLINE|TABASCO|PARAISO|PARAISO|2018-08-05|12900|0|200|50|0|0|0|0|0|0|0|0|0|0|0||0|0|0|SOBERANO|HERNANDEZ|MARIA DEL CARMEN|SOLTERO|X|X|ENTRADA LAS SOBRINA|FRANCISCO I MADERO PRIMERA SECCION|X|X|X|X|X|ENTRADA LAS SOBRINA|X|LUNES|x|x|x|x|x|DOMICILIO |11200|1700|X|X|X|2022-02-19|2022-02-26|x|x|x|x|x|QX002MIY9KVTQO|x|HOMBRE|X|12900|X|X|X|X|X|X|X|X|CARDENAS|X|X|X|X|FINAL</v>
      </c>
    </row>
    <row r="556" spans="1:82" x14ac:dyDescent="0.25">
      <c r="A556" t="s">
        <v>1217</v>
      </c>
      <c r="B556" t="s">
        <v>1218</v>
      </c>
      <c r="C556">
        <v>3</v>
      </c>
      <c r="D556" t="s">
        <v>1369</v>
      </c>
      <c r="E556" t="s">
        <v>1380</v>
      </c>
      <c r="F556" t="s">
        <v>1385</v>
      </c>
      <c r="G556" t="s">
        <v>1385</v>
      </c>
      <c r="H556" t="s">
        <v>1665</v>
      </c>
      <c r="I556">
        <v>14800</v>
      </c>
      <c r="J556">
        <v>0</v>
      </c>
      <c r="K556">
        <v>200</v>
      </c>
      <c r="L556">
        <v>50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Y556">
        <v>0</v>
      </c>
      <c r="Z556">
        <v>0</v>
      </c>
      <c r="AA556">
        <v>0</v>
      </c>
      <c r="AB556" t="s">
        <v>1713</v>
      </c>
      <c r="AC556" t="s">
        <v>1812</v>
      </c>
      <c r="AD556" t="s">
        <v>2377</v>
      </c>
      <c r="AE556" t="s">
        <v>4</v>
      </c>
      <c r="AF556" t="s">
        <v>1</v>
      </c>
      <c r="AG556" t="s">
        <v>1</v>
      </c>
      <c r="AH556" t="s">
        <v>2909</v>
      </c>
      <c r="AI556" t="s">
        <v>3150</v>
      </c>
      <c r="AJ556" t="s">
        <v>1</v>
      </c>
      <c r="AK556">
        <v>9331366368</v>
      </c>
      <c r="AL556" t="s">
        <v>1</v>
      </c>
      <c r="AM556" t="s">
        <v>1</v>
      </c>
      <c r="AN556" t="s">
        <v>1</v>
      </c>
      <c r="AO556" t="s">
        <v>2909</v>
      </c>
      <c r="AP556" t="s">
        <v>1</v>
      </c>
      <c r="AQ556" t="s">
        <v>2</v>
      </c>
      <c r="AR556" t="s">
        <v>3</v>
      </c>
      <c r="AS556" t="s">
        <v>3</v>
      </c>
      <c r="AT556" t="s">
        <v>3</v>
      </c>
      <c r="AU556" t="s">
        <v>3</v>
      </c>
      <c r="AV556" t="s">
        <v>3</v>
      </c>
      <c r="AW556" t="s">
        <v>11</v>
      </c>
      <c r="AX556">
        <f>Tabla1[[#This Row],[precio del paquete]]-Tabla1[[#This Row],[Saldo_Deudor]]</f>
        <v>1750</v>
      </c>
      <c r="AY556">
        <v>13050</v>
      </c>
      <c r="AZ556" t="s">
        <v>1</v>
      </c>
      <c r="BA556" t="s">
        <v>1</v>
      </c>
      <c r="BB556" t="s">
        <v>1</v>
      </c>
      <c r="BC556" t="s">
        <v>3299</v>
      </c>
      <c r="BD556" t="s">
        <v>3339</v>
      </c>
      <c r="BE556" t="s">
        <v>3</v>
      </c>
      <c r="BF556" t="s">
        <v>3</v>
      </c>
      <c r="BG556" t="s">
        <v>3</v>
      </c>
      <c r="BH556" t="s">
        <v>3</v>
      </c>
      <c r="BI556" t="s">
        <v>3</v>
      </c>
      <c r="BJ556" t="s">
        <v>3373</v>
      </c>
      <c r="BK556" t="s">
        <v>3</v>
      </c>
      <c r="BL556" t="s">
        <v>132</v>
      </c>
      <c r="BM556" t="s">
        <v>1</v>
      </c>
      <c r="BN556">
        <f>Tabla1[[#This Row],[precio del paquete]]</f>
        <v>14800</v>
      </c>
      <c r="BO556" t="s">
        <v>1</v>
      </c>
      <c r="BP556" t="s">
        <v>1</v>
      </c>
      <c r="BQ556" t="s">
        <v>1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0</v>
      </c>
      <c r="BX556" t="s">
        <v>1</v>
      </c>
      <c r="BY556" t="s">
        <v>1</v>
      </c>
      <c r="BZ556" t="s">
        <v>1</v>
      </c>
      <c r="CA556" t="s">
        <v>1</v>
      </c>
      <c r="CB556" t="s">
        <v>3382</v>
      </c>
      <c r="CD556" t="str" cm="1">
        <f t="array" aca="1" ref="CD556" ca="1">eConcatenar(A556:CB556,"|")</f>
        <v>XcnSqk83muKlKhw9|PAR2021-1734|3|MEMORIAL|TABASCO|PARAISO|PARAISO|2021-05-22|14800|0|200|50|1|0|0|0|0|0|0|0|0|0|0||0|0|0|DE LA CRUZ|SANCHEZ|EDWIN|SOLTERO|X|X|CALLE EMILIANO ZAPATA|COLONIA QUINTIN ARAUZ|X|9331366368|X|X|X|CALLE EMILIANO ZAPATA|X|LUNES|x|x|x|x|x|DOMICILIO |1750|13050|X|X|X|2022-11-19|2022-11-26|x|x|x|x|x|QX002MIY9KVTQO|x|HOMBRE|X|14800|X|X|X|X|X|X|X|X|CARDENAS|X|X|X|X|FINAL</v>
      </c>
    </row>
    <row r="557" spans="1:82" x14ac:dyDescent="0.25">
      <c r="A557" t="s">
        <v>1219</v>
      </c>
      <c r="B557" t="s">
        <v>1220</v>
      </c>
      <c r="C557">
        <v>3</v>
      </c>
      <c r="D557" t="s">
        <v>1369</v>
      </c>
      <c r="E557" t="s">
        <v>1380</v>
      </c>
      <c r="F557" t="s">
        <v>1385</v>
      </c>
      <c r="G557" t="s">
        <v>1385</v>
      </c>
      <c r="H557" t="s">
        <v>1635</v>
      </c>
      <c r="I557">
        <v>14800</v>
      </c>
      <c r="J557">
        <v>0</v>
      </c>
      <c r="K557">
        <v>100</v>
      </c>
      <c r="L557">
        <v>50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Y557">
        <v>0</v>
      </c>
      <c r="Z557">
        <v>0</v>
      </c>
      <c r="AA557">
        <v>0</v>
      </c>
      <c r="AB557" t="s">
        <v>1744</v>
      </c>
      <c r="AC557" t="s">
        <v>1744</v>
      </c>
      <c r="AD557" t="s">
        <v>2378</v>
      </c>
      <c r="AE557" t="s">
        <v>4</v>
      </c>
      <c r="AF557" t="s">
        <v>1</v>
      </c>
      <c r="AG557" t="s">
        <v>1</v>
      </c>
      <c r="AH557" t="s">
        <v>2916</v>
      </c>
      <c r="AI557" t="s">
        <v>3220</v>
      </c>
      <c r="AJ557" t="s">
        <v>1</v>
      </c>
      <c r="AK557">
        <v>9331068240</v>
      </c>
      <c r="AL557" t="s">
        <v>1</v>
      </c>
      <c r="AM557" t="s">
        <v>1</v>
      </c>
      <c r="AN557" t="s">
        <v>1</v>
      </c>
      <c r="AO557" t="s">
        <v>2916</v>
      </c>
      <c r="AP557" t="s">
        <v>1</v>
      </c>
      <c r="AQ557" t="s">
        <v>2</v>
      </c>
      <c r="AR557" t="s">
        <v>3</v>
      </c>
      <c r="AS557" t="s">
        <v>3</v>
      </c>
      <c r="AT557" t="s">
        <v>3</v>
      </c>
      <c r="AU557" t="s">
        <v>3</v>
      </c>
      <c r="AV557" t="s">
        <v>3</v>
      </c>
      <c r="AW557" t="s">
        <v>11</v>
      </c>
      <c r="AX557">
        <f>Tabla1[[#This Row],[precio del paquete]]-Tabla1[[#This Row],[Saldo_Deudor]]</f>
        <v>3000</v>
      </c>
      <c r="AY557">
        <v>11800</v>
      </c>
      <c r="AZ557" t="s">
        <v>1</v>
      </c>
      <c r="BA557" t="s">
        <v>1</v>
      </c>
      <c r="BB557" t="s">
        <v>1</v>
      </c>
      <c r="BC557" t="s">
        <v>1399</v>
      </c>
      <c r="BD557" t="s">
        <v>1407</v>
      </c>
      <c r="BE557" t="s">
        <v>3</v>
      </c>
      <c r="BF557" t="s">
        <v>3</v>
      </c>
      <c r="BG557" t="s">
        <v>3</v>
      </c>
      <c r="BH557" t="s">
        <v>3</v>
      </c>
      <c r="BI557" t="s">
        <v>3</v>
      </c>
      <c r="BJ557" t="s">
        <v>3373</v>
      </c>
      <c r="BK557" t="s">
        <v>3</v>
      </c>
      <c r="BL557" t="s">
        <v>132</v>
      </c>
      <c r="BM557" t="s">
        <v>1</v>
      </c>
      <c r="BN557">
        <f>Tabla1[[#This Row],[precio del paquete]]</f>
        <v>14800</v>
      </c>
      <c r="BO557" t="s">
        <v>1</v>
      </c>
      <c r="BP557" t="s">
        <v>1</v>
      </c>
      <c r="BQ557" t="s">
        <v>1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0</v>
      </c>
      <c r="BX557" t="s">
        <v>1</v>
      </c>
      <c r="BY557" t="s">
        <v>1</v>
      </c>
      <c r="BZ557" t="s">
        <v>1</v>
      </c>
      <c r="CA557" t="s">
        <v>1</v>
      </c>
      <c r="CB557" t="s">
        <v>3382</v>
      </c>
      <c r="CD557" t="str" cm="1">
        <f t="array" aca="1" ref="CD557" ca="1">eConcatenar(A557:CB557,"|")</f>
        <v>w2dOIamA6skB1cuj|PAR2021-1752|3|MEMORIAL|TABASCO|PARAISO|PARAISO|2021-05-26|14800|0|100|50|0|0|0|0|0|0|0|0|0|0|0||0|0|0|PEREZ|PEREZ|AURA|SOLTERO|X|X|CAMINO VIEJO SIN NUMERO|RANCHERIA ORIENTE PRIMERA SECCION|X|9331068240|X|X|X|CAMINO VIEJO SIN NUMERO|X|LUNES|x|x|x|x|x|DOMICILIO |3000|11800|X|X|X|2022-02-11|2022-02-18|x|x|x|x|x|QX002MIY9KVTQO|x|HOMBRE|X|14800|X|X|X|X|X|X|X|X|CARDENAS|X|X|X|X|FINAL</v>
      </c>
    </row>
    <row r="558" spans="1:82" x14ac:dyDescent="0.25">
      <c r="A558" t="s">
        <v>1221</v>
      </c>
      <c r="B558" t="s">
        <v>1222</v>
      </c>
      <c r="C558">
        <v>3</v>
      </c>
      <c r="D558" t="s">
        <v>1369</v>
      </c>
      <c r="E558" t="s">
        <v>1380</v>
      </c>
      <c r="F558" t="s">
        <v>0</v>
      </c>
      <c r="G558" t="s">
        <v>0</v>
      </c>
      <c r="H558" t="s">
        <v>1444</v>
      </c>
      <c r="I558">
        <v>14800</v>
      </c>
      <c r="J558">
        <v>0</v>
      </c>
      <c r="K558">
        <v>100</v>
      </c>
      <c r="L558">
        <v>50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Y558">
        <v>0</v>
      </c>
      <c r="Z558">
        <v>0</v>
      </c>
      <c r="AA558">
        <v>0</v>
      </c>
      <c r="AB558" t="s">
        <v>2114</v>
      </c>
      <c r="AC558" t="s">
        <v>1713</v>
      </c>
      <c r="AD558" t="s">
        <v>2379</v>
      </c>
      <c r="AE558" t="s">
        <v>4</v>
      </c>
      <c r="AF558" t="s">
        <v>1</v>
      </c>
      <c r="AG558" t="s">
        <v>1</v>
      </c>
      <c r="AH558" t="s">
        <v>2917</v>
      </c>
      <c r="AI558" t="s">
        <v>3221</v>
      </c>
      <c r="AJ558" t="s">
        <v>1</v>
      </c>
      <c r="AK558">
        <v>9211784462</v>
      </c>
      <c r="AL558" t="s">
        <v>1</v>
      </c>
      <c r="AM558" t="s">
        <v>1</v>
      </c>
      <c r="AN558" t="s">
        <v>1</v>
      </c>
      <c r="AO558" t="s">
        <v>2917</v>
      </c>
      <c r="AP558" t="s">
        <v>1</v>
      </c>
      <c r="AQ558" t="s">
        <v>2</v>
      </c>
      <c r="AR558" t="s">
        <v>3</v>
      </c>
      <c r="AS558" t="s">
        <v>3</v>
      </c>
      <c r="AT558" t="s">
        <v>3</v>
      </c>
      <c r="AU558" t="s">
        <v>3</v>
      </c>
      <c r="AV558" t="s">
        <v>3</v>
      </c>
      <c r="AW558" t="s">
        <v>11</v>
      </c>
      <c r="AX558">
        <f>Tabla1[[#This Row],[precio del paquete]]-Tabla1[[#This Row],[Saldo_Deudor]]</f>
        <v>1500</v>
      </c>
      <c r="AY558">
        <v>13300</v>
      </c>
      <c r="AZ558" t="s">
        <v>1</v>
      </c>
      <c r="BA558" t="s">
        <v>1</v>
      </c>
      <c r="BB558" t="s">
        <v>1</v>
      </c>
      <c r="BC558" t="s">
        <v>3256</v>
      </c>
      <c r="BD558" t="s">
        <v>3250</v>
      </c>
      <c r="BE558" t="s">
        <v>3</v>
      </c>
      <c r="BF558" t="s">
        <v>3</v>
      </c>
      <c r="BG558" t="s">
        <v>3</v>
      </c>
      <c r="BH558" t="s">
        <v>3</v>
      </c>
      <c r="BI558" t="s">
        <v>3</v>
      </c>
      <c r="BJ558" t="s">
        <v>3363</v>
      </c>
      <c r="BK558" t="s">
        <v>3</v>
      </c>
      <c r="BL558" t="s">
        <v>132</v>
      </c>
      <c r="BM558" t="s">
        <v>1</v>
      </c>
      <c r="BN558">
        <f>Tabla1[[#This Row],[precio del paquete]]</f>
        <v>14800</v>
      </c>
      <c r="BO558" t="s">
        <v>1</v>
      </c>
      <c r="BP558" t="s">
        <v>1</v>
      </c>
      <c r="BQ558" t="s">
        <v>1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0</v>
      </c>
      <c r="BX558" t="s">
        <v>1</v>
      </c>
      <c r="BY558" t="s">
        <v>1</v>
      </c>
      <c r="BZ558" t="s">
        <v>1</v>
      </c>
      <c r="CA558" t="s">
        <v>1</v>
      </c>
      <c r="CB558" t="s">
        <v>3382</v>
      </c>
      <c r="CD558" t="str" cm="1">
        <f t="array" aca="1" ref="CD558" ca="1">eConcatenar(A558:CB558,"|")</f>
        <v>nInxWhBJukXKDitO|CAR2021-6661|3|MEMORIAL|TABASCO|CARDENAS|CARDENAS|2021-11-05|14800|0|100|50|0|0|0|0|0|0|0|0|0|0|0||0|0|0|FRIAS|DE LA CRUZ|APOLANIA|SOLTERO|X|X|CARRETERA FEDERAL SIN NUMERO|RANCHERIA ARROYO HONDO PRIMERA SECCION SANTA TERESA|X|9211784462|X|X|X|CARRETERA FEDERAL SIN NUMERO|X|LUNES|x|x|x|x|x|DOMICILIO |1500|13300|X|X|X|2022-02-21|2022-02-28|x|x|x|x|x|QX002LUS9KVTQO|x|HOMBRE|X|14800|X|X|X|X|X|X|X|X|CARDENAS|X|X|X|X|FINAL</v>
      </c>
    </row>
    <row r="559" spans="1:82" x14ac:dyDescent="0.25">
      <c r="A559" t="s">
        <v>1223</v>
      </c>
      <c r="B559" t="s">
        <v>1224</v>
      </c>
      <c r="C559">
        <v>3</v>
      </c>
      <c r="D559" t="s">
        <v>1368</v>
      </c>
      <c r="E559" t="s">
        <v>1380</v>
      </c>
      <c r="F559" t="s">
        <v>0</v>
      </c>
      <c r="G559" t="s">
        <v>0</v>
      </c>
      <c r="H559" t="s">
        <v>1595</v>
      </c>
      <c r="I559">
        <v>24500</v>
      </c>
      <c r="J559">
        <v>0</v>
      </c>
      <c r="K559">
        <v>500</v>
      </c>
      <c r="L559">
        <v>50</v>
      </c>
      <c r="M559">
        <v>2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Y559">
        <v>0</v>
      </c>
      <c r="Z559">
        <v>0</v>
      </c>
      <c r="AA559">
        <v>0</v>
      </c>
      <c r="AB559" t="s">
        <v>2235</v>
      </c>
      <c r="AC559" t="s">
        <v>1963</v>
      </c>
      <c r="AD559" t="s">
        <v>2380</v>
      </c>
      <c r="AE559" t="s">
        <v>4</v>
      </c>
      <c r="AF559" t="s">
        <v>1</v>
      </c>
      <c r="AG559" t="s">
        <v>1</v>
      </c>
      <c r="AH559" t="s">
        <v>2918</v>
      </c>
      <c r="AI559" t="s">
        <v>3201</v>
      </c>
      <c r="AJ559" t="s">
        <v>1</v>
      </c>
      <c r="AK559">
        <v>9371253226</v>
      </c>
      <c r="AL559" t="s">
        <v>1</v>
      </c>
      <c r="AM559" t="s">
        <v>1</v>
      </c>
      <c r="AN559" t="s">
        <v>1</v>
      </c>
      <c r="AO559" t="s">
        <v>2918</v>
      </c>
      <c r="AP559" t="s">
        <v>1</v>
      </c>
      <c r="AQ559" t="s">
        <v>2</v>
      </c>
      <c r="AR559" t="s">
        <v>3</v>
      </c>
      <c r="AS559" t="s">
        <v>3</v>
      </c>
      <c r="AT559" t="s">
        <v>3</v>
      </c>
      <c r="AU559" t="s">
        <v>3</v>
      </c>
      <c r="AV559" t="s">
        <v>3</v>
      </c>
      <c r="AW559" t="s">
        <v>11</v>
      </c>
      <c r="AX559">
        <f>Tabla1[[#This Row],[precio del paquete]]-Tabla1[[#This Row],[Saldo_Deudor]]</f>
        <v>4000</v>
      </c>
      <c r="AY559">
        <v>20500</v>
      </c>
      <c r="AZ559" t="s">
        <v>1</v>
      </c>
      <c r="BA559" t="s">
        <v>1</v>
      </c>
      <c r="BB559" t="s">
        <v>1</v>
      </c>
      <c r="BC559" t="s">
        <v>3256</v>
      </c>
      <c r="BD559" t="s">
        <v>3250</v>
      </c>
      <c r="BE559" t="s">
        <v>3</v>
      </c>
      <c r="BF559" t="s">
        <v>3</v>
      </c>
      <c r="BG559" t="s">
        <v>3</v>
      </c>
      <c r="BH559" t="s">
        <v>3</v>
      </c>
      <c r="BI559" t="s">
        <v>3</v>
      </c>
      <c r="BJ559" t="s">
        <v>3363</v>
      </c>
      <c r="BK559" t="s">
        <v>3</v>
      </c>
      <c r="BL559" t="s">
        <v>132</v>
      </c>
      <c r="BM559" t="s">
        <v>1</v>
      </c>
      <c r="BN559">
        <f>Tabla1[[#This Row],[precio del paquete]]</f>
        <v>24500</v>
      </c>
      <c r="BO559" t="s">
        <v>1</v>
      </c>
      <c r="BP559" t="s">
        <v>1</v>
      </c>
      <c r="BQ559" t="s">
        <v>1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0</v>
      </c>
      <c r="BX559" t="s">
        <v>1</v>
      </c>
      <c r="BY559" t="s">
        <v>1</v>
      </c>
      <c r="BZ559" t="s">
        <v>1</v>
      </c>
      <c r="CA559" t="s">
        <v>1</v>
      </c>
      <c r="CB559" t="s">
        <v>3382</v>
      </c>
      <c r="CD559" t="str" cm="1">
        <f t="array" aca="1" ref="CD559" ca="1">eConcatenar(A559:CB559,"|")</f>
        <v>JJ1flmy8Q0qrwfWF|CAR2021-3660|3|DIGNITY|TABASCO|CARDENAS|CARDENAS|2021-07-19|24500|0|500|50|2|0|0|0|0|0|0|0|0|0|0||0|0|0|TORREZ|HERRERA|ELIZABETH|SOLTERO|X|X|COBRANZA FRENTE AL BATALLON A UN COSTADO DE LA TIENDA|COLONIA EL PARNASO|X|9371253226|X|X|X|COBRANZA FRENTE AL BATALLON A UN COSTADO DE LA TIENDA|X|LUNES|x|x|x|x|x|DOMICILIO |4000|20500|X|X|X|2022-02-21|2022-02-28|x|x|x|x|x|QX002LUS9KVTQO|x|HOMBRE|X|24500|X|X|X|X|X|X|X|X|CARDENAS|X|X|X|X|FINAL</v>
      </c>
    </row>
    <row r="560" spans="1:82" x14ac:dyDescent="0.25">
      <c r="A560" t="s">
        <v>1225</v>
      </c>
      <c r="B560" t="s">
        <v>1226</v>
      </c>
      <c r="C560">
        <v>3</v>
      </c>
      <c r="D560" t="s">
        <v>1369</v>
      </c>
      <c r="E560" t="s">
        <v>1380</v>
      </c>
      <c r="F560" t="s">
        <v>0</v>
      </c>
      <c r="G560" t="s">
        <v>0</v>
      </c>
      <c r="H560" t="s">
        <v>1666</v>
      </c>
      <c r="I560">
        <v>14800</v>
      </c>
      <c r="J560">
        <v>0</v>
      </c>
      <c r="K560">
        <v>100</v>
      </c>
      <c r="L560">
        <v>50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Y560">
        <v>0</v>
      </c>
      <c r="Z560">
        <v>0</v>
      </c>
      <c r="AA560">
        <v>0</v>
      </c>
      <c r="AB560" t="s">
        <v>1790</v>
      </c>
      <c r="AC560" t="s">
        <v>1987</v>
      </c>
      <c r="AD560" t="s">
        <v>2381</v>
      </c>
      <c r="AE560" t="s">
        <v>4</v>
      </c>
      <c r="AF560" t="s">
        <v>1</v>
      </c>
      <c r="AG560" t="s">
        <v>1</v>
      </c>
      <c r="AH560" t="s">
        <v>2919</v>
      </c>
      <c r="AI560" t="s">
        <v>3201</v>
      </c>
      <c r="AJ560" t="s">
        <v>1</v>
      </c>
      <c r="AK560">
        <v>9371057097</v>
      </c>
      <c r="AL560" t="s">
        <v>1</v>
      </c>
      <c r="AM560" t="s">
        <v>1</v>
      </c>
      <c r="AN560" t="s">
        <v>1</v>
      </c>
      <c r="AO560" t="s">
        <v>2919</v>
      </c>
      <c r="AP560" t="s">
        <v>1</v>
      </c>
      <c r="AQ560" t="s">
        <v>2</v>
      </c>
      <c r="AR560" t="s">
        <v>3</v>
      </c>
      <c r="AS560" t="s">
        <v>3</v>
      </c>
      <c r="AT560" t="s">
        <v>3</v>
      </c>
      <c r="AU560" t="s">
        <v>3</v>
      </c>
      <c r="AV560" t="s">
        <v>3</v>
      </c>
      <c r="AW560" t="s">
        <v>11</v>
      </c>
      <c r="AX560">
        <f>Tabla1[[#This Row],[precio del paquete]]-Tabla1[[#This Row],[Saldo_Deudor]]</f>
        <v>1900</v>
      </c>
      <c r="AY560">
        <v>12900</v>
      </c>
      <c r="AZ560" t="s">
        <v>1</v>
      </c>
      <c r="BA560" t="s">
        <v>1</v>
      </c>
      <c r="BB560" t="s">
        <v>1</v>
      </c>
      <c r="BC560" t="s">
        <v>3256</v>
      </c>
      <c r="BD560" t="s">
        <v>3250</v>
      </c>
      <c r="BE560" t="s">
        <v>3</v>
      </c>
      <c r="BF560" t="s">
        <v>3</v>
      </c>
      <c r="BG560" t="s">
        <v>3</v>
      </c>
      <c r="BH560" t="s">
        <v>3</v>
      </c>
      <c r="BI560" t="s">
        <v>3</v>
      </c>
      <c r="BJ560" t="s">
        <v>3363</v>
      </c>
      <c r="BK560" t="s">
        <v>3</v>
      </c>
      <c r="BL560" t="s">
        <v>132</v>
      </c>
      <c r="BM560" t="s">
        <v>1</v>
      </c>
      <c r="BN560">
        <f>Tabla1[[#This Row],[precio del paquete]]</f>
        <v>14800</v>
      </c>
      <c r="BO560" t="s">
        <v>1</v>
      </c>
      <c r="BP560" t="s">
        <v>1</v>
      </c>
      <c r="BQ560" t="s">
        <v>1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0</v>
      </c>
      <c r="BX560" t="s">
        <v>1</v>
      </c>
      <c r="BY560" t="s">
        <v>1</v>
      </c>
      <c r="BZ560" t="s">
        <v>1</v>
      </c>
      <c r="CA560" t="s">
        <v>1</v>
      </c>
      <c r="CB560" t="s">
        <v>3382</v>
      </c>
      <c r="CD560" t="str" cm="1">
        <f t="array" aca="1" ref="CD560" ca="1">eConcatenar(A560:CB560,"|")</f>
        <v>FEj65S0bdLwq2MfX|CAR2021-5644|3|MEMORIAL|TABASCO|CARDENAS|CARDENAS|2021-09-25|14800|0|100|50|1|0|0|0|0|0|0|0|0|0|0||0|0|0|DOMINGUEZ|CHABLE|DELIA|SOLTERO|X|X|CARRETRA W-58|COLONIA EL PARNASO|X|9371057097|X|X|X|CARRETRA W-58|X|LUNES|x|x|x|x|x|DOMICILIO |1900|12900|X|X|X|2022-02-21|2022-02-28|x|x|x|x|x|QX002LUS9KVTQO|x|HOMBRE|X|14800|X|X|X|X|X|X|X|X|CARDENAS|X|X|X|X|FINAL</v>
      </c>
    </row>
    <row r="561" spans="1:82" x14ac:dyDescent="0.25">
      <c r="A561" t="s">
        <v>1227</v>
      </c>
      <c r="B561" t="s">
        <v>1228</v>
      </c>
      <c r="C561">
        <v>3</v>
      </c>
      <c r="D561" t="s">
        <v>1371</v>
      </c>
      <c r="E561" t="s">
        <v>1380</v>
      </c>
      <c r="F561" t="s">
        <v>0</v>
      </c>
      <c r="G561" t="s">
        <v>0</v>
      </c>
      <c r="H561" t="s">
        <v>1656</v>
      </c>
      <c r="I561">
        <v>12900</v>
      </c>
      <c r="J561">
        <v>0</v>
      </c>
      <c r="K561">
        <v>100</v>
      </c>
      <c r="L561">
        <v>50</v>
      </c>
      <c r="M561">
        <v>1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Y561">
        <v>0</v>
      </c>
      <c r="Z561">
        <v>0</v>
      </c>
      <c r="AA561">
        <v>0</v>
      </c>
      <c r="AB561" t="s">
        <v>1744</v>
      </c>
      <c r="AC561" t="s">
        <v>2333</v>
      </c>
      <c r="AD561" t="s">
        <v>2382</v>
      </c>
      <c r="AE561" t="s">
        <v>4</v>
      </c>
      <c r="AF561" t="s">
        <v>1</v>
      </c>
      <c r="AG561" t="s">
        <v>1</v>
      </c>
      <c r="AH561" t="s">
        <v>2920</v>
      </c>
      <c r="AI561" t="s">
        <v>3201</v>
      </c>
      <c r="AJ561" t="s">
        <v>1</v>
      </c>
      <c r="AK561">
        <v>9373776457</v>
      </c>
      <c r="AL561" t="s">
        <v>1</v>
      </c>
      <c r="AM561" t="s">
        <v>1</v>
      </c>
      <c r="AN561" t="s">
        <v>1</v>
      </c>
      <c r="AO561" t="s">
        <v>2920</v>
      </c>
      <c r="AP561" t="s">
        <v>1</v>
      </c>
      <c r="AQ561" t="s">
        <v>2</v>
      </c>
      <c r="AR561" t="s">
        <v>3</v>
      </c>
      <c r="AS561" t="s">
        <v>3</v>
      </c>
      <c r="AT561" t="s">
        <v>3</v>
      </c>
      <c r="AU561" t="s">
        <v>3</v>
      </c>
      <c r="AV561" t="s">
        <v>3</v>
      </c>
      <c r="AW561" t="s">
        <v>11</v>
      </c>
      <c r="AX561">
        <f>Tabla1[[#This Row],[precio del paquete]]-Tabla1[[#This Row],[Saldo_Deudor]]</f>
        <v>8300</v>
      </c>
      <c r="AY561">
        <v>4600</v>
      </c>
      <c r="AZ561" t="s">
        <v>1</v>
      </c>
      <c r="BA561" t="s">
        <v>1</v>
      </c>
      <c r="BB561" t="s">
        <v>1</v>
      </c>
      <c r="BC561" t="s">
        <v>3256</v>
      </c>
      <c r="BD561" t="s">
        <v>3250</v>
      </c>
      <c r="BE561" t="s">
        <v>3</v>
      </c>
      <c r="BF561" t="s">
        <v>3</v>
      </c>
      <c r="BG561" t="s">
        <v>3</v>
      </c>
      <c r="BH561" t="s">
        <v>3</v>
      </c>
      <c r="BI561" t="s">
        <v>3</v>
      </c>
      <c r="BJ561" t="s">
        <v>3363</v>
      </c>
      <c r="BK561" t="s">
        <v>3</v>
      </c>
      <c r="BL561" t="s">
        <v>132</v>
      </c>
      <c r="BM561" t="s">
        <v>1</v>
      </c>
      <c r="BN561">
        <f>Tabla1[[#This Row],[precio del paquete]]</f>
        <v>12900</v>
      </c>
      <c r="BO561" t="s">
        <v>1</v>
      </c>
      <c r="BP561" t="s">
        <v>1</v>
      </c>
      <c r="BQ561" t="s">
        <v>1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0</v>
      </c>
      <c r="BX561" t="s">
        <v>1</v>
      </c>
      <c r="BY561" t="s">
        <v>1</v>
      </c>
      <c r="BZ561" t="s">
        <v>1</v>
      </c>
      <c r="CA561" t="s">
        <v>1</v>
      </c>
      <c r="CB561" t="s">
        <v>3382</v>
      </c>
      <c r="CD561" t="str" cm="1">
        <f t="array" aca="1" ref="CD561" ca="1">eConcatenar(A561:CB561,"|")</f>
        <v>Z8hQxUBXZXvQs2kN|CAR2018-0449|3|ECONOLINE|TABASCO|CARDENAS|CARDENAS|2018-04-07|12900|0|100|50|1|0|0|0|0|0|0|0|0|0|0||0|0|0|PEREZ|HIDALGO|AMANDA|SOLTERO|X|X|CALLE SAN MIGUEL AL FONDO|COLONIA EL PARNASO|X|9373776457|X|X|X|CALLE SAN MIGUEL AL FONDO|X|LUNES|x|x|x|x|x|DOMICILIO |8300|4600|X|X|X|2022-02-21|2022-02-28|x|x|x|x|x|QX002LUS9KVTQO|x|HOMBRE|X|12900|X|X|X|X|X|X|X|X|CARDENAS|X|X|X|X|FINAL</v>
      </c>
    </row>
    <row r="562" spans="1:82" x14ac:dyDescent="0.25">
      <c r="A562" t="s">
        <v>1229</v>
      </c>
      <c r="B562" t="s">
        <v>1230</v>
      </c>
      <c r="C562">
        <v>3</v>
      </c>
      <c r="D562" t="s">
        <v>1373</v>
      </c>
      <c r="E562" t="s">
        <v>1380</v>
      </c>
      <c r="F562" t="s">
        <v>0</v>
      </c>
      <c r="G562" t="s">
        <v>0</v>
      </c>
      <c r="H562" t="s">
        <v>1667</v>
      </c>
      <c r="I562">
        <v>19800</v>
      </c>
      <c r="J562">
        <v>0</v>
      </c>
      <c r="K562">
        <v>200</v>
      </c>
      <c r="L562">
        <v>50</v>
      </c>
      <c r="M562">
        <v>1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Y562">
        <v>0</v>
      </c>
      <c r="Z562">
        <v>0</v>
      </c>
      <c r="AA562">
        <v>0</v>
      </c>
      <c r="AB562" t="s">
        <v>1748</v>
      </c>
      <c r="AC562" t="s">
        <v>2383</v>
      </c>
      <c r="AD562" t="s">
        <v>2384</v>
      </c>
      <c r="AE562" t="s">
        <v>4</v>
      </c>
      <c r="AF562" t="s">
        <v>1</v>
      </c>
      <c r="AG562" t="s">
        <v>1</v>
      </c>
      <c r="AH562" t="s">
        <v>2921</v>
      </c>
      <c r="AI562" t="s">
        <v>3222</v>
      </c>
      <c r="AJ562" t="s">
        <v>1</v>
      </c>
      <c r="AK562" t="s">
        <v>1</v>
      </c>
      <c r="AL562" t="s">
        <v>1</v>
      </c>
      <c r="AM562" t="s">
        <v>1</v>
      </c>
      <c r="AN562" t="s">
        <v>1</v>
      </c>
      <c r="AO562" t="s">
        <v>2921</v>
      </c>
      <c r="AP562" t="s">
        <v>1</v>
      </c>
      <c r="AQ562" t="s">
        <v>2</v>
      </c>
      <c r="AR562" t="s">
        <v>3</v>
      </c>
      <c r="AS562" t="s">
        <v>3</v>
      </c>
      <c r="AT562" t="s">
        <v>3</v>
      </c>
      <c r="AU562" t="s">
        <v>3</v>
      </c>
      <c r="AV562" t="s">
        <v>3</v>
      </c>
      <c r="AW562" t="s">
        <v>11</v>
      </c>
      <c r="AX562">
        <f>Tabla1[[#This Row],[precio del paquete]]-Tabla1[[#This Row],[Saldo_Deudor]]</f>
        <v>9300</v>
      </c>
      <c r="AY562">
        <v>10500</v>
      </c>
      <c r="AZ562" t="s">
        <v>1</v>
      </c>
      <c r="BA562" t="s">
        <v>1</v>
      </c>
      <c r="BB562" t="s">
        <v>1</v>
      </c>
      <c r="BC562" t="s">
        <v>3256</v>
      </c>
      <c r="BD562" t="s">
        <v>3250</v>
      </c>
      <c r="BE562" t="s">
        <v>3</v>
      </c>
      <c r="BF562" t="s">
        <v>3</v>
      </c>
      <c r="BG562" t="s">
        <v>3</v>
      </c>
      <c r="BH562" t="s">
        <v>3</v>
      </c>
      <c r="BI562" t="s">
        <v>3</v>
      </c>
      <c r="BJ562" t="s">
        <v>3363</v>
      </c>
      <c r="BK562" t="s">
        <v>3</v>
      </c>
      <c r="BL562" t="s">
        <v>132</v>
      </c>
      <c r="BM562" t="s">
        <v>1</v>
      </c>
      <c r="BN562">
        <f>Tabla1[[#This Row],[precio del paquete]]</f>
        <v>19800</v>
      </c>
      <c r="BO562" t="s">
        <v>1</v>
      </c>
      <c r="BP562" t="s">
        <v>1</v>
      </c>
      <c r="BQ562" t="s">
        <v>1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0</v>
      </c>
      <c r="BX562" t="s">
        <v>1</v>
      </c>
      <c r="BY562" t="s">
        <v>1</v>
      </c>
      <c r="BZ562" t="s">
        <v>1</v>
      </c>
      <c r="CA562" t="s">
        <v>1</v>
      </c>
      <c r="CB562" t="s">
        <v>3382</v>
      </c>
      <c r="CD562" t="str" cm="1">
        <f t="array" aca="1" ref="CD562" ca="1">eConcatenar(A562:CB562,"|")</f>
        <v>jSQN1rsr60GkUrOt|CAR2019-3579|3|ZAFIRO|TABASCO|CARDENAS|CARDENAS|2019-11-30|19800|0|200|50|1|0|0|0|0|0|0|0|0|0|0||0|0|0|JIMENEZ|ALPUCHE|YRMA|SOLTERO|X|X|CALLE NUMERO 2 |POBLADO C-32 FRANCISCO TRUJILLO|X|X|X|X|X|CALLE NUMERO 2 |X|LUNES|x|x|x|x|x|DOMICILIO |9300|10500|X|X|X|2022-02-21|2022-02-28|x|x|x|x|x|QX002LUS9KVTQO|x|HOMBRE|X|19800|X|X|X|X|X|X|X|X|CARDENAS|X|X|X|X|FINAL</v>
      </c>
    </row>
    <row r="563" spans="1:82" x14ac:dyDescent="0.25">
      <c r="A563" t="s">
        <v>1231</v>
      </c>
      <c r="B563" t="s">
        <v>1232</v>
      </c>
      <c r="C563">
        <v>3</v>
      </c>
      <c r="D563" t="s">
        <v>1371</v>
      </c>
      <c r="E563" t="s">
        <v>1380</v>
      </c>
      <c r="F563" t="s">
        <v>1382</v>
      </c>
      <c r="G563" t="s">
        <v>1382</v>
      </c>
      <c r="H563" t="s">
        <v>1575</v>
      </c>
      <c r="I563">
        <v>12900</v>
      </c>
      <c r="J563">
        <v>0</v>
      </c>
      <c r="K563">
        <v>100</v>
      </c>
      <c r="L563">
        <v>50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Y563">
        <v>0</v>
      </c>
      <c r="Z563">
        <v>0</v>
      </c>
      <c r="AA563">
        <v>0</v>
      </c>
      <c r="AB563" t="s">
        <v>2385</v>
      </c>
      <c r="AC563" t="s">
        <v>1728</v>
      </c>
      <c r="AD563" t="s">
        <v>1751</v>
      </c>
      <c r="AE563" t="s">
        <v>4</v>
      </c>
      <c r="AF563" t="s">
        <v>1</v>
      </c>
      <c r="AG563" t="s">
        <v>1</v>
      </c>
      <c r="AH563" t="s">
        <v>2922</v>
      </c>
      <c r="AI563" t="s">
        <v>3223</v>
      </c>
      <c r="AJ563" t="s">
        <v>1</v>
      </c>
      <c r="AK563">
        <v>9141256504</v>
      </c>
      <c r="AL563" t="s">
        <v>1</v>
      </c>
      <c r="AM563" t="s">
        <v>1</v>
      </c>
      <c r="AN563" t="s">
        <v>1</v>
      </c>
      <c r="AO563" t="s">
        <v>2922</v>
      </c>
      <c r="AP563" t="s">
        <v>1</v>
      </c>
      <c r="AQ563" t="s">
        <v>2</v>
      </c>
      <c r="AR563" t="s">
        <v>3</v>
      </c>
      <c r="AS563" t="s">
        <v>3</v>
      </c>
      <c r="AT563" t="s">
        <v>3</v>
      </c>
      <c r="AU563" t="s">
        <v>3</v>
      </c>
      <c r="AV563" t="s">
        <v>3</v>
      </c>
      <c r="AW563" t="s">
        <v>11</v>
      </c>
      <c r="AX563">
        <f>Tabla1[[#This Row],[precio del paquete]]-Tabla1[[#This Row],[Saldo_Deudor]]</f>
        <v>10400</v>
      </c>
      <c r="AY563">
        <v>2500</v>
      </c>
      <c r="AZ563" t="s">
        <v>1</v>
      </c>
      <c r="BA563" t="s">
        <v>1</v>
      </c>
      <c r="BB563" t="s">
        <v>1</v>
      </c>
      <c r="BC563" t="s">
        <v>3256</v>
      </c>
      <c r="BD563" t="s">
        <v>3250</v>
      </c>
      <c r="BE563" t="s">
        <v>3</v>
      </c>
      <c r="BF563" t="s">
        <v>3</v>
      </c>
      <c r="BG563" t="s">
        <v>3</v>
      </c>
      <c r="BH563" t="s">
        <v>3</v>
      </c>
      <c r="BI563" t="s">
        <v>3</v>
      </c>
      <c r="BJ563" t="s">
        <v>3363</v>
      </c>
      <c r="BK563" t="s">
        <v>3</v>
      </c>
      <c r="BL563" t="s">
        <v>132</v>
      </c>
      <c r="BM563" t="s">
        <v>1</v>
      </c>
      <c r="BN563">
        <f>Tabla1[[#This Row],[precio del paquete]]</f>
        <v>12900</v>
      </c>
      <c r="BO563" t="s">
        <v>1</v>
      </c>
      <c r="BP563" t="s">
        <v>1</v>
      </c>
      <c r="BQ563" t="s">
        <v>1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0</v>
      </c>
      <c r="BX563" t="s">
        <v>1</v>
      </c>
      <c r="BY563" t="s">
        <v>1</v>
      </c>
      <c r="BZ563" t="s">
        <v>1</v>
      </c>
      <c r="CA563" t="s">
        <v>1</v>
      </c>
      <c r="CB563" t="s">
        <v>3382</v>
      </c>
      <c r="CD563" t="str" cm="1">
        <f t="array" aca="1" ref="CD563" ca="1">eConcatenar(A563:CB563,"|")</f>
        <v>75xENgq15eapCdQ4|CAR2019-0459|3|ECONOLINE|TABASCO|HUIMANGUILLO|HUIMANGUILLO|2019-02-18|12900|0|100|50|0|0|0|0|0|0|0|0|0|0|0||0|0|0|PRESENDA|RICARDEZ|ISAIAS|SOLTERO|X|X|CALLE NUMERO 6|POBLADO C-34 LICENCIADO BENITO JUAREZ|X|9141256504|X|X|X|CALLE NUMERO 6|X|LUNES|x|x|x|x|x|DOMICILIO |10400|2500|X|X|X|2022-02-21|2022-02-28|x|x|x|x|x|QX002LUS9KVTQO|x|HOMBRE|X|12900|X|X|X|X|X|X|X|X|CARDENAS|X|X|X|X|FINAL</v>
      </c>
    </row>
    <row r="564" spans="1:82" x14ac:dyDescent="0.25">
      <c r="A564" t="s">
        <v>1233</v>
      </c>
      <c r="B564" t="s">
        <v>1234</v>
      </c>
      <c r="C564">
        <v>3</v>
      </c>
      <c r="D564" t="s">
        <v>1369</v>
      </c>
      <c r="E564" t="s">
        <v>1380</v>
      </c>
      <c r="F564" t="s">
        <v>1382</v>
      </c>
      <c r="G564" t="s">
        <v>1382</v>
      </c>
      <c r="H564" t="s">
        <v>1574</v>
      </c>
      <c r="I564">
        <v>14800</v>
      </c>
      <c r="J564">
        <v>0</v>
      </c>
      <c r="K564">
        <v>100</v>
      </c>
      <c r="L564">
        <v>50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Y564">
        <v>0</v>
      </c>
      <c r="Z564">
        <v>0</v>
      </c>
      <c r="AA564">
        <v>0</v>
      </c>
      <c r="AB564" t="s">
        <v>2386</v>
      </c>
      <c r="AC564" t="s">
        <v>1744</v>
      </c>
      <c r="AD564" t="s">
        <v>2387</v>
      </c>
      <c r="AE564" t="s">
        <v>4</v>
      </c>
      <c r="AF564" t="s">
        <v>1</v>
      </c>
      <c r="AG564" t="s">
        <v>1</v>
      </c>
      <c r="AH564" t="s">
        <v>2922</v>
      </c>
      <c r="AI564" t="s">
        <v>3223</v>
      </c>
      <c r="AJ564" t="s">
        <v>1</v>
      </c>
      <c r="AK564">
        <v>9371045961</v>
      </c>
      <c r="AL564" t="s">
        <v>1</v>
      </c>
      <c r="AM564" t="s">
        <v>1</v>
      </c>
      <c r="AN564" t="s">
        <v>1</v>
      </c>
      <c r="AO564" t="s">
        <v>2922</v>
      </c>
      <c r="AP564" t="s">
        <v>1</v>
      </c>
      <c r="AQ564" t="s">
        <v>2</v>
      </c>
      <c r="AR564" t="s">
        <v>3</v>
      </c>
      <c r="AS564" t="s">
        <v>3</v>
      </c>
      <c r="AT564" t="s">
        <v>3</v>
      </c>
      <c r="AU564" t="s">
        <v>3</v>
      </c>
      <c r="AV564" t="s">
        <v>3</v>
      </c>
      <c r="AW564" t="s">
        <v>11</v>
      </c>
      <c r="AX564">
        <f>Tabla1[[#This Row],[precio del paquete]]-Tabla1[[#This Row],[Saldo_Deudor]]</f>
        <v>1650</v>
      </c>
      <c r="AY564">
        <v>13150</v>
      </c>
      <c r="AZ564" t="s">
        <v>1</v>
      </c>
      <c r="BA564" t="s">
        <v>1</v>
      </c>
      <c r="BB564" t="s">
        <v>1</v>
      </c>
      <c r="BC564" t="s">
        <v>3256</v>
      </c>
      <c r="BD564" t="s">
        <v>3250</v>
      </c>
      <c r="BE564" t="s">
        <v>3</v>
      </c>
      <c r="BF564" t="s">
        <v>3</v>
      </c>
      <c r="BG564" t="s">
        <v>3</v>
      </c>
      <c r="BH564" t="s">
        <v>3</v>
      </c>
      <c r="BI564" t="s">
        <v>3</v>
      </c>
      <c r="BJ564" t="s">
        <v>3363</v>
      </c>
      <c r="BK564" t="s">
        <v>3</v>
      </c>
      <c r="BL564" t="s">
        <v>132</v>
      </c>
      <c r="BM564" t="s">
        <v>1</v>
      </c>
      <c r="BN564">
        <f>Tabla1[[#This Row],[precio del paquete]]</f>
        <v>14800</v>
      </c>
      <c r="BO564" t="s">
        <v>1</v>
      </c>
      <c r="BP564" t="s">
        <v>1</v>
      </c>
      <c r="BQ564" t="s">
        <v>1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0</v>
      </c>
      <c r="BX564" t="s">
        <v>1</v>
      </c>
      <c r="BY564" t="s">
        <v>1</v>
      </c>
      <c r="BZ564" t="s">
        <v>1</v>
      </c>
      <c r="CA564" t="s">
        <v>1</v>
      </c>
      <c r="CB564" t="s">
        <v>3382</v>
      </c>
      <c r="CD564" t="str" cm="1">
        <f t="array" aca="1" ref="CD564" ca="1">eConcatenar(A564:CB564,"|")</f>
        <v>TsMZVdzogMd0evCD|CAR2021-2278|3|MEMORIAL|TABASCO|HUIMANGUILLO|HUIMANGUILLO|2021-06-03|14800|0|100|50|0|0|0|0|0|0|0|0|0|0|0||0|0|0|ULBARAN|PEREZ|MARIA ANTONIA|SOLTERO|X|X|CALLE NUMERO 6|POBLADO C-34 LICENCIADO BENITO JUAREZ|X|9371045961|X|X|X|CALLE NUMERO 6|X|LUNES|x|x|x|x|x|DOMICILIO |1650|13150|X|X|X|2022-02-21|2022-02-28|x|x|x|x|x|QX002LUS9KVTQO|x|HOMBRE|X|14800|X|X|X|X|X|X|X|X|CARDENAS|X|X|X|X|FINAL</v>
      </c>
    </row>
    <row r="565" spans="1:82" x14ac:dyDescent="0.25">
      <c r="A565" t="s">
        <v>1235</v>
      </c>
      <c r="B565" t="s">
        <v>1236</v>
      </c>
      <c r="C565">
        <v>3</v>
      </c>
      <c r="D565" t="s">
        <v>1368</v>
      </c>
      <c r="E565" t="s">
        <v>1380</v>
      </c>
      <c r="F565" t="s">
        <v>0</v>
      </c>
      <c r="G565" t="s">
        <v>0</v>
      </c>
      <c r="H565" t="s">
        <v>1660</v>
      </c>
      <c r="I565">
        <v>24500</v>
      </c>
      <c r="J565">
        <v>0</v>
      </c>
      <c r="K565">
        <v>100</v>
      </c>
      <c r="L565">
        <v>50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Y565">
        <v>0</v>
      </c>
      <c r="Z565">
        <v>0</v>
      </c>
      <c r="AA565">
        <v>0</v>
      </c>
      <c r="AB565" t="s">
        <v>1747</v>
      </c>
      <c r="AC565" t="s">
        <v>1784</v>
      </c>
      <c r="AD565" t="s">
        <v>2388</v>
      </c>
      <c r="AE565" t="s">
        <v>4</v>
      </c>
      <c r="AF565" t="s">
        <v>1</v>
      </c>
      <c r="AG565" t="s">
        <v>1</v>
      </c>
      <c r="AH565" t="s">
        <v>2923</v>
      </c>
      <c r="AI565" t="s">
        <v>3224</v>
      </c>
      <c r="AJ565" t="s">
        <v>1</v>
      </c>
      <c r="AK565">
        <v>9371408275</v>
      </c>
      <c r="AL565" t="s">
        <v>1</v>
      </c>
      <c r="AM565" t="s">
        <v>1</v>
      </c>
      <c r="AN565" t="s">
        <v>1</v>
      </c>
      <c r="AO565" t="s">
        <v>2923</v>
      </c>
      <c r="AP565" t="s">
        <v>1</v>
      </c>
      <c r="AQ565" t="s">
        <v>2</v>
      </c>
      <c r="AR565" t="s">
        <v>3</v>
      </c>
      <c r="AS565" t="s">
        <v>3</v>
      </c>
      <c r="AT565" t="s">
        <v>3</v>
      </c>
      <c r="AU565" t="s">
        <v>3</v>
      </c>
      <c r="AV565" t="s">
        <v>3</v>
      </c>
      <c r="AW565" t="s">
        <v>11</v>
      </c>
      <c r="AX565">
        <f>Tabla1[[#This Row],[precio del paquete]]-Tabla1[[#This Row],[Saldo_Deudor]]</f>
        <v>1260</v>
      </c>
      <c r="AY565">
        <v>23240</v>
      </c>
      <c r="AZ565" t="s">
        <v>1</v>
      </c>
      <c r="BA565" t="s">
        <v>1</v>
      </c>
      <c r="BB565" t="s">
        <v>1</v>
      </c>
      <c r="BC565" t="s">
        <v>3256</v>
      </c>
      <c r="BD565" t="s">
        <v>3250</v>
      </c>
      <c r="BE565" t="s">
        <v>3</v>
      </c>
      <c r="BF565" t="s">
        <v>3</v>
      </c>
      <c r="BG565" t="s">
        <v>3</v>
      </c>
      <c r="BH565" t="s">
        <v>3</v>
      </c>
      <c r="BI565" t="s">
        <v>3</v>
      </c>
      <c r="BJ565" t="s">
        <v>3363</v>
      </c>
      <c r="BK565" t="s">
        <v>3</v>
      </c>
      <c r="BL565" t="s">
        <v>132</v>
      </c>
      <c r="BM565" t="s">
        <v>1</v>
      </c>
      <c r="BN565">
        <f>Tabla1[[#This Row],[precio del paquete]]</f>
        <v>24500</v>
      </c>
      <c r="BO565" t="s">
        <v>1</v>
      </c>
      <c r="BP565" t="s">
        <v>1</v>
      </c>
      <c r="BQ565" t="s">
        <v>1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0</v>
      </c>
      <c r="BX565" t="s">
        <v>1</v>
      </c>
      <c r="BY565" t="s">
        <v>1</v>
      </c>
      <c r="BZ565" t="s">
        <v>1</v>
      </c>
      <c r="CA565" t="s">
        <v>1</v>
      </c>
      <c r="CB565" t="s">
        <v>3382</v>
      </c>
      <c r="CD565" t="str" cm="1">
        <f t="array" aca="1" ref="CD565" ca="1">eConcatenar(A565:CB565,"|")</f>
        <v>KQqY7HpRtWvMEEd1|CAR2021-6054|3|DIGNITY|TABASCO|CARDENAS|CARDENAS|2021-10-12|24500|0|100|50|0|0|0|0|0|0|0|0|0|0|0||0|0|0|GOMES|GAMAS|SAULO|SOLTERO|X|X|CARRETERA FEDERAL CARDENAS - COATZACOALCOS|EJIDO SAN FERNANDO|X|9371408275|X|X|X|CARRETERA FEDERAL CARDENAS - COATZACOALCOS|X|LUNES|x|x|x|x|x|DOMICILIO |1260|23240|X|X|X|2022-02-21|2022-02-28|x|x|x|x|x|QX002LUS9KVTQO|x|HOMBRE|X|24500|X|X|X|X|X|X|X|X|CARDENAS|X|X|X|X|FINAL</v>
      </c>
    </row>
    <row r="566" spans="1:82" x14ac:dyDescent="0.25">
      <c r="A566" t="s">
        <v>1237</v>
      </c>
      <c r="B566" t="s">
        <v>1238</v>
      </c>
      <c r="C566">
        <v>3</v>
      </c>
      <c r="D566" t="s">
        <v>1369</v>
      </c>
      <c r="E566" t="s">
        <v>1380</v>
      </c>
      <c r="F566" t="s">
        <v>0</v>
      </c>
      <c r="G566" t="s">
        <v>0</v>
      </c>
      <c r="H566" t="s">
        <v>1668</v>
      </c>
      <c r="I566">
        <v>14800</v>
      </c>
      <c r="J566">
        <v>0</v>
      </c>
      <c r="K566">
        <v>100</v>
      </c>
      <c r="L566">
        <v>50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Y566">
        <v>0</v>
      </c>
      <c r="Z566">
        <v>0</v>
      </c>
      <c r="AA566">
        <v>0</v>
      </c>
      <c r="AB566" t="s">
        <v>2389</v>
      </c>
      <c r="AC566" t="s">
        <v>1790</v>
      </c>
      <c r="AD566" t="s">
        <v>1726</v>
      </c>
      <c r="AE566" t="s">
        <v>4</v>
      </c>
      <c r="AF566" t="s">
        <v>1</v>
      </c>
      <c r="AG566" t="s">
        <v>1</v>
      </c>
      <c r="AH566" t="s">
        <v>2924</v>
      </c>
      <c r="AI566" t="s">
        <v>3225</v>
      </c>
      <c r="AJ566" t="s">
        <v>1</v>
      </c>
      <c r="AK566">
        <v>9372270311</v>
      </c>
      <c r="AL566" t="s">
        <v>1</v>
      </c>
      <c r="AM566" t="s">
        <v>1</v>
      </c>
      <c r="AN566" t="s">
        <v>1</v>
      </c>
      <c r="AO566" t="s">
        <v>2924</v>
      </c>
      <c r="AP566" t="s">
        <v>1</v>
      </c>
      <c r="AQ566" t="s">
        <v>2</v>
      </c>
      <c r="AR566" t="s">
        <v>3</v>
      </c>
      <c r="AS566" t="s">
        <v>3</v>
      </c>
      <c r="AT566" t="s">
        <v>3</v>
      </c>
      <c r="AU566" t="s">
        <v>3</v>
      </c>
      <c r="AV566" t="s">
        <v>3</v>
      </c>
      <c r="AW566" t="s">
        <v>11</v>
      </c>
      <c r="AX566">
        <f>Tabla1[[#This Row],[precio del paquete]]-Tabla1[[#This Row],[Saldo_Deudor]]</f>
        <v>1500</v>
      </c>
      <c r="AY566">
        <v>13300</v>
      </c>
      <c r="AZ566" t="s">
        <v>1</v>
      </c>
      <c r="BA566" t="s">
        <v>1</v>
      </c>
      <c r="BB566" t="s">
        <v>1</v>
      </c>
      <c r="BC566" t="s">
        <v>3256</v>
      </c>
      <c r="BD566" t="s">
        <v>3250</v>
      </c>
      <c r="BE566" t="s">
        <v>3</v>
      </c>
      <c r="BF566" t="s">
        <v>3</v>
      </c>
      <c r="BG566" t="s">
        <v>3</v>
      </c>
      <c r="BH566" t="s">
        <v>3</v>
      </c>
      <c r="BI566" t="s">
        <v>3</v>
      </c>
      <c r="BJ566" t="s">
        <v>3363</v>
      </c>
      <c r="BK566" t="s">
        <v>3</v>
      </c>
      <c r="BL566" t="s">
        <v>132</v>
      </c>
      <c r="BM566" t="s">
        <v>1</v>
      </c>
      <c r="BN566">
        <f>Tabla1[[#This Row],[precio del paquete]]</f>
        <v>14800</v>
      </c>
      <c r="BO566" t="s">
        <v>1</v>
      </c>
      <c r="BP566" t="s">
        <v>1</v>
      </c>
      <c r="BQ566" t="s">
        <v>1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0</v>
      </c>
      <c r="BX566" t="s">
        <v>1</v>
      </c>
      <c r="BY566" t="s">
        <v>1</v>
      </c>
      <c r="BZ566" t="s">
        <v>1</v>
      </c>
      <c r="CA566" t="s">
        <v>1</v>
      </c>
      <c r="CB566" t="s">
        <v>3382</v>
      </c>
      <c r="CD566" t="str" cm="1">
        <f t="array" aca="1" ref="CD566" ca="1">eConcatenar(A566:CB566,"|")</f>
        <v>ZkGJxtjkHMlmWxUj|CAR2021-6626|3|MEMORIAL|TABASCO|CARDENAS|CARDENAS|2021-11-03|14800|0|100|50|0|0|0|0|0|0|0|0|0|0|0||0|0|0|SILVANO|DOMINGUEZ|ABEL|SOLTERO|X|X|CAMINO VECINAL SIN NUMERO|EJIDO PICO DE ORO PRIMERA SECCION|X|9372270311|X|X|X|CAMINO VECINAL SIN NUMERO|X|LUNES|x|x|x|x|x|DOMICILIO |1500|13300|X|X|X|2022-02-21|2022-02-28|x|x|x|x|x|QX002LUS9KVTQO|x|HOMBRE|X|14800|X|X|X|X|X|X|X|X|CARDENAS|X|X|X|X|FINAL</v>
      </c>
    </row>
    <row r="567" spans="1:82" x14ac:dyDescent="0.25">
      <c r="A567" t="s">
        <v>1239</v>
      </c>
      <c r="B567" t="s">
        <v>1240</v>
      </c>
      <c r="C567">
        <v>3</v>
      </c>
      <c r="D567" t="s">
        <v>1369</v>
      </c>
      <c r="E567" t="s">
        <v>1380</v>
      </c>
      <c r="F567" t="s">
        <v>1382</v>
      </c>
      <c r="G567" t="s">
        <v>1382</v>
      </c>
      <c r="H567" t="s">
        <v>1669</v>
      </c>
      <c r="I567">
        <v>14800</v>
      </c>
      <c r="J567">
        <v>0</v>
      </c>
      <c r="K567">
        <v>50</v>
      </c>
      <c r="L567">
        <v>50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Y567">
        <v>0</v>
      </c>
      <c r="Z567">
        <v>0</v>
      </c>
      <c r="AA567">
        <v>0</v>
      </c>
      <c r="AB567" t="s">
        <v>1713</v>
      </c>
      <c r="AC567" t="s">
        <v>1699</v>
      </c>
      <c r="AD567" t="s">
        <v>2390</v>
      </c>
      <c r="AE567" t="s">
        <v>4</v>
      </c>
      <c r="AF567" t="s">
        <v>1</v>
      </c>
      <c r="AG567" t="s">
        <v>1</v>
      </c>
      <c r="AH567" t="s">
        <v>2925</v>
      </c>
      <c r="AI567" t="s">
        <v>3199</v>
      </c>
      <c r="AJ567" t="s">
        <v>1</v>
      </c>
      <c r="AK567">
        <v>9371333375</v>
      </c>
      <c r="AL567" t="s">
        <v>1</v>
      </c>
      <c r="AM567" t="s">
        <v>1</v>
      </c>
      <c r="AN567" t="s">
        <v>1</v>
      </c>
      <c r="AO567" t="s">
        <v>2925</v>
      </c>
      <c r="AP567" t="s">
        <v>1</v>
      </c>
      <c r="AQ567" t="s">
        <v>2</v>
      </c>
      <c r="AR567" t="s">
        <v>3</v>
      </c>
      <c r="AS567" t="s">
        <v>3</v>
      </c>
      <c r="AT567" t="s">
        <v>3</v>
      </c>
      <c r="AU567" t="s">
        <v>3</v>
      </c>
      <c r="AV567" t="s">
        <v>3</v>
      </c>
      <c r="AW567" t="s">
        <v>11</v>
      </c>
      <c r="AX567">
        <f>Tabla1[[#This Row],[precio del paquete]]-Tabla1[[#This Row],[Saldo_Deudor]]</f>
        <v>1550</v>
      </c>
      <c r="AY567">
        <v>13250</v>
      </c>
      <c r="AZ567" t="s">
        <v>1</v>
      </c>
      <c r="BA567" t="s">
        <v>1</v>
      </c>
      <c r="BB567" t="s">
        <v>1</v>
      </c>
      <c r="BC567" t="s">
        <v>3256</v>
      </c>
      <c r="BD567" t="s">
        <v>3250</v>
      </c>
      <c r="BE567" t="s">
        <v>3</v>
      </c>
      <c r="BF567" t="s">
        <v>3</v>
      </c>
      <c r="BG567" t="s">
        <v>3</v>
      </c>
      <c r="BH567" t="s">
        <v>3</v>
      </c>
      <c r="BI567" t="s">
        <v>3</v>
      </c>
      <c r="BJ567" t="s">
        <v>3363</v>
      </c>
      <c r="BK567" t="s">
        <v>3</v>
      </c>
      <c r="BL567" t="s">
        <v>132</v>
      </c>
      <c r="BM567" t="s">
        <v>1</v>
      </c>
      <c r="BN567">
        <f>Tabla1[[#This Row],[precio del paquete]]</f>
        <v>14800</v>
      </c>
      <c r="BO567" t="s">
        <v>1</v>
      </c>
      <c r="BP567" t="s">
        <v>1</v>
      </c>
      <c r="BQ567" t="s">
        <v>1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0</v>
      </c>
      <c r="BX567" t="s">
        <v>1</v>
      </c>
      <c r="BY567" t="s">
        <v>1</v>
      </c>
      <c r="BZ567" t="s">
        <v>1</v>
      </c>
      <c r="CA567" t="s">
        <v>1</v>
      </c>
      <c r="CB567" t="s">
        <v>3382</v>
      </c>
      <c r="CD567" t="str" cm="1">
        <f t="array" aca="1" ref="CD567" ca="1">eConcatenar(A567:CB567,"|")</f>
        <v>xotiCgr0iQoJKBqL|CAR2021-6605|3|MEMORIAL|TABASCO|HUIMANGUILLO|HUIMANGUILLO|2021-10-30|14800|0|50|50|0|0|0|0|0|0|0|0|0|0|0||0|0|0|DE LA CRUZ|CORDOVA|ANALLELY|SOLTERO|X|X|CALLE 1 NUMERO CASA NUMERO 27|POBLADO C-25 ISIDRO CORTES RUEDA|X|9371333375|X|X|X|CALLE 1 NUMERO CASA NUMERO 27|X|LUNES|x|x|x|x|x|DOMICILIO |1550|13250|X|X|X|2022-02-21|2022-02-28|x|x|x|x|x|QX002LUS9KVTQO|x|HOMBRE|X|14800|X|X|X|X|X|X|X|X|CARDENAS|X|X|X|X|FINAL</v>
      </c>
    </row>
    <row r="568" spans="1:82" x14ac:dyDescent="0.25">
      <c r="A568" t="s">
        <v>1241</v>
      </c>
      <c r="B568" t="s">
        <v>1242</v>
      </c>
      <c r="C568">
        <v>3</v>
      </c>
      <c r="D568" t="s">
        <v>1369</v>
      </c>
      <c r="E568" t="s">
        <v>1380</v>
      </c>
      <c r="F568" t="s">
        <v>1382</v>
      </c>
      <c r="G568" t="s">
        <v>1382</v>
      </c>
      <c r="H568" t="s">
        <v>1669</v>
      </c>
      <c r="I568">
        <v>14800</v>
      </c>
      <c r="J568">
        <v>0</v>
      </c>
      <c r="K568">
        <v>100</v>
      </c>
      <c r="L568">
        <v>50</v>
      </c>
      <c r="M568">
        <v>2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Y568">
        <v>0</v>
      </c>
      <c r="Z568">
        <v>0</v>
      </c>
      <c r="AA568">
        <v>0</v>
      </c>
      <c r="AB568" t="s">
        <v>1739</v>
      </c>
      <c r="AC568" t="s">
        <v>1731</v>
      </c>
      <c r="AD568" t="s">
        <v>2391</v>
      </c>
      <c r="AE568" t="s">
        <v>4</v>
      </c>
      <c r="AF568" t="s">
        <v>1</v>
      </c>
      <c r="AG568" t="s">
        <v>1</v>
      </c>
      <c r="AH568" t="s">
        <v>2926</v>
      </c>
      <c r="AI568" t="s">
        <v>3199</v>
      </c>
      <c r="AJ568" t="s">
        <v>1</v>
      </c>
      <c r="AK568">
        <v>9171072583</v>
      </c>
      <c r="AL568" t="s">
        <v>1</v>
      </c>
      <c r="AM568" t="s">
        <v>1</v>
      </c>
      <c r="AN568" t="s">
        <v>1</v>
      </c>
      <c r="AO568" t="s">
        <v>2926</v>
      </c>
      <c r="AP568" t="s">
        <v>1</v>
      </c>
      <c r="AQ568" t="s">
        <v>2</v>
      </c>
      <c r="AR568" t="s">
        <v>3</v>
      </c>
      <c r="AS568" t="s">
        <v>3</v>
      </c>
      <c r="AT568" t="s">
        <v>3</v>
      </c>
      <c r="AU568" t="s">
        <v>3</v>
      </c>
      <c r="AV568" t="s">
        <v>3</v>
      </c>
      <c r="AW568" t="s">
        <v>11</v>
      </c>
      <c r="AX568">
        <f>Tabla1[[#This Row],[precio del paquete]]-Tabla1[[#This Row],[Saldo_Deudor]]</f>
        <v>900</v>
      </c>
      <c r="AY568">
        <v>13900</v>
      </c>
      <c r="AZ568" t="s">
        <v>1</v>
      </c>
      <c r="BA568" t="s">
        <v>1</v>
      </c>
      <c r="BB568" t="s">
        <v>1</v>
      </c>
      <c r="BC568" t="s">
        <v>3256</v>
      </c>
      <c r="BD568" t="s">
        <v>3250</v>
      </c>
      <c r="BE568" t="s">
        <v>3</v>
      </c>
      <c r="BF568" t="s">
        <v>3</v>
      </c>
      <c r="BG568" t="s">
        <v>3</v>
      </c>
      <c r="BH568" t="s">
        <v>3</v>
      </c>
      <c r="BI568" t="s">
        <v>3</v>
      </c>
      <c r="BJ568" t="s">
        <v>3363</v>
      </c>
      <c r="BK568" t="s">
        <v>3</v>
      </c>
      <c r="BL568" t="s">
        <v>132</v>
      </c>
      <c r="BM568" t="s">
        <v>1</v>
      </c>
      <c r="BN568">
        <f>Tabla1[[#This Row],[precio del paquete]]</f>
        <v>14800</v>
      </c>
      <c r="BO568" t="s">
        <v>1</v>
      </c>
      <c r="BP568" t="s">
        <v>1</v>
      </c>
      <c r="BQ568" t="s">
        <v>1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0</v>
      </c>
      <c r="BX568" t="s">
        <v>1</v>
      </c>
      <c r="BY568" t="s">
        <v>1</v>
      </c>
      <c r="BZ568" t="s">
        <v>1</v>
      </c>
      <c r="CA568" t="s">
        <v>1</v>
      </c>
      <c r="CB568" t="s">
        <v>3382</v>
      </c>
      <c r="CD568" t="str" cm="1">
        <f t="array" aca="1" ref="CD568" ca="1">eConcatenar(A568:CB568,"|")</f>
        <v>87yPFr7cd4x02MNG|CAR2021-6604|3|MEMORIAL|TABASCO|HUIMANGUILLO|HUIMANGUILLO|2021-10-30|14800|0|100|50|2|0|0|0|0|0|0|0|0|0|0||0|0|0|DE LOS SANTOS|GARCIA|JOSEFA|SOLTERO|X|X|CALLE 5 CASA NUMERO 25|POBLADO C-25 ISIDRO CORTES RUEDA|X|9171072583|X|X|X|CALLE 5 CASA NUMERO 25|X|LUNES|x|x|x|x|x|DOMICILIO |900|13900|X|X|X|2022-02-21|2022-02-28|x|x|x|x|x|QX002LUS9KVTQO|x|HOMBRE|X|14800|X|X|X|X|X|X|X|X|CARDENAS|X|X|X|X|FINAL</v>
      </c>
    </row>
    <row r="569" spans="1:82" x14ac:dyDescent="0.25">
      <c r="A569" t="s">
        <v>1243</v>
      </c>
      <c r="B569" t="s">
        <v>1244</v>
      </c>
      <c r="C569">
        <v>3</v>
      </c>
      <c r="D569" t="s">
        <v>1369</v>
      </c>
      <c r="E569" t="s">
        <v>1380</v>
      </c>
      <c r="F569" t="s">
        <v>1382</v>
      </c>
      <c r="G569" t="s">
        <v>1382</v>
      </c>
      <c r="H569" t="s">
        <v>1669</v>
      </c>
      <c r="I569">
        <v>14800</v>
      </c>
      <c r="J569">
        <v>0</v>
      </c>
      <c r="K569">
        <v>200</v>
      </c>
      <c r="L569">
        <v>50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Y569">
        <v>0</v>
      </c>
      <c r="Z569">
        <v>0</v>
      </c>
      <c r="AA569">
        <v>0</v>
      </c>
      <c r="AB569" t="s">
        <v>1989</v>
      </c>
      <c r="AC569" t="s">
        <v>1820</v>
      </c>
      <c r="AD569" t="s">
        <v>1764</v>
      </c>
      <c r="AE569" t="s">
        <v>4</v>
      </c>
      <c r="AF569" t="s">
        <v>1</v>
      </c>
      <c r="AG569" t="s">
        <v>1</v>
      </c>
      <c r="AH569" t="s">
        <v>2927</v>
      </c>
      <c r="AI569" t="s">
        <v>3199</v>
      </c>
      <c r="AJ569" t="s">
        <v>1</v>
      </c>
      <c r="AK569">
        <v>9171186725</v>
      </c>
      <c r="AL569" t="s">
        <v>1</v>
      </c>
      <c r="AM569" t="s">
        <v>1</v>
      </c>
      <c r="AN569" t="s">
        <v>1</v>
      </c>
      <c r="AO569" t="s">
        <v>2927</v>
      </c>
      <c r="AP569" t="s">
        <v>1</v>
      </c>
      <c r="AQ569" t="s">
        <v>2</v>
      </c>
      <c r="AR569" t="s">
        <v>3</v>
      </c>
      <c r="AS569" t="s">
        <v>3</v>
      </c>
      <c r="AT569" t="s">
        <v>3</v>
      </c>
      <c r="AU569" t="s">
        <v>3</v>
      </c>
      <c r="AV569" t="s">
        <v>3</v>
      </c>
      <c r="AW569" t="s">
        <v>11</v>
      </c>
      <c r="AX569">
        <f>Tabla1[[#This Row],[precio del paquete]]-Tabla1[[#This Row],[Saldo_Deudor]]</f>
        <v>1800</v>
      </c>
      <c r="AY569">
        <v>13000</v>
      </c>
      <c r="AZ569" t="s">
        <v>1</v>
      </c>
      <c r="BA569" t="s">
        <v>1</v>
      </c>
      <c r="BB569" t="s">
        <v>1</v>
      </c>
      <c r="BC569" t="s">
        <v>3256</v>
      </c>
      <c r="BD569" t="s">
        <v>3250</v>
      </c>
      <c r="BE569" t="s">
        <v>3</v>
      </c>
      <c r="BF569" t="s">
        <v>3</v>
      </c>
      <c r="BG569" t="s">
        <v>3</v>
      </c>
      <c r="BH569" t="s">
        <v>3</v>
      </c>
      <c r="BI569" t="s">
        <v>3</v>
      </c>
      <c r="BJ569" t="s">
        <v>3363</v>
      </c>
      <c r="BK569" t="s">
        <v>3</v>
      </c>
      <c r="BL569" t="s">
        <v>132</v>
      </c>
      <c r="BM569" t="s">
        <v>1</v>
      </c>
      <c r="BN569">
        <f>Tabla1[[#This Row],[precio del paquete]]</f>
        <v>14800</v>
      </c>
      <c r="BO569" t="s">
        <v>1</v>
      </c>
      <c r="BP569" t="s">
        <v>1</v>
      </c>
      <c r="BQ569" t="s">
        <v>1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0</v>
      </c>
      <c r="BX569" t="s">
        <v>1</v>
      </c>
      <c r="BY569" t="s">
        <v>1</v>
      </c>
      <c r="BZ569" t="s">
        <v>1</v>
      </c>
      <c r="CA569" t="s">
        <v>1</v>
      </c>
      <c r="CB569" t="s">
        <v>3382</v>
      </c>
      <c r="CD569" t="str" cm="1">
        <f t="array" aca="1" ref="CD569" ca="1">eConcatenar(A569:CB569,"|")</f>
        <v>IHQdMbevsxNY5N5E|CAR2021-6606|3|MEMORIAL|TABASCO|HUIMANGUILLO|HUIMANGUILLO|2021-10-30|14800|0|200|50|0|0|0|0|0|0|0|0|0|0|0||0|0|0|TRINIDAD|MONTEJO|PEDRO|SOLTERO|X|X|CALLE 7 CASA NUMERO 169|POBLADO C-25 ISIDRO CORTES RUEDA|X|9171186725|X|X|X|CALLE 7 CASA NUMERO 169|X|LUNES|x|x|x|x|x|DOMICILIO |1800|13000|X|X|X|2022-02-21|2022-02-28|x|x|x|x|x|QX002LUS9KVTQO|x|HOMBRE|X|14800|X|X|X|X|X|X|X|X|CARDENAS|X|X|X|X|FINAL</v>
      </c>
    </row>
    <row r="570" spans="1:82" x14ac:dyDescent="0.25">
      <c r="A570" t="s">
        <v>1245</v>
      </c>
      <c r="B570" t="s">
        <v>1246</v>
      </c>
      <c r="C570">
        <v>3</v>
      </c>
      <c r="D570" t="s">
        <v>1369</v>
      </c>
      <c r="E570" t="s">
        <v>1380</v>
      </c>
      <c r="F570" t="s">
        <v>0</v>
      </c>
      <c r="G570" t="s">
        <v>0</v>
      </c>
      <c r="H570" t="s">
        <v>1442</v>
      </c>
      <c r="I570">
        <v>14800</v>
      </c>
      <c r="J570">
        <v>0</v>
      </c>
      <c r="K570">
        <v>100</v>
      </c>
      <c r="L570">
        <v>50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Y570">
        <v>0</v>
      </c>
      <c r="Z570">
        <v>0</v>
      </c>
      <c r="AA570">
        <v>0</v>
      </c>
      <c r="AB570" t="s">
        <v>2392</v>
      </c>
      <c r="AC570" t="s">
        <v>2228</v>
      </c>
      <c r="AD570" t="s">
        <v>2171</v>
      </c>
      <c r="AE570" t="s">
        <v>4</v>
      </c>
      <c r="AF570" t="s">
        <v>1</v>
      </c>
      <c r="AG570" t="s">
        <v>1</v>
      </c>
      <c r="AH570" t="s">
        <v>2928</v>
      </c>
      <c r="AI570" t="s">
        <v>3226</v>
      </c>
      <c r="AJ570" t="s">
        <v>1</v>
      </c>
      <c r="AK570">
        <v>9371434984</v>
      </c>
      <c r="AL570" t="s">
        <v>1</v>
      </c>
      <c r="AM570" t="s">
        <v>1</v>
      </c>
      <c r="AN570" t="s">
        <v>1</v>
      </c>
      <c r="AO570" t="s">
        <v>2928</v>
      </c>
      <c r="AP570" t="s">
        <v>1</v>
      </c>
      <c r="AQ570" t="s">
        <v>2</v>
      </c>
      <c r="AR570" t="s">
        <v>3</v>
      </c>
      <c r="AS570" t="s">
        <v>3</v>
      </c>
      <c r="AT570" t="s">
        <v>3</v>
      </c>
      <c r="AU570" t="s">
        <v>3</v>
      </c>
      <c r="AV570" t="s">
        <v>3</v>
      </c>
      <c r="AW570" t="s">
        <v>11</v>
      </c>
      <c r="AX570">
        <f>Tabla1[[#This Row],[precio del paquete]]-Tabla1[[#This Row],[Saldo_Deudor]]</f>
        <v>2100</v>
      </c>
      <c r="AY570">
        <v>12700</v>
      </c>
      <c r="AZ570" t="s">
        <v>1</v>
      </c>
      <c r="BA570" t="s">
        <v>1</v>
      </c>
      <c r="BB570" t="s">
        <v>1</v>
      </c>
      <c r="BC570" t="s">
        <v>3256</v>
      </c>
      <c r="BD570" t="s">
        <v>3250</v>
      </c>
      <c r="BE570" t="s">
        <v>3</v>
      </c>
      <c r="BF570" t="s">
        <v>3</v>
      </c>
      <c r="BG570" t="s">
        <v>3</v>
      </c>
      <c r="BH570" t="s">
        <v>3</v>
      </c>
      <c r="BI570" t="s">
        <v>3</v>
      </c>
      <c r="BJ570" t="s">
        <v>3363</v>
      </c>
      <c r="BK570" t="s">
        <v>3</v>
      </c>
      <c r="BL570" t="s">
        <v>132</v>
      </c>
      <c r="BM570" t="s">
        <v>1</v>
      </c>
      <c r="BN570">
        <f>Tabla1[[#This Row],[precio del paquete]]</f>
        <v>14800</v>
      </c>
      <c r="BO570" t="s">
        <v>1</v>
      </c>
      <c r="BP570" t="s">
        <v>1</v>
      </c>
      <c r="BQ570" t="s">
        <v>1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0</v>
      </c>
      <c r="BX570" t="s">
        <v>1</v>
      </c>
      <c r="BY570" t="s">
        <v>1</v>
      </c>
      <c r="BZ570" t="s">
        <v>1</v>
      </c>
      <c r="CA570" t="s">
        <v>1</v>
      </c>
      <c r="CB570" t="s">
        <v>3382</v>
      </c>
      <c r="CD570" t="str" cm="1">
        <f t="array" aca="1" ref="CD570" ca="1">eConcatenar(A570:CB570,"|")</f>
        <v>NhYebcbiQ5TBh9Sn|CAR2021-5687|3|MEMORIAL|TABASCO|CARDENAS|CARDENAS|2021-09-29|14800|0|100|50|0|0|0|0|0|0|0|0|0|0|0||0|0|0|CORREA|ROMERO|SILVIA|SOLTERO|X|X|CARRETERA A COATZACOALCOS|EDJIDO ZAPOTAL SAN MIGUEL|X|9371434984|X|X|X|CARRETERA A COATZACOALCOS|X|LUNES|x|x|x|x|x|DOMICILIO |2100|12700|X|X|X|2022-02-21|2022-02-28|x|x|x|x|x|QX002LUS9KVTQO|x|HOMBRE|X|14800|X|X|X|X|X|X|X|X|CARDENAS|X|X|X|X|FINAL</v>
      </c>
    </row>
    <row r="571" spans="1:82" x14ac:dyDescent="0.25">
      <c r="A571" t="s">
        <v>1247</v>
      </c>
      <c r="B571" t="s">
        <v>1248</v>
      </c>
      <c r="C571">
        <v>3</v>
      </c>
      <c r="D571" t="s">
        <v>1372</v>
      </c>
      <c r="E571" t="s">
        <v>1380</v>
      </c>
      <c r="F571" t="s">
        <v>0</v>
      </c>
      <c r="G571" t="s">
        <v>0</v>
      </c>
      <c r="H571" t="s">
        <v>1670</v>
      </c>
      <c r="I571">
        <v>12900</v>
      </c>
      <c r="J571">
        <v>0</v>
      </c>
      <c r="K571">
        <v>200</v>
      </c>
      <c r="L571">
        <v>50</v>
      </c>
      <c r="M571">
        <v>2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Y571">
        <v>0</v>
      </c>
      <c r="Z571">
        <v>0</v>
      </c>
      <c r="AA571">
        <v>0</v>
      </c>
      <c r="AB571" t="s">
        <v>8</v>
      </c>
      <c r="AC571" t="s">
        <v>2393</v>
      </c>
      <c r="AD571" t="s">
        <v>2299</v>
      </c>
      <c r="AE571" t="s">
        <v>4</v>
      </c>
      <c r="AF571" t="s">
        <v>1</v>
      </c>
      <c r="AG571" t="s">
        <v>1</v>
      </c>
      <c r="AH571" t="s">
        <v>2465</v>
      </c>
      <c r="AI571" t="s">
        <v>3197</v>
      </c>
      <c r="AJ571" t="s">
        <v>1</v>
      </c>
      <c r="AK571">
        <v>9371556988</v>
      </c>
      <c r="AL571" t="s">
        <v>1</v>
      </c>
      <c r="AM571" t="s">
        <v>1</v>
      </c>
      <c r="AN571" t="s">
        <v>1</v>
      </c>
      <c r="AO571" t="s">
        <v>2465</v>
      </c>
      <c r="AP571" t="s">
        <v>1</v>
      </c>
      <c r="AQ571" t="s">
        <v>2</v>
      </c>
      <c r="AR571" t="s">
        <v>3</v>
      </c>
      <c r="AS571" t="s">
        <v>3</v>
      </c>
      <c r="AT571" t="s">
        <v>3</v>
      </c>
      <c r="AU571" t="s">
        <v>3</v>
      </c>
      <c r="AV571" t="s">
        <v>3</v>
      </c>
      <c r="AW571" t="s">
        <v>11</v>
      </c>
      <c r="AX571">
        <f>Tabla1[[#This Row],[precio del paquete]]-Tabla1[[#This Row],[Saldo_Deudor]]</f>
        <v>5500</v>
      </c>
      <c r="AY571">
        <v>7400</v>
      </c>
      <c r="AZ571" t="s">
        <v>1</v>
      </c>
      <c r="BA571" t="s">
        <v>1</v>
      </c>
      <c r="BB571" t="s">
        <v>1</v>
      </c>
      <c r="BC571" t="s">
        <v>3256</v>
      </c>
      <c r="BD571" t="s">
        <v>3250</v>
      </c>
      <c r="BE571" t="s">
        <v>3</v>
      </c>
      <c r="BF571" t="s">
        <v>3</v>
      </c>
      <c r="BG571" t="s">
        <v>3</v>
      </c>
      <c r="BH571" t="s">
        <v>3</v>
      </c>
      <c r="BI571" t="s">
        <v>3</v>
      </c>
      <c r="BJ571" t="s">
        <v>3363</v>
      </c>
      <c r="BK571" t="s">
        <v>3</v>
      </c>
      <c r="BL571" t="s">
        <v>132</v>
      </c>
      <c r="BM571" t="s">
        <v>1</v>
      </c>
      <c r="BN571">
        <f>Tabla1[[#This Row],[precio del paquete]]</f>
        <v>12900</v>
      </c>
      <c r="BO571" t="s">
        <v>1</v>
      </c>
      <c r="BP571" t="s">
        <v>1</v>
      </c>
      <c r="BQ571" t="s">
        <v>1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0</v>
      </c>
      <c r="BX571" t="s">
        <v>1</v>
      </c>
      <c r="BY571" t="s">
        <v>1</v>
      </c>
      <c r="BZ571" t="s">
        <v>1</v>
      </c>
      <c r="CA571" t="s">
        <v>1</v>
      </c>
      <c r="CB571" t="s">
        <v>3382</v>
      </c>
      <c r="CD571" t="str" cm="1">
        <f t="array" aca="1" ref="CD571" ca="1">eConcatenar(A571:CB571,"|")</f>
        <v>6WJjhiFzSCH1xTh5|CAR2020-4408|3|IMPERIAL DE LUJO|TABASCO|CARDENAS|CARDENAS|2020-10-27|12900|0|200|50|2|0|0|0|0|0|0|0|0|0|0||0|0|0|GOMEZ|VENTURA|LETICIA|SOLTERO|X|X|CARRETERA PRINCIPAL SIN NUMERO|COLONIA AGRICOLA EL CAPRICHO|X|9371556988|X|X|X|CARRETERA PRINCIPAL SIN NUMERO|X|LUNES|x|x|x|x|x|DOMICILIO |5500|7400|X|X|X|2022-02-21|2022-02-28|x|x|x|x|x|QX002LUS9KVTQO|x|HOMBRE|X|12900|X|X|X|X|X|X|X|X|CARDENAS|X|X|X|X|FINAL</v>
      </c>
    </row>
    <row r="572" spans="1:82" x14ac:dyDescent="0.25">
      <c r="A572" t="s">
        <v>1249</v>
      </c>
      <c r="B572" t="s">
        <v>233</v>
      </c>
      <c r="C572">
        <v>3</v>
      </c>
      <c r="D572" t="s">
        <v>1369</v>
      </c>
      <c r="E572" t="s">
        <v>1380</v>
      </c>
      <c r="F572" t="s">
        <v>0</v>
      </c>
      <c r="G572" t="s">
        <v>0</v>
      </c>
      <c r="H572" t="s">
        <v>1390</v>
      </c>
      <c r="I572">
        <v>14800</v>
      </c>
      <c r="J572">
        <v>0</v>
      </c>
      <c r="K572">
        <v>100</v>
      </c>
      <c r="L572">
        <v>50</v>
      </c>
      <c r="M572">
        <v>1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Y572">
        <v>0</v>
      </c>
      <c r="Z572">
        <v>0</v>
      </c>
      <c r="AA572">
        <v>0</v>
      </c>
      <c r="AB572" t="s">
        <v>8</v>
      </c>
      <c r="AC572" t="s">
        <v>1786</v>
      </c>
      <c r="AD572" t="s">
        <v>1717</v>
      </c>
      <c r="AE572" t="s">
        <v>4</v>
      </c>
      <c r="AF572" t="s">
        <v>1</v>
      </c>
      <c r="AG572" t="s">
        <v>1</v>
      </c>
      <c r="AH572" t="s">
        <v>2929</v>
      </c>
      <c r="AI572" t="s">
        <v>3197</v>
      </c>
      <c r="AJ572" t="s">
        <v>1</v>
      </c>
      <c r="AK572">
        <v>9371100943</v>
      </c>
      <c r="AL572" t="s">
        <v>1</v>
      </c>
      <c r="AM572" t="s">
        <v>1</v>
      </c>
      <c r="AN572" t="s">
        <v>1</v>
      </c>
      <c r="AO572" t="s">
        <v>2929</v>
      </c>
      <c r="AP572" t="s">
        <v>1</v>
      </c>
      <c r="AQ572" t="s">
        <v>2</v>
      </c>
      <c r="AR572" t="s">
        <v>3</v>
      </c>
      <c r="AS572" t="s">
        <v>3</v>
      </c>
      <c r="AT572" t="s">
        <v>3</v>
      </c>
      <c r="AU572" t="s">
        <v>3</v>
      </c>
      <c r="AV572" t="s">
        <v>3</v>
      </c>
      <c r="AW572" t="s">
        <v>11</v>
      </c>
      <c r="AX572">
        <f>Tabla1[[#This Row],[precio del paquete]]-Tabla1[[#This Row],[Saldo_Deudor]]</f>
        <v>200</v>
      </c>
      <c r="AY572">
        <v>14600</v>
      </c>
      <c r="AZ572" t="s">
        <v>1</v>
      </c>
      <c r="BA572" t="s">
        <v>1</v>
      </c>
      <c r="BB572" t="s">
        <v>1</v>
      </c>
      <c r="BC572" t="s">
        <v>3256</v>
      </c>
      <c r="BD572" t="s">
        <v>3250</v>
      </c>
      <c r="BE572" t="s">
        <v>3</v>
      </c>
      <c r="BF572" t="s">
        <v>3</v>
      </c>
      <c r="BG572" t="s">
        <v>3</v>
      </c>
      <c r="BH572" t="s">
        <v>3</v>
      </c>
      <c r="BI572" t="s">
        <v>3</v>
      </c>
      <c r="BJ572" t="s">
        <v>3363</v>
      </c>
      <c r="BK572" t="s">
        <v>3</v>
      </c>
      <c r="BL572" t="s">
        <v>132</v>
      </c>
      <c r="BM572" t="s">
        <v>1</v>
      </c>
      <c r="BN572">
        <f>Tabla1[[#This Row],[precio del paquete]]</f>
        <v>14800</v>
      </c>
      <c r="BO572" t="s">
        <v>1</v>
      </c>
      <c r="BP572" t="s">
        <v>1</v>
      </c>
      <c r="BQ572" t="s">
        <v>1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0</v>
      </c>
      <c r="BX572" t="s">
        <v>1</v>
      </c>
      <c r="BY572" t="s">
        <v>1</v>
      </c>
      <c r="BZ572" t="s">
        <v>1</v>
      </c>
      <c r="CA572" t="s">
        <v>1</v>
      </c>
      <c r="CB572" t="s">
        <v>3382</v>
      </c>
      <c r="CD572" t="str" cm="1">
        <f t="array" aca="1" ref="CD572" ca="1">eConcatenar(A572:CB572,"|")</f>
        <v>p3qlF6A53FtIPop8|CAR2022-0649|3|MEMORIAL|TABASCO|CARDENAS|CARDENAS|2022-02-02|14800|0|100|50|1|0|0|0|0|0|0|0|0|0|0||0|0|0|GOMEZ|MARTINEZ|LILI|SOLTERO|X|X|CARRTERA PRINCIPAL|COLONIA AGRICOLA EL CAPRICHO|X|9371100943|X|X|X|CARRTERA PRINCIPAL|X|LUNES|x|x|x|x|x|DOMICILIO |200|14600|X|X|X|2022-02-21|2022-02-28|x|x|x|x|x|QX002LUS9KVTQO|x|HOMBRE|X|14800|X|X|X|X|X|X|X|X|CARDENAS|X|X|X|X|FINAL</v>
      </c>
    </row>
    <row r="573" spans="1:82" x14ac:dyDescent="0.25">
      <c r="A573" t="s">
        <v>1250</v>
      </c>
      <c r="B573" t="s">
        <v>235</v>
      </c>
      <c r="C573">
        <v>3</v>
      </c>
      <c r="D573" t="s">
        <v>1368</v>
      </c>
      <c r="E573" t="s">
        <v>1380</v>
      </c>
      <c r="F573" t="s">
        <v>0</v>
      </c>
      <c r="G573" t="s">
        <v>0</v>
      </c>
      <c r="H573" t="s">
        <v>1390</v>
      </c>
      <c r="I573">
        <v>24500</v>
      </c>
      <c r="J573">
        <v>0</v>
      </c>
      <c r="K573">
        <v>200</v>
      </c>
      <c r="L573">
        <v>50</v>
      </c>
      <c r="M573">
        <v>1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Y573">
        <v>0</v>
      </c>
      <c r="Z573">
        <v>0</v>
      </c>
      <c r="AA573">
        <v>0</v>
      </c>
      <c r="AB573" t="s">
        <v>8</v>
      </c>
      <c r="AC573" t="s">
        <v>1699</v>
      </c>
      <c r="AD573" t="s">
        <v>1787</v>
      </c>
      <c r="AE573" t="s">
        <v>4</v>
      </c>
      <c r="AF573" t="s">
        <v>1</v>
      </c>
      <c r="AG573" t="s">
        <v>1</v>
      </c>
      <c r="AH573" t="s">
        <v>2493</v>
      </c>
      <c r="AI573" t="s">
        <v>3197</v>
      </c>
      <c r="AJ573" t="s">
        <v>1</v>
      </c>
      <c r="AK573">
        <v>9371270236</v>
      </c>
      <c r="AL573" t="s">
        <v>1</v>
      </c>
      <c r="AM573" t="s">
        <v>1</v>
      </c>
      <c r="AN573" t="s">
        <v>1</v>
      </c>
      <c r="AO573" t="s">
        <v>2493</v>
      </c>
      <c r="AP573" t="s">
        <v>1</v>
      </c>
      <c r="AQ573" t="s">
        <v>2</v>
      </c>
      <c r="AR573" t="s">
        <v>3</v>
      </c>
      <c r="AS573" t="s">
        <v>3</v>
      </c>
      <c r="AT573" t="s">
        <v>3</v>
      </c>
      <c r="AU573" t="s">
        <v>3</v>
      </c>
      <c r="AV573" t="s">
        <v>3</v>
      </c>
      <c r="AW573" t="s">
        <v>11</v>
      </c>
      <c r="AX573">
        <f>Tabla1[[#This Row],[precio del paquete]]-Tabla1[[#This Row],[Saldo_Deudor]]</f>
        <v>400</v>
      </c>
      <c r="AY573">
        <v>24100</v>
      </c>
      <c r="AZ573" t="s">
        <v>1</v>
      </c>
      <c r="BA573" t="s">
        <v>1</v>
      </c>
      <c r="BB573" t="s">
        <v>1</v>
      </c>
      <c r="BC573" t="s">
        <v>3256</v>
      </c>
      <c r="BD573" t="s">
        <v>3250</v>
      </c>
      <c r="BE573" t="s">
        <v>3</v>
      </c>
      <c r="BF573" t="s">
        <v>3</v>
      </c>
      <c r="BG573" t="s">
        <v>3</v>
      </c>
      <c r="BH573" t="s">
        <v>3</v>
      </c>
      <c r="BI573" t="s">
        <v>3</v>
      </c>
      <c r="BJ573" t="s">
        <v>3363</v>
      </c>
      <c r="BK573" t="s">
        <v>3</v>
      </c>
      <c r="BL573" t="s">
        <v>132</v>
      </c>
      <c r="BM573" t="s">
        <v>1</v>
      </c>
      <c r="BN573">
        <f>Tabla1[[#This Row],[precio del paquete]]</f>
        <v>24500</v>
      </c>
      <c r="BO573" t="s">
        <v>1</v>
      </c>
      <c r="BP573" t="s">
        <v>1</v>
      </c>
      <c r="BQ573" t="s">
        <v>1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0</v>
      </c>
      <c r="BX573" t="s">
        <v>1</v>
      </c>
      <c r="BY573" t="s">
        <v>1</v>
      </c>
      <c r="BZ573" t="s">
        <v>1</v>
      </c>
      <c r="CA573" t="s">
        <v>1</v>
      </c>
      <c r="CB573" t="s">
        <v>3382</v>
      </c>
      <c r="CD573" t="str" cm="1">
        <f t="array" aca="1" ref="CD573" ca="1">eConcatenar(A573:CB573,"|")</f>
        <v>lgcG0kexYQyomwG5|CAR2022-0651|3|DIGNITY|TABASCO|CARDENAS|CARDENAS|2022-02-02|24500|0|200|50|1|0|0|0|0|0|0|0|0|0|0||0|0|0|GOMEZ|CORDOVA|MELQUIADES|SOLTERO|X|X|CARRETERA PRINCIPAL CASA NUMERO 24|COLONIA AGRICOLA EL CAPRICHO|X|9371270236|X|X|X|CARRETERA PRINCIPAL CASA NUMERO 24|X|LUNES|x|x|x|x|x|DOMICILIO |400|24100|X|X|X|2022-02-21|2022-02-28|x|x|x|x|x|QX002LUS9KVTQO|x|HOMBRE|X|24500|X|X|X|X|X|X|X|X|CARDENAS|X|X|X|X|FINAL</v>
      </c>
    </row>
    <row r="574" spans="1:82" x14ac:dyDescent="0.25">
      <c r="A574" t="s">
        <v>1251</v>
      </c>
      <c r="B574" t="s">
        <v>1252</v>
      </c>
      <c r="C574">
        <v>3</v>
      </c>
      <c r="D574" t="s">
        <v>1369</v>
      </c>
      <c r="E574" t="s">
        <v>1380</v>
      </c>
      <c r="F574" t="s">
        <v>0</v>
      </c>
      <c r="G574" t="s">
        <v>0</v>
      </c>
      <c r="H574" t="s">
        <v>1671</v>
      </c>
      <c r="I574">
        <v>14800</v>
      </c>
      <c r="J574">
        <v>0</v>
      </c>
      <c r="K574">
        <v>100</v>
      </c>
      <c r="L574">
        <v>50</v>
      </c>
      <c r="M574">
        <v>2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Y574">
        <v>0</v>
      </c>
      <c r="Z574">
        <v>0</v>
      </c>
      <c r="AA574">
        <v>0</v>
      </c>
      <c r="AB574" t="s">
        <v>2064</v>
      </c>
      <c r="AC574" t="s">
        <v>2064</v>
      </c>
      <c r="AD574" t="s">
        <v>1848</v>
      </c>
      <c r="AE574" t="s">
        <v>4</v>
      </c>
      <c r="AF574" t="s">
        <v>1</v>
      </c>
      <c r="AG574" t="s">
        <v>1</v>
      </c>
      <c r="AH574" t="s">
        <v>2930</v>
      </c>
      <c r="AI574" t="s">
        <v>3197</v>
      </c>
      <c r="AJ574" t="s">
        <v>1</v>
      </c>
      <c r="AK574">
        <v>9371699076</v>
      </c>
      <c r="AL574" t="s">
        <v>1</v>
      </c>
      <c r="AM574" t="s">
        <v>1</v>
      </c>
      <c r="AN574" t="s">
        <v>1</v>
      </c>
      <c r="AO574" t="s">
        <v>2930</v>
      </c>
      <c r="AP574" t="s">
        <v>1</v>
      </c>
      <c r="AQ574" t="s">
        <v>2</v>
      </c>
      <c r="AR574" t="s">
        <v>3</v>
      </c>
      <c r="AS574" t="s">
        <v>3</v>
      </c>
      <c r="AT574" t="s">
        <v>3</v>
      </c>
      <c r="AU574" t="s">
        <v>3</v>
      </c>
      <c r="AV574" t="s">
        <v>3</v>
      </c>
      <c r="AW574" t="s">
        <v>11</v>
      </c>
      <c r="AX574">
        <f>Tabla1[[#This Row],[precio del paquete]]-Tabla1[[#This Row],[Saldo_Deudor]]</f>
        <v>1000</v>
      </c>
      <c r="AY574">
        <v>13800</v>
      </c>
      <c r="AZ574" t="s">
        <v>1</v>
      </c>
      <c r="BA574" t="s">
        <v>1</v>
      </c>
      <c r="BB574" t="s">
        <v>1</v>
      </c>
      <c r="BC574" t="s">
        <v>3256</v>
      </c>
      <c r="BD574" t="s">
        <v>3250</v>
      </c>
      <c r="BE574" t="s">
        <v>3</v>
      </c>
      <c r="BF574" t="s">
        <v>3</v>
      </c>
      <c r="BG574" t="s">
        <v>3</v>
      </c>
      <c r="BH574" t="s">
        <v>3</v>
      </c>
      <c r="BI574" t="s">
        <v>3</v>
      </c>
      <c r="BJ574" t="s">
        <v>3363</v>
      </c>
      <c r="BK574" t="s">
        <v>3</v>
      </c>
      <c r="BL574" t="s">
        <v>132</v>
      </c>
      <c r="BM574" t="s">
        <v>1</v>
      </c>
      <c r="BN574">
        <f>Tabla1[[#This Row],[precio del paquete]]</f>
        <v>14800</v>
      </c>
      <c r="BO574" t="s">
        <v>1</v>
      </c>
      <c r="BP574" t="s">
        <v>1</v>
      </c>
      <c r="BQ574" t="s">
        <v>1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0</v>
      </c>
      <c r="BX574" t="s">
        <v>1</v>
      </c>
      <c r="BY574" t="s">
        <v>1</v>
      </c>
      <c r="BZ574" t="s">
        <v>1</v>
      </c>
      <c r="CA574" t="s">
        <v>1</v>
      </c>
      <c r="CB574" t="s">
        <v>3382</v>
      </c>
      <c r="CD574" t="str" cm="1">
        <f t="array" aca="1" ref="CD574" ca="1">eConcatenar(A574:CB574,"|")</f>
        <v>1vkyi8eX5JjDKHdp|CAR2021-6266|3|MEMORIAL|TABASCO|CARDENAS|CARDENAS|2021-10-02|14800|0|100|50|2|0|0|0|0|0|0|0|0|0|0||0|0|0|MONTIEL|MONTIEL|MARIBEL|SOLTERO|X|X|CARRETERA LAS FLORES SIN NUMERO|COLONIA AGRICOLA EL CAPRICHO|X|9371699076|X|X|X|CARRETERA LAS FLORES SIN NUMERO|X|LUNES|x|x|x|x|x|DOMICILIO |1000|13800|X|X|X|2022-02-21|2022-02-28|x|x|x|x|x|QX002LUS9KVTQO|x|HOMBRE|X|14800|X|X|X|X|X|X|X|X|CARDENAS|X|X|X|X|FINAL</v>
      </c>
    </row>
    <row r="575" spans="1:82" x14ac:dyDescent="0.25">
      <c r="A575" t="s">
        <v>1253</v>
      </c>
      <c r="B575" t="s">
        <v>363</v>
      </c>
      <c r="C575">
        <v>3</v>
      </c>
      <c r="D575" t="s">
        <v>1369</v>
      </c>
      <c r="E575" t="s">
        <v>1380</v>
      </c>
      <c r="F575" t="s">
        <v>0</v>
      </c>
      <c r="G575" t="s">
        <v>0</v>
      </c>
      <c r="H575" t="s">
        <v>1394</v>
      </c>
      <c r="I575">
        <v>14800</v>
      </c>
      <c r="J575">
        <v>0</v>
      </c>
      <c r="K575">
        <v>500</v>
      </c>
      <c r="L575">
        <v>50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Y575">
        <v>0</v>
      </c>
      <c r="Z575">
        <v>0</v>
      </c>
      <c r="AA575">
        <v>0</v>
      </c>
      <c r="AB575" t="s">
        <v>1711</v>
      </c>
      <c r="AC575" t="s">
        <v>1887</v>
      </c>
      <c r="AD575" t="s">
        <v>1746</v>
      </c>
      <c r="AE575" t="s">
        <v>4</v>
      </c>
      <c r="AF575" t="s">
        <v>1</v>
      </c>
      <c r="AG575" t="s">
        <v>1</v>
      </c>
      <c r="AH575" t="s">
        <v>2931</v>
      </c>
      <c r="AI575" t="s">
        <v>3227</v>
      </c>
      <c r="AJ575" t="s">
        <v>1</v>
      </c>
      <c r="AK575">
        <v>9373778945</v>
      </c>
      <c r="AL575" t="s">
        <v>1</v>
      </c>
      <c r="AM575" t="s">
        <v>1</v>
      </c>
      <c r="AN575" t="s">
        <v>1</v>
      </c>
      <c r="AO575" t="s">
        <v>2931</v>
      </c>
      <c r="AP575" t="s">
        <v>1</v>
      </c>
      <c r="AQ575" t="s">
        <v>2</v>
      </c>
      <c r="AR575" t="s">
        <v>3</v>
      </c>
      <c r="AS575" t="s">
        <v>3</v>
      </c>
      <c r="AT575" t="s">
        <v>3</v>
      </c>
      <c r="AU575" t="s">
        <v>3</v>
      </c>
      <c r="AV575" t="s">
        <v>3</v>
      </c>
      <c r="AW575" t="s">
        <v>11</v>
      </c>
      <c r="AX575">
        <f>Tabla1[[#This Row],[precio del paquete]]-Tabla1[[#This Row],[Saldo_Deudor]]</f>
        <v>800</v>
      </c>
      <c r="AY575">
        <v>14000</v>
      </c>
      <c r="AZ575" t="s">
        <v>1</v>
      </c>
      <c r="BA575" t="s">
        <v>1</v>
      </c>
      <c r="BB575" t="s">
        <v>1</v>
      </c>
      <c r="BC575" t="s">
        <v>3256</v>
      </c>
      <c r="BD575" t="s">
        <v>3250</v>
      </c>
      <c r="BE575" t="s">
        <v>3</v>
      </c>
      <c r="BF575" t="s">
        <v>3</v>
      </c>
      <c r="BG575" t="s">
        <v>3</v>
      </c>
      <c r="BH575" t="s">
        <v>3</v>
      </c>
      <c r="BI575" t="s">
        <v>3</v>
      </c>
      <c r="BJ575" t="s">
        <v>3363</v>
      </c>
      <c r="BK575" t="s">
        <v>3</v>
      </c>
      <c r="BL575" t="s">
        <v>132</v>
      </c>
      <c r="BM575" t="s">
        <v>1</v>
      </c>
      <c r="BN575">
        <f>Tabla1[[#This Row],[precio del paquete]]</f>
        <v>14800</v>
      </c>
      <c r="BO575" t="s">
        <v>1</v>
      </c>
      <c r="BP575" t="s">
        <v>1</v>
      </c>
      <c r="BQ575" t="s">
        <v>1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0</v>
      </c>
      <c r="BX575" t="s">
        <v>1</v>
      </c>
      <c r="BY575" t="s">
        <v>1</v>
      </c>
      <c r="BZ575" t="s">
        <v>1</v>
      </c>
      <c r="CA575" t="s">
        <v>1</v>
      </c>
      <c r="CB575" t="s">
        <v>3382</v>
      </c>
      <c r="CD575" t="str" cm="1">
        <f t="array" aca="1" ref="CD575" ca="1">eConcatenar(A575:CB575,"|")</f>
        <v>fnz4Acywlao8K6Om|CAR2022-0666|3|MEMORIAL|TABASCO|CARDENAS|CARDENAS|2022-02-03|14800|0|500|50|0|0|0|0|0|0|0|0|0|0|0||0|0|0|HERNANDEZ|GALLEGOS|SEBASTIAN|SOLTERO|X|X|CONGREGACION ZARAGOSA|POBLADO IGNACIO ZARAGOZA|X|9373778945|X|X|X|CONGREGACION ZARAGOSA|X|LUNES|x|x|x|x|x|DOMICILIO |800|14000|X|X|X|2022-02-21|2022-02-28|x|x|x|x|x|QX002LUS9KVTQO|x|HOMBRE|X|14800|X|X|X|X|X|X|X|X|CARDENAS|X|X|X|X|FINAL</v>
      </c>
    </row>
    <row r="576" spans="1:82" x14ac:dyDescent="0.25">
      <c r="A576" t="s">
        <v>1254</v>
      </c>
      <c r="B576" t="s">
        <v>1255</v>
      </c>
      <c r="C576">
        <v>3</v>
      </c>
      <c r="D576" t="s">
        <v>1372</v>
      </c>
      <c r="E576" t="s">
        <v>1380</v>
      </c>
      <c r="F576" t="s">
        <v>0</v>
      </c>
      <c r="G576" t="s">
        <v>0</v>
      </c>
      <c r="H576" t="s">
        <v>1672</v>
      </c>
      <c r="I576">
        <v>12900</v>
      </c>
      <c r="J576">
        <v>0</v>
      </c>
      <c r="K576">
        <v>100</v>
      </c>
      <c r="L576">
        <v>50</v>
      </c>
      <c r="M576">
        <v>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Y576">
        <v>0</v>
      </c>
      <c r="Z576">
        <v>0</v>
      </c>
      <c r="AA576">
        <v>0</v>
      </c>
      <c r="AB576" t="s">
        <v>2394</v>
      </c>
      <c r="AC576" t="s">
        <v>1786</v>
      </c>
      <c r="AD576" t="s">
        <v>2126</v>
      </c>
      <c r="AE576" t="s">
        <v>4</v>
      </c>
      <c r="AF576" t="s">
        <v>1</v>
      </c>
      <c r="AG576" t="s">
        <v>1</v>
      </c>
      <c r="AH576" t="s">
        <v>2922</v>
      </c>
      <c r="AI576" t="s">
        <v>3200</v>
      </c>
      <c r="AJ576" t="s">
        <v>1</v>
      </c>
      <c r="AK576">
        <v>9372271263</v>
      </c>
      <c r="AL576" t="s">
        <v>1</v>
      </c>
      <c r="AM576" t="s">
        <v>1</v>
      </c>
      <c r="AN576" t="s">
        <v>1</v>
      </c>
      <c r="AO576" t="s">
        <v>2922</v>
      </c>
      <c r="AP576" t="s">
        <v>1</v>
      </c>
      <c r="AQ576" t="s">
        <v>2</v>
      </c>
      <c r="AR576" t="s">
        <v>3</v>
      </c>
      <c r="AS576" t="s">
        <v>3</v>
      </c>
      <c r="AT576" t="s">
        <v>3</v>
      </c>
      <c r="AU576" t="s">
        <v>3</v>
      </c>
      <c r="AV576" t="s">
        <v>3</v>
      </c>
      <c r="AW576" t="s">
        <v>11</v>
      </c>
      <c r="AX576">
        <f>Tabla1[[#This Row],[precio del paquete]]-Tabla1[[#This Row],[Saldo_Deudor]]</f>
        <v>10350</v>
      </c>
      <c r="AY576">
        <v>2550</v>
      </c>
      <c r="AZ576" t="s">
        <v>1</v>
      </c>
      <c r="BA576" t="s">
        <v>1</v>
      </c>
      <c r="BB576" t="s">
        <v>1</v>
      </c>
      <c r="BC576" t="s">
        <v>3256</v>
      </c>
      <c r="BD576" t="s">
        <v>3250</v>
      </c>
      <c r="BE576" t="s">
        <v>3</v>
      </c>
      <c r="BF576" t="s">
        <v>3</v>
      </c>
      <c r="BG576" t="s">
        <v>3</v>
      </c>
      <c r="BH576" t="s">
        <v>3</v>
      </c>
      <c r="BI576" t="s">
        <v>3</v>
      </c>
      <c r="BJ576" t="s">
        <v>3363</v>
      </c>
      <c r="BK576" t="s">
        <v>3</v>
      </c>
      <c r="BL576" t="s">
        <v>132</v>
      </c>
      <c r="BM576" t="s">
        <v>1</v>
      </c>
      <c r="BN576">
        <f>Tabla1[[#This Row],[precio del paquete]]</f>
        <v>12900</v>
      </c>
      <c r="BO576" t="s">
        <v>1</v>
      </c>
      <c r="BP576" t="s">
        <v>1</v>
      </c>
      <c r="BQ576" t="s">
        <v>1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0</v>
      </c>
      <c r="BX576" t="s">
        <v>1</v>
      </c>
      <c r="BY576" t="s">
        <v>1</v>
      </c>
      <c r="BZ576" t="s">
        <v>1</v>
      </c>
      <c r="CA576" t="s">
        <v>1</v>
      </c>
      <c r="CB576" t="s">
        <v>3382</v>
      </c>
      <c r="CD576" t="str" cm="1">
        <f t="array" aca="1" ref="CD576" ca="1">eConcatenar(A576:CB576,"|")</f>
        <v>kWWBsPcBbiwUH6bP|CAR2020-0840|3|IMPERIAL DE LUJO|TABASCO|CARDENAS|CARDENAS|2020-03-11|12900|0|100|50|1|0|0|0|0|0|0|0|0|0|0||0|0|0|GIL|MARTINEZ|DORA MARIA|SOLTERO|X|X|CALLE NUMERO 6|POBLADO C-23 VENUSTIANO CARRANZA|X|9372271263|X|X|X|CALLE NUMERO 6|X|LUNES|x|x|x|x|x|DOMICILIO |10350|2550|X|X|X|2022-02-21|2022-02-28|x|x|x|x|x|QX002LUS9KVTQO|x|HOMBRE|X|12900|X|X|X|X|X|X|X|X|CARDENAS|X|X|X|X|FINAL</v>
      </c>
    </row>
    <row r="577" spans="1:82" x14ac:dyDescent="0.25">
      <c r="A577" t="s">
        <v>1256</v>
      </c>
      <c r="B577" t="s">
        <v>1257</v>
      </c>
      <c r="C577">
        <v>3</v>
      </c>
      <c r="D577" t="s">
        <v>1371</v>
      </c>
      <c r="E577" t="s">
        <v>1380</v>
      </c>
      <c r="F577" t="s">
        <v>0</v>
      </c>
      <c r="G577" t="s">
        <v>0</v>
      </c>
      <c r="H577" t="s">
        <v>1673</v>
      </c>
      <c r="I577">
        <v>11500</v>
      </c>
      <c r="J577">
        <v>0</v>
      </c>
      <c r="K577">
        <v>100</v>
      </c>
      <c r="L577">
        <v>50</v>
      </c>
      <c r="M577">
        <v>1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Y577">
        <v>0</v>
      </c>
      <c r="Z577">
        <v>0</v>
      </c>
      <c r="AA577">
        <v>0</v>
      </c>
      <c r="AB577" t="s">
        <v>1713</v>
      </c>
      <c r="AC577" t="s">
        <v>1849</v>
      </c>
      <c r="AD577" t="s">
        <v>1824</v>
      </c>
      <c r="AE577" t="s">
        <v>4</v>
      </c>
      <c r="AF577" t="s">
        <v>1</v>
      </c>
      <c r="AG577" t="s">
        <v>1</v>
      </c>
      <c r="AH577" t="s">
        <v>2932</v>
      </c>
      <c r="AI577" t="s">
        <v>3202</v>
      </c>
      <c r="AJ577" t="s">
        <v>1</v>
      </c>
      <c r="AK577">
        <v>9371701287</v>
      </c>
      <c r="AL577" t="s">
        <v>1</v>
      </c>
      <c r="AM577" t="s">
        <v>1</v>
      </c>
      <c r="AN577" t="s">
        <v>1</v>
      </c>
      <c r="AO577" t="s">
        <v>2932</v>
      </c>
      <c r="AP577" t="s">
        <v>1</v>
      </c>
      <c r="AQ577" t="s">
        <v>2</v>
      </c>
      <c r="AR577" t="s">
        <v>3</v>
      </c>
      <c r="AS577" t="s">
        <v>3</v>
      </c>
      <c r="AT577" t="s">
        <v>3</v>
      </c>
      <c r="AU577" t="s">
        <v>3</v>
      </c>
      <c r="AV577" t="s">
        <v>3</v>
      </c>
      <c r="AW577" t="s">
        <v>11</v>
      </c>
      <c r="AX577">
        <f>Tabla1[[#This Row],[precio del paquete]]-Tabla1[[#This Row],[Saldo_Deudor]]</f>
        <v>10800</v>
      </c>
      <c r="AY577">
        <v>700</v>
      </c>
      <c r="AZ577" t="s">
        <v>1</v>
      </c>
      <c r="BA577" t="s">
        <v>1</v>
      </c>
      <c r="BB577" t="s">
        <v>1</v>
      </c>
      <c r="BC577" t="s">
        <v>3256</v>
      </c>
      <c r="BD577" t="s">
        <v>3250</v>
      </c>
      <c r="BE577" t="s">
        <v>3</v>
      </c>
      <c r="BF577" t="s">
        <v>3</v>
      </c>
      <c r="BG577" t="s">
        <v>3</v>
      </c>
      <c r="BH577" t="s">
        <v>3</v>
      </c>
      <c r="BI577" t="s">
        <v>3</v>
      </c>
      <c r="BJ577" t="s">
        <v>3363</v>
      </c>
      <c r="BK577" t="s">
        <v>3</v>
      </c>
      <c r="BL577" t="s">
        <v>132</v>
      </c>
      <c r="BM577" t="s">
        <v>1</v>
      </c>
      <c r="BN577">
        <f>Tabla1[[#This Row],[precio del paquete]]</f>
        <v>11500</v>
      </c>
      <c r="BO577" t="s">
        <v>1</v>
      </c>
      <c r="BP577" t="s">
        <v>1</v>
      </c>
      <c r="BQ577" t="s">
        <v>1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0</v>
      </c>
      <c r="BX577" t="s">
        <v>1</v>
      </c>
      <c r="BY577" t="s">
        <v>1</v>
      </c>
      <c r="BZ577" t="s">
        <v>1</v>
      </c>
      <c r="CA577" t="s">
        <v>1</v>
      </c>
      <c r="CB577" t="s">
        <v>3382</v>
      </c>
      <c r="CD577" t="str" cm="1">
        <f t="array" aca="1" ref="CD577" ca="1">eConcatenar(A577:CB577,"|")</f>
        <v>AS8enJtr7vQy4GtM|CAR2017-3942|3|ECONOLINE|TABASCO|CARDENAS|CARDENAS|2017-09-07|11500|0|100|50|1|0|0|0|0|0|0|0|0|0|0||0|0|0|DE LA CRUZ|MAYO|HERMELINDA|SOLTERO|X|X|CALLE 4|POBLADO C-14 PLUTARCO ELIAS CALLES|X|9371701287|X|X|X|CALLE 4|X|LUNES|x|x|x|x|x|DOMICILIO |10800|700|X|X|X|2022-02-21|2022-02-28|x|x|x|x|x|QX002LUS9KVTQO|x|HOMBRE|X|11500|X|X|X|X|X|X|X|X|CARDENAS|X|X|X|X|FINAL</v>
      </c>
    </row>
    <row r="578" spans="1:82" x14ac:dyDescent="0.25">
      <c r="A578" t="s">
        <v>1258</v>
      </c>
      <c r="B578" t="s">
        <v>1259</v>
      </c>
      <c r="C578">
        <v>3</v>
      </c>
      <c r="D578" t="s">
        <v>1369</v>
      </c>
      <c r="E578" t="s">
        <v>1380</v>
      </c>
      <c r="F578" t="s">
        <v>0</v>
      </c>
      <c r="G578" t="s">
        <v>0</v>
      </c>
      <c r="H578" t="s">
        <v>1674</v>
      </c>
      <c r="I578">
        <v>14800</v>
      </c>
      <c r="J578">
        <v>0</v>
      </c>
      <c r="K578">
        <v>100</v>
      </c>
      <c r="L578">
        <v>50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Y578">
        <v>0</v>
      </c>
      <c r="Z578">
        <v>0</v>
      </c>
      <c r="AA578">
        <v>0</v>
      </c>
      <c r="AB578" t="s">
        <v>1849</v>
      </c>
      <c r="AC578" t="s">
        <v>1699</v>
      </c>
      <c r="AD578" t="s">
        <v>2395</v>
      </c>
      <c r="AE578" t="s">
        <v>4</v>
      </c>
      <c r="AF578" t="s">
        <v>1</v>
      </c>
      <c r="AG578" t="s">
        <v>1</v>
      </c>
      <c r="AH578" t="s">
        <v>2933</v>
      </c>
      <c r="AI578" t="s">
        <v>3198</v>
      </c>
      <c r="AJ578" t="s">
        <v>1</v>
      </c>
      <c r="AK578">
        <v>937278537</v>
      </c>
      <c r="AL578" t="s">
        <v>1</v>
      </c>
      <c r="AM578" t="s">
        <v>1</v>
      </c>
      <c r="AN578" t="s">
        <v>1</v>
      </c>
      <c r="AO578" t="s">
        <v>2933</v>
      </c>
      <c r="AP578" t="s">
        <v>1</v>
      </c>
      <c r="AQ578" t="s">
        <v>2</v>
      </c>
      <c r="AR578" t="s">
        <v>3</v>
      </c>
      <c r="AS578" t="s">
        <v>3</v>
      </c>
      <c r="AT578" t="s">
        <v>3</v>
      </c>
      <c r="AU578" t="s">
        <v>3</v>
      </c>
      <c r="AV578" t="s">
        <v>3</v>
      </c>
      <c r="AW578" t="s">
        <v>11</v>
      </c>
      <c r="AX578">
        <f>Tabla1[[#This Row],[precio del paquete]]-Tabla1[[#This Row],[Saldo_Deudor]]</f>
        <v>2300</v>
      </c>
      <c r="AY578">
        <v>12500</v>
      </c>
      <c r="AZ578" t="s">
        <v>1</v>
      </c>
      <c r="BA578" t="s">
        <v>1</v>
      </c>
      <c r="BB578" t="s">
        <v>1</v>
      </c>
      <c r="BC578" t="s">
        <v>3256</v>
      </c>
      <c r="BD578" t="s">
        <v>3250</v>
      </c>
      <c r="BE578" t="s">
        <v>3</v>
      </c>
      <c r="BF578" t="s">
        <v>3</v>
      </c>
      <c r="BG578" t="s">
        <v>3</v>
      </c>
      <c r="BH578" t="s">
        <v>3</v>
      </c>
      <c r="BI578" t="s">
        <v>3</v>
      </c>
      <c r="BJ578" t="s">
        <v>3363</v>
      </c>
      <c r="BK578" t="s">
        <v>3</v>
      </c>
      <c r="BL578" t="s">
        <v>132</v>
      </c>
      <c r="BM578" t="s">
        <v>1</v>
      </c>
      <c r="BN578">
        <f>Tabla1[[#This Row],[precio del paquete]]</f>
        <v>14800</v>
      </c>
      <c r="BO578" t="s">
        <v>1</v>
      </c>
      <c r="BP578" t="s">
        <v>1</v>
      </c>
      <c r="BQ578" t="s">
        <v>1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0</v>
      </c>
      <c r="BX578" t="s">
        <v>1</v>
      </c>
      <c r="BY578" t="s">
        <v>1</v>
      </c>
      <c r="BZ578" t="s">
        <v>1</v>
      </c>
      <c r="CA578" t="s">
        <v>1</v>
      </c>
      <c r="CB578" t="s">
        <v>3382</v>
      </c>
      <c r="CD578" t="str" cm="1">
        <f t="array" aca="1" ref="CD578" ca="1">eConcatenar(A578:CB578,"|")</f>
        <v>SeBTloFTcXgneAjz|CAR2021-5416|3|MEMORIAL|TABASCO|CARDENAS|CARDENAS|2021-09-15|14800|0|100|50|0|0|0|0|0|0|0|0|0|0|0||0|0|0|MAYO|CORDOVA|FIDEL|SOLTERO|X|X|CALLE 6 ZONA VERDE CASA NUMERO 311|POBLADO C-15 ADOLFO LOPEZ MATEO|X|937278537|X|X|X|CALLE 6 ZONA VERDE CASA NUMERO 311|X|LUNES|x|x|x|x|x|DOMICILIO |2300|12500|X|X|X|2022-02-21|2022-02-28|x|x|x|x|x|QX002LUS9KVTQO|x|HOMBRE|X|14800|X|X|X|X|X|X|X|X|CARDENAS|X|X|X|X|FINAL</v>
      </c>
    </row>
    <row r="579" spans="1:82" x14ac:dyDescent="0.25">
      <c r="A579" t="s">
        <v>1260</v>
      </c>
      <c r="B579" t="s">
        <v>1261</v>
      </c>
      <c r="C579">
        <v>3</v>
      </c>
      <c r="D579" t="s">
        <v>1369</v>
      </c>
      <c r="E579" t="s">
        <v>1380</v>
      </c>
      <c r="F579" t="s">
        <v>0</v>
      </c>
      <c r="G579" t="s">
        <v>0</v>
      </c>
      <c r="H579" t="s">
        <v>1675</v>
      </c>
      <c r="I579">
        <v>14800</v>
      </c>
      <c r="J579">
        <v>0</v>
      </c>
      <c r="K579">
        <v>100</v>
      </c>
      <c r="L579">
        <v>50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Y579">
        <v>0</v>
      </c>
      <c r="Z579">
        <v>0</v>
      </c>
      <c r="AA579">
        <v>0</v>
      </c>
      <c r="AB579" t="s">
        <v>1783</v>
      </c>
      <c r="AC579" t="s">
        <v>8</v>
      </c>
      <c r="AD579" t="s">
        <v>2299</v>
      </c>
      <c r="AE579" t="s">
        <v>4</v>
      </c>
      <c r="AF579" t="s">
        <v>1</v>
      </c>
      <c r="AG579" t="s">
        <v>1</v>
      </c>
      <c r="AH579" t="s">
        <v>2934</v>
      </c>
      <c r="AI579" t="s">
        <v>3155</v>
      </c>
      <c r="AJ579" t="s">
        <v>1</v>
      </c>
      <c r="AK579">
        <v>9371427914</v>
      </c>
      <c r="AL579" t="s">
        <v>1</v>
      </c>
      <c r="AM579" t="s">
        <v>1</v>
      </c>
      <c r="AN579" t="s">
        <v>1</v>
      </c>
      <c r="AO579" t="s">
        <v>2934</v>
      </c>
      <c r="AP579" t="s">
        <v>1</v>
      </c>
      <c r="AQ579" t="s">
        <v>2</v>
      </c>
      <c r="AR579" t="s">
        <v>3</v>
      </c>
      <c r="AS579" t="s">
        <v>3</v>
      </c>
      <c r="AT579" t="s">
        <v>3</v>
      </c>
      <c r="AU579" t="s">
        <v>3</v>
      </c>
      <c r="AV579" t="s">
        <v>3</v>
      </c>
      <c r="AW579" t="s">
        <v>11</v>
      </c>
      <c r="AX579">
        <f>Tabla1[[#This Row],[precio del paquete]]-Tabla1[[#This Row],[Saldo_Deudor]]</f>
        <v>1900</v>
      </c>
      <c r="AY579">
        <v>12900</v>
      </c>
      <c r="AZ579" t="s">
        <v>1</v>
      </c>
      <c r="BA579" t="s">
        <v>1</v>
      </c>
      <c r="BB579" t="s">
        <v>1</v>
      </c>
      <c r="BC579" t="s">
        <v>3256</v>
      </c>
      <c r="BD579" t="s">
        <v>3250</v>
      </c>
      <c r="BE579" t="s">
        <v>3</v>
      </c>
      <c r="BF579" t="s">
        <v>3</v>
      </c>
      <c r="BG579" t="s">
        <v>3</v>
      </c>
      <c r="BH579" t="s">
        <v>3</v>
      </c>
      <c r="BI579" t="s">
        <v>3</v>
      </c>
      <c r="BJ579" t="s">
        <v>3363</v>
      </c>
      <c r="BK579" t="s">
        <v>3</v>
      </c>
      <c r="BL579" t="s">
        <v>132</v>
      </c>
      <c r="BM579" t="s">
        <v>1</v>
      </c>
      <c r="BN579">
        <f>Tabla1[[#This Row],[precio del paquete]]</f>
        <v>14800</v>
      </c>
      <c r="BO579" t="s">
        <v>1</v>
      </c>
      <c r="BP579" t="s">
        <v>1</v>
      </c>
      <c r="BQ579" t="s">
        <v>1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0</v>
      </c>
      <c r="BX579" t="s">
        <v>1</v>
      </c>
      <c r="BY579" t="s">
        <v>1</v>
      </c>
      <c r="BZ579" t="s">
        <v>1</v>
      </c>
      <c r="CA579" t="s">
        <v>1</v>
      </c>
      <c r="CB579" t="s">
        <v>3382</v>
      </c>
      <c r="CD579" t="str" cm="1">
        <f t="array" aca="1" ref="CD579" ca="1">eConcatenar(A579:CB579,"|")</f>
        <v>T3Cr9NnMq5Dui2ez|CAR2021-5495|3|MEMORIAL|TABASCO|CARDENAS|CARDENAS|2021-09-22|14800|0|100|50|0|0|0|0|0|0|0|0|0|0|0||0|0|0|MENDEZ|GOMEZ|LETICIA|SOLTERO|X|X|CALLE 3 ZONA VERDE|POBLADO C-27 GREGORIO MENDEZ|X|9371427914|X|X|X|CALLE 3 ZONA VERDE|X|LUNES|x|x|x|x|x|DOMICILIO |1900|12900|X|X|X|2022-02-21|2022-02-28|x|x|x|x|x|QX002LUS9KVTQO|x|HOMBRE|X|14800|X|X|X|X|X|X|X|X|CARDENAS|X|X|X|X|FINAL</v>
      </c>
    </row>
    <row r="580" spans="1:82" x14ac:dyDescent="0.25">
      <c r="A580" t="s">
        <v>1262</v>
      </c>
      <c r="B580" t="s">
        <v>1263</v>
      </c>
      <c r="C580">
        <v>3</v>
      </c>
      <c r="D580" t="s">
        <v>1369</v>
      </c>
      <c r="E580" t="s">
        <v>1380</v>
      </c>
      <c r="F580" t="s">
        <v>0</v>
      </c>
      <c r="G580" t="s">
        <v>0</v>
      </c>
      <c r="H580" t="s">
        <v>1503</v>
      </c>
      <c r="I580">
        <v>14800</v>
      </c>
      <c r="J580">
        <v>0</v>
      </c>
      <c r="K580">
        <v>50</v>
      </c>
      <c r="L580">
        <v>50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Y580">
        <v>0</v>
      </c>
      <c r="Z580">
        <v>0</v>
      </c>
      <c r="AA580">
        <v>0</v>
      </c>
      <c r="AB580" t="s">
        <v>1731</v>
      </c>
      <c r="AC580" t="s">
        <v>1919</v>
      </c>
      <c r="AD580" t="s">
        <v>2396</v>
      </c>
      <c r="AE580" t="s">
        <v>4</v>
      </c>
      <c r="AF580" t="s">
        <v>1</v>
      </c>
      <c r="AG580" t="s">
        <v>1</v>
      </c>
      <c r="AH580" t="s">
        <v>2935</v>
      </c>
      <c r="AI580" t="s">
        <v>2936</v>
      </c>
      <c r="AJ580" t="s">
        <v>1</v>
      </c>
      <c r="AK580">
        <v>9371711596</v>
      </c>
      <c r="AL580" t="s">
        <v>1</v>
      </c>
      <c r="AM580" t="s">
        <v>1</v>
      </c>
      <c r="AN580" t="s">
        <v>1</v>
      </c>
      <c r="AO580" t="s">
        <v>2935</v>
      </c>
      <c r="AP580" t="s">
        <v>1</v>
      </c>
      <c r="AQ580" t="s">
        <v>2</v>
      </c>
      <c r="AR580" t="s">
        <v>3</v>
      </c>
      <c r="AS580" t="s">
        <v>3</v>
      </c>
      <c r="AT580" t="s">
        <v>3</v>
      </c>
      <c r="AU580" t="s">
        <v>3</v>
      </c>
      <c r="AV580" t="s">
        <v>3</v>
      </c>
      <c r="AW580" t="s">
        <v>11</v>
      </c>
      <c r="AX580">
        <f>Tabla1[[#This Row],[precio del paquete]]-Tabla1[[#This Row],[Saldo_Deudor]]</f>
        <v>450</v>
      </c>
      <c r="AY580">
        <v>14350</v>
      </c>
      <c r="AZ580" t="s">
        <v>1</v>
      </c>
      <c r="BA580" t="s">
        <v>1</v>
      </c>
      <c r="BB580" t="s">
        <v>1</v>
      </c>
      <c r="BC580" t="s">
        <v>3256</v>
      </c>
      <c r="BD580" t="s">
        <v>3250</v>
      </c>
      <c r="BE580" t="s">
        <v>3</v>
      </c>
      <c r="BF580" t="s">
        <v>3</v>
      </c>
      <c r="BG580" t="s">
        <v>3</v>
      </c>
      <c r="BH580" t="s">
        <v>3</v>
      </c>
      <c r="BI580" t="s">
        <v>3</v>
      </c>
      <c r="BJ580" t="s">
        <v>3363</v>
      </c>
      <c r="BK580" t="s">
        <v>3</v>
      </c>
      <c r="BL580" t="s">
        <v>132</v>
      </c>
      <c r="BM580" t="s">
        <v>1</v>
      </c>
      <c r="BN580">
        <f>Tabla1[[#This Row],[precio del paquete]]</f>
        <v>14800</v>
      </c>
      <c r="BO580" t="s">
        <v>1</v>
      </c>
      <c r="BP580" t="s">
        <v>1</v>
      </c>
      <c r="BQ580" t="s">
        <v>1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0</v>
      </c>
      <c r="BX580" t="s">
        <v>1</v>
      </c>
      <c r="BY580" t="s">
        <v>1</v>
      </c>
      <c r="BZ580" t="s">
        <v>1</v>
      </c>
      <c r="CA580" t="s">
        <v>1</v>
      </c>
      <c r="CB580" t="s">
        <v>3382</v>
      </c>
      <c r="CD580" t="str" cm="1">
        <f t="array" aca="1" ref="CD580" ca="1">eConcatenar(A580:CB580,"|")</f>
        <v>HZsv5QvvUj49o875|CAR2021-7627|3|MEMORIAL|TABASCO|CARDENAS|CARDENAS|2021-12-18|14800|0|50|50|0|0|0|0|0|0|0|0|0|0|0||0|0|0|GARCIA|RAMIREZ|KARINA|SOLTERO|X|X|CALLE CARLOS PELLICER CAMARA |COLONIA INGENIO BENITO JUAREZ|X|9371711596|X|X|X|CALLE CARLOS PELLICER CAMARA |X|LUNES|x|x|x|x|x|DOMICILIO |450|14350|X|X|X|2022-02-21|2022-02-28|x|x|x|x|x|QX002LUS9KVTQO|x|HOMBRE|X|14800|X|X|X|X|X|X|X|X|CARDENAS|X|X|X|X|FINAL</v>
      </c>
    </row>
    <row r="581" spans="1:82" x14ac:dyDescent="0.25">
      <c r="A581" t="s">
        <v>1264</v>
      </c>
      <c r="B581" t="s">
        <v>1265</v>
      </c>
      <c r="C581">
        <v>3</v>
      </c>
      <c r="D581" t="s">
        <v>1372</v>
      </c>
      <c r="E581" t="s">
        <v>1380</v>
      </c>
      <c r="F581" t="s">
        <v>0</v>
      </c>
      <c r="G581" t="s">
        <v>0</v>
      </c>
      <c r="H581" t="s">
        <v>1676</v>
      </c>
      <c r="I581">
        <v>12900</v>
      </c>
      <c r="J581">
        <v>0</v>
      </c>
      <c r="K581">
        <v>200</v>
      </c>
      <c r="L581">
        <v>50</v>
      </c>
      <c r="M581">
        <v>1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Y581">
        <v>0</v>
      </c>
      <c r="Z581">
        <v>0</v>
      </c>
      <c r="AA581">
        <v>0</v>
      </c>
      <c r="AB581" t="s">
        <v>2397</v>
      </c>
      <c r="AC581" t="s">
        <v>2064</v>
      </c>
      <c r="AD581" t="s">
        <v>2398</v>
      </c>
      <c r="AE581" t="s">
        <v>4</v>
      </c>
      <c r="AF581" t="s">
        <v>1</v>
      </c>
      <c r="AG581" t="s">
        <v>1</v>
      </c>
      <c r="AH581" t="s">
        <v>2936</v>
      </c>
      <c r="AI581" t="s">
        <v>2936</v>
      </c>
      <c r="AJ581" t="s">
        <v>1</v>
      </c>
      <c r="AK581">
        <v>9372275294</v>
      </c>
      <c r="AL581" t="s">
        <v>1</v>
      </c>
      <c r="AM581" t="s">
        <v>1</v>
      </c>
      <c r="AN581" t="s">
        <v>1</v>
      </c>
      <c r="AO581" t="s">
        <v>2936</v>
      </c>
      <c r="AP581" t="s">
        <v>1</v>
      </c>
      <c r="AQ581" t="s">
        <v>2</v>
      </c>
      <c r="AR581" t="s">
        <v>3</v>
      </c>
      <c r="AS581" t="s">
        <v>3</v>
      </c>
      <c r="AT581" t="s">
        <v>3</v>
      </c>
      <c r="AU581" t="s">
        <v>3</v>
      </c>
      <c r="AV581" t="s">
        <v>3</v>
      </c>
      <c r="AW581" t="s">
        <v>11</v>
      </c>
      <c r="AX581">
        <f>Tabla1[[#This Row],[precio del paquete]]-Tabla1[[#This Row],[Saldo_Deudor]]</f>
        <v>10300</v>
      </c>
      <c r="AY581">
        <v>2600</v>
      </c>
      <c r="AZ581" t="s">
        <v>1</v>
      </c>
      <c r="BA581" t="s">
        <v>1</v>
      </c>
      <c r="BB581" t="s">
        <v>1</v>
      </c>
      <c r="BC581" t="s">
        <v>3256</v>
      </c>
      <c r="BD581" t="s">
        <v>3250</v>
      </c>
      <c r="BE581" t="s">
        <v>3</v>
      </c>
      <c r="BF581" t="s">
        <v>3</v>
      </c>
      <c r="BG581" t="s">
        <v>3</v>
      </c>
      <c r="BH581" t="s">
        <v>3</v>
      </c>
      <c r="BI581" t="s">
        <v>3</v>
      </c>
      <c r="BJ581" t="s">
        <v>3363</v>
      </c>
      <c r="BK581" t="s">
        <v>3</v>
      </c>
      <c r="BL581" t="s">
        <v>132</v>
      </c>
      <c r="BM581" t="s">
        <v>1</v>
      </c>
      <c r="BN581">
        <f>Tabla1[[#This Row],[precio del paquete]]</f>
        <v>12900</v>
      </c>
      <c r="BO581" t="s">
        <v>1</v>
      </c>
      <c r="BP581" t="s">
        <v>1</v>
      </c>
      <c r="BQ581" t="s">
        <v>1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0</v>
      </c>
      <c r="BX581" t="s">
        <v>1</v>
      </c>
      <c r="BY581" t="s">
        <v>1</v>
      </c>
      <c r="BZ581" t="s">
        <v>1</v>
      </c>
      <c r="CA581" t="s">
        <v>1</v>
      </c>
      <c r="CB581" t="s">
        <v>3382</v>
      </c>
      <c r="CD581" t="str" cm="1">
        <f t="array" aca="1" ref="CD581" ca="1">eConcatenar(A581:CB581,"|")</f>
        <v>LIu6f2JIsNQe63yE|CAR2019-1996|3|IMPERIAL DE LUJO|TABASCO|CARDENAS|CARDENAS|2020-07-07|12900|0|200|50|1|0|0|0|0|0|0|0|0|0|0||0|0|0|PIMIENTA|MONTIEL|NERY|SOLTERO|X|X|COLONIA INGENIO BENITO JUAREZ|COLONIA INGENIO BENITO JUAREZ|X|9372275294|X|X|X|COLONIA INGENIO BENITO JUAREZ|X|LUNES|x|x|x|x|x|DOMICILIO |10300|2600|X|X|X|2022-02-21|2022-02-28|x|x|x|x|x|QX002LUS9KVTQO|x|HOMBRE|X|12900|X|X|X|X|X|X|X|X|CARDENAS|X|X|X|X|FINAL</v>
      </c>
    </row>
    <row r="582" spans="1:82" x14ac:dyDescent="0.25">
      <c r="A582" t="s">
        <v>1266</v>
      </c>
      <c r="B582" t="s">
        <v>1267</v>
      </c>
      <c r="C582">
        <v>3</v>
      </c>
      <c r="D582" t="s">
        <v>1370</v>
      </c>
      <c r="E582" t="s">
        <v>1380</v>
      </c>
      <c r="F582" t="s">
        <v>0</v>
      </c>
      <c r="G582" t="s">
        <v>0</v>
      </c>
      <c r="H582" t="s">
        <v>1449</v>
      </c>
      <c r="I582">
        <v>34500</v>
      </c>
      <c r="J582">
        <v>0</v>
      </c>
      <c r="K582">
        <v>100</v>
      </c>
      <c r="L582">
        <v>50</v>
      </c>
      <c r="M582">
        <v>1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Y582">
        <v>0</v>
      </c>
      <c r="Z582">
        <v>0</v>
      </c>
      <c r="AA582">
        <v>0</v>
      </c>
      <c r="AB582" t="s">
        <v>2244</v>
      </c>
      <c r="AC582" t="s">
        <v>1849</v>
      </c>
      <c r="AD582" t="s">
        <v>1983</v>
      </c>
      <c r="AE582" t="s">
        <v>4</v>
      </c>
      <c r="AF582" t="s">
        <v>1</v>
      </c>
      <c r="AG582" t="s">
        <v>1</v>
      </c>
      <c r="AH582" t="s">
        <v>2937</v>
      </c>
      <c r="AI582" t="s">
        <v>2936</v>
      </c>
      <c r="AJ582" t="s">
        <v>1</v>
      </c>
      <c r="AK582">
        <v>9371428738</v>
      </c>
      <c r="AL582" t="s">
        <v>1</v>
      </c>
      <c r="AM582" t="s">
        <v>1</v>
      </c>
      <c r="AN582" t="s">
        <v>1</v>
      </c>
      <c r="AO582" t="s">
        <v>2937</v>
      </c>
      <c r="AP582" t="s">
        <v>1</v>
      </c>
      <c r="AQ582" t="s">
        <v>2</v>
      </c>
      <c r="AR582" t="s">
        <v>3</v>
      </c>
      <c r="AS582" t="s">
        <v>3</v>
      </c>
      <c r="AT582" t="s">
        <v>3</v>
      </c>
      <c r="AU582" t="s">
        <v>3</v>
      </c>
      <c r="AV582" t="s">
        <v>3</v>
      </c>
      <c r="AW582" t="s">
        <v>11</v>
      </c>
      <c r="AX582">
        <f>Tabla1[[#This Row],[precio del paquete]]-Tabla1[[#This Row],[Saldo_Deudor]]</f>
        <v>600</v>
      </c>
      <c r="AY582">
        <v>33900</v>
      </c>
      <c r="AZ582" t="s">
        <v>1</v>
      </c>
      <c r="BA582" t="s">
        <v>1</v>
      </c>
      <c r="BB582" t="s">
        <v>1</v>
      </c>
      <c r="BC582" t="s">
        <v>3256</v>
      </c>
      <c r="BD582" t="s">
        <v>3250</v>
      </c>
      <c r="BE582" t="s">
        <v>3</v>
      </c>
      <c r="BF582" t="s">
        <v>3</v>
      </c>
      <c r="BG582" t="s">
        <v>3</v>
      </c>
      <c r="BH582" t="s">
        <v>3</v>
      </c>
      <c r="BI582" t="s">
        <v>3</v>
      </c>
      <c r="BJ582" t="s">
        <v>3363</v>
      </c>
      <c r="BK582" t="s">
        <v>3</v>
      </c>
      <c r="BL582" t="s">
        <v>132</v>
      </c>
      <c r="BM582" t="s">
        <v>1</v>
      </c>
      <c r="BN582">
        <f>Tabla1[[#This Row],[precio del paquete]]</f>
        <v>34500</v>
      </c>
      <c r="BO582" t="s">
        <v>1</v>
      </c>
      <c r="BP582" t="s">
        <v>1</v>
      </c>
      <c r="BQ582" t="s">
        <v>1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0</v>
      </c>
      <c r="BX582" t="s">
        <v>1</v>
      </c>
      <c r="BY582" t="s">
        <v>1</v>
      </c>
      <c r="BZ582" t="s">
        <v>1</v>
      </c>
      <c r="CA582" t="s">
        <v>1</v>
      </c>
      <c r="CB582" t="s">
        <v>3382</v>
      </c>
      <c r="CD582" t="str" cm="1">
        <f t="array" aca="1" ref="CD582" ca="1">eConcatenar(A582:CB582,"|")</f>
        <v>idYBpzhv07llpEQ3|CAR2021-7001|3|DELUX|TABASCO|CARDENAS|CARDENAS|2021-11-13|34500|0|100|50|1|0|0|0|0|0|0|0|0|0|0||0|0|0|QUIROGA|MAYO|MANUELA|SOLTERO|X|X|ANDADOR JUAN RUIZ DE ALARCON ORIENTE 4|COLONIA INGENIO BENITO JUAREZ|X|9371428738|X|X|X|ANDADOR JUAN RUIZ DE ALARCON ORIENTE 4|X|LUNES|x|x|x|x|x|DOMICILIO |600|33900|X|X|X|2022-02-21|2022-02-28|x|x|x|x|x|QX002LUS9KVTQO|x|HOMBRE|X|34500|X|X|X|X|X|X|X|X|CARDENAS|X|X|X|X|FINAL</v>
      </c>
    </row>
    <row r="583" spans="1:82" x14ac:dyDescent="0.25">
      <c r="A583" t="s">
        <v>1268</v>
      </c>
      <c r="B583" t="s">
        <v>1269</v>
      </c>
      <c r="C583">
        <v>3</v>
      </c>
      <c r="D583" t="s">
        <v>1368</v>
      </c>
      <c r="E583" t="s">
        <v>1380</v>
      </c>
      <c r="F583" t="s">
        <v>0</v>
      </c>
      <c r="G583" t="s">
        <v>0</v>
      </c>
      <c r="H583" t="s">
        <v>1449</v>
      </c>
      <c r="I583">
        <v>24500</v>
      </c>
      <c r="J583">
        <v>0</v>
      </c>
      <c r="K583">
        <v>100</v>
      </c>
      <c r="L583">
        <v>50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Y583">
        <v>0</v>
      </c>
      <c r="Z583">
        <v>0</v>
      </c>
      <c r="AA583">
        <v>0</v>
      </c>
      <c r="AB583" t="s">
        <v>2244</v>
      </c>
      <c r="AC583" t="s">
        <v>1849</v>
      </c>
      <c r="AD583" t="s">
        <v>1834</v>
      </c>
      <c r="AE583" t="s">
        <v>4</v>
      </c>
      <c r="AF583" t="s">
        <v>1</v>
      </c>
      <c r="AG583" t="s">
        <v>1</v>
      </c>
      <c r="AH583" t="s">
        <v>2938</v>
      </c>
      <c r="AI583" t="s">
        <v>2936</v>
      </c>
      <c r="AJ583" t="s">
        <v>1</v>
      </c>
      <c r="AK583">
        <v>9371066470</v>
      </c>
      <c r="AL583" t="s">
        <v>1</v>
      </c>
      <c r="AM583" t="s">
        <v>1</v>
      </c>
      <c r="AN583" t="s">
        <v>1</v>
      </c>
      <c r="AO583" t="s">
        <v>2938</v>
      </c>
      <c r="AP583" t="s">
        <v>1</v>
      </c>
      <c r="AQ583" t="s">
        <v>2</v>
      </c>
      <c r="AR583" t="s">
        <v>3</v>
      </c>
      <c r="AS583" t="s">
        <v>3</v>
      </c>
      <c r="AT583" t="s">
        <v>3</v>
      </c>
      <c r="AU583" t="s">
        <v>3</v>
      </c>
      <c r="AV583" t="s">
        <v>3</v>
      </c>
      <c r="AW583" t="s">
        <v>11</v>
      </c>
      <c r="AX583">
        <f>Tabla1[[#This Row],[precio del paquete]]-Tabla1[[#This Row],[Saldo_Deudor]]</f>
        <v>1100</v>
      </c>
      <c r="AY583">
        <v>23400</v>
      </c>
      <c r="AZ583" t="s">
        <v>1</v>
      </c>
      <c r="BA583" t="s">
        <v>1</v>
      </c>
      <c r="BB583" t="s">
        <v>1</v>
      </c>
      <c r="BC583" t="s">
        <v>3256</v>
      </c>
      <c r="BD583" t="s">
        <v>3250</v>
      </c>
      <c r="BE583" t="s">
        <v>3</v>
      </c>
      <c r="BF583" t="s">
        <v>3</v>
      </c>
      <c r="BG583" t="s">
        <v>3</v>
      </c>
      <c r="BH583" t="s">
        <v>3</v>
      </c>
      <c r="BI583" t="s">
        <v>3</v>
      </c>
      <c r="BJ583" t="s">
        <v>3363</v>
      </c>
      <c r="BK583" t="s">
        <v>3</v>
      </c>
      <c r="BL583" t="s">
        <v>132</v>
      </c>
      <c r="BM583" t="s">
        <v>1</v>
      </c>
      <c r="BN583">
        <f>Tabla1[[#This Row],[precio del paquete]]</f>
        <v>24500</v>
      </c>
      <c r="BO583" t="s">
        <v>1</v>
      </c>
      <c r="BP583" t="s">
        <v>1</v>
      </c>
      <c r="BQ583" t="s">
        <v>1</v>
      </c>
      <c r="BR583" t="s">
        <v>1</v>
      </c>
      <c r="BS583" t="s">
        <v>1</v>
      </c>
      <c r="BT583" t="s">
        <v>1</v>
      </c>
      <c r="BU583" t="s">
        <v>1</v>
      </c>
      <c r="BV583" t="s">
        <v>1</v>
      </c>
      <c r="BW583" t="s">
        <v>0</v>
      </c>
      <c r="BX583" t="s">
        <v>1</v>
      </c>
      <c r="BY583" t="s">
        <v>1</v>
      </c>
      <c r="BZ583" t="s">
        <v>1</v>
      </c>
      <c r="CA583" t="s">
        <v>1</v>
      </c>
      <c r="CB583" t="s">
        <v>3382</v>
      </c>
      <c r="CD583" t="str" cm="1">
        <f t="array" aca="1" ref="CD583" ca="1">eConcatenar(A583:CB583,"|")</f>
        <v>Xr2Pc4KPwKo5OI0q|CAR2021-7000|3|DIGNITY|TABASCO|CARDENAS|CARDENAS|2021-11-13|24500|0|100|50|1|0|0|0|0|0|0|0|0|0|0||0|0|0|QUIROGA|MAYO|MARTHA ELENA|SOLTERO|X|X|ANDADOR LUIS G URBINA PONIENTE 19|COLONIA INGENIO BENITO JUAREZ|X|9371066470|X|X|X|ANDADOR LUIS G URBINA PONIENTE 19|X|LUNES|x|x|x|x|x|DOMICILIO |1100|23400|X|X|X|2022-02-21|2022-02-28|x|x|x|x|x|QX002LUS9KVTQO|x|HOMBRE|X|24500|X|X|X|X|X|X|X|X|CARDENAS|X|X|X|X|FINAL</v>
      </c>
    </row>
    <row r="584" spans="1:82" x14ac:dyDescent="0.25">
      <c r="A584" t="s">
        <v>1270</v>
      </c>
      <c r="B584" t="s">
        <v>1271</v>
      </c>
      <c r="C584">
        <v>3</v>
      </c>
      <c r="D584" t="s">
        <v>1372</v>
      </c>
      <c r="E584" t="s">
        <v>1380</v>
      </c>
      <c r="F584" t="s">
        <v>0</v>
      </c>
      <c r="G584" t="s">
        <v>0</v>
      </c>
      <c r="H584" t="s">
        <v>1677</v>
      </c>
      <c r="I584">
        <v>12900</v>
      </c>
      <c r="J584">
        <v>0</v>
      </c>
      <c r="K584">
        <v>200</v>
      </c>
      <c r="L584">
        <v>50</v>
      </c>
      <c r="M584">
        <v>1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Y584">
        <v>0</v>
      </c>
      <c r="Z584">
        <v>0</v>
      </c>
      <c r="AA584">
        <v>0</v>
      </c>
      <c r="AB584" t="s">
        <v>2064</v>
      </c>
      <c r="AC584" t="s">
        <v>1695</v>
      </c>
      <c r="AD584" t="s">
        <v>2399</v>
      </c>
      <c r="AE584" t="s">
        <v>4</v>
      </c>
      <c r="AF584" t="s">
        <v>1</v>
      </c>
      <c r="AG584" t="s">
        <v>1</v>
      </c>
      <c r="AH584" t="s">
        <v>2939</v>
      </c>
      <c r="AI584" t="s">
        <v>2936</v>
      </c>
      <c r="AJ584" t="s">
        <v>1</v>
      </c>
      <c r="AK584">
        <v>9371397762</v>
      </c>
      <c r="AL584" t="s">
        <v>1</v>
      </c>
      <c r="AM584" t="s">
        <v>1</v>
      </c>
      <c r="AN584" t="s">
        <v>1</v>
      </c>
      <c r="AO584" t="s">
        <v>2939</v>
      </c>
      <c r="AP584" t="s">
        <v>1</v>
      </c>
      <c r="AQ584" t="s">
        <v>2</v>
      </c>
      <c r="AR584" t="s">
        <v>3</v>
      </c>
      <c r="AS584" t="s">
        <v>3</v>
      </c>
      <c r="AT584" t="s">
        <v>3</v>
      </c>
      <c r="AU584" t="s">
        <v>3</v>
      </c>
      <c r="AV584" t="s">
        <v>3</v>
      </c>
      <c r="AW584" t="s">
        <v>11</v>
      </c>
      <c r="AX584">
        <f>Tabla1[[#This Row],[precio del paquete]]-Tabla1[[#This Row],[Saldo_Deudor]]</f>
        <v>11600</v>
      </c>
      <c r="AY584">
        <v>1300</v>
      </c>
      <c r="AZ584" t="s">
        <v>1</v>
      </c>
      <c r="BA584" t="s">
        <v>1</v>
      </c>
      <c r="BB584" t="s">
        <v>1</v>
      </c>
      <c r="BC584" t="s">
        <v>3256</v>
      </c>
      <c r="BD584" t="s">
        <v>3250</v>
      </c>
      <c r="BE584" t="s">
        <v>3</v>
      </c>
      <c r="BF584" t="s">
        <v>3</v>
      </c>
      <c r="BG584" t="s">
        <v>3</v>
      </c>
      <c r="BH584" t="s">
        <v>3</v>
      </c>
      <c r="BI584" t="s">
        <v>3</v>
      </c>
      <c r="BJ584" t="s">
        <v>3363</v>
      </c>
      <c r="BK584" t="s">
        <v>3</v>
      </c>
      <c r="BL584" t="s">
        <v>132</v>
      </c>
      <c r="BM584" t="s">
        <v>1</v>
      </c>
      <c r="BN584">
        <f>Tabla1[[#This Row],[precio del paquete]]</f>
        <v>12900</v>
      </c>
      <c r="BO584" t="s">
        <v>1</v>
      </c>
      <c r="BP584" t="s">
        <v>1</v>
      </c>
      <c r="BQ584" t="s">
        <v>1</v>
      </c>
      <c r="BR584" t="s">
        <v>1</v>
      </c>
      <c r="BS584" t="s">
        <v>1</v>
      </c>
      <c r="BT584" t="s">
        <v>1</v>
      </c>
      <c r="BU584" t="s">
        <v>1</v>
      </c>
      <c r="BV584" t="s">
        <v>1</v>
      </c>
      <c r="BW584" t="s">
        <v>0</v>
      </c>
      <c r="BX584" t="s">
        <v>1</v>
      </c>
      <c r="BY584" t="s">
        <v>1</v>
      </c>
      <c r="BZ584" t="s">
        <v>1</v>
      </c>
      <c r="CA584" t="s">
        <v>1</v>
      </c>
      <c r="CB584" t="s">
        <v>3382</v>
      </c>
      <c r="CD584" t="str" cm="1">
        <f t="array" aca="1" ref="CD584" ca="1">eConcatenar(A584:CB584,"|")</f>
        <v>Rb0exjA3PiSVb34d|CAR2019-1947|3|IMPERIAL DE LUJO|TABASCO|CARDENAS|CARDENAS|2019-07-29|12900|0|200|50|1|0|0|0|0|0|0|0|0|0|0||0|0|0|MONTIEL|MORALES|DANIEL GILBERTO|SOLTERO|X|X|JUAN RUIZ DE ALARCON|COLONIA INGENIO BENITO JUAREZ|X|9371397762|X|X|X|JUAN RUIZ DE ALARCON|X|LUNES|x|x|x|x|x|DOMICILIO |11600|1300|X|X|X|2022-02-21|2022-02-28|x|x|x|x|x|QX002LUS9KVTQO|x|HOMBRE|X|12900|X|X|X|X|X|X|X|X|CARDENAS|X|X|X|X|FINAL</v>
      </c>
    </row>
    <row r="585" spans="1:82" x14ac:dyDescent="0.25">
      <c r="A585" t="s">
        <v>1272</v>
      </c>
      <c r="B585" t="s">
        <v>1273</v>
      </c>
      <c r="C585">
        <v>3</v>
      </c>
      <c r="D585" t="s">
        <v>1369</v>
      </c>
      <c r="E585" t="s">
        <v>1380</v>
      </c>
      <c r="F585" t="s">
        <v>0</v>
      </c>
      <c r="G585" t="s">
        <v>0</v>
      </c>
      <c r="H585" t="s">
        <v>1678</v>
      </c>
      <c r="I585">
        <v>14800</v>
      </c>
      <c r="J585">
        <v>0</v>
      </c>
      <c r="K585">
        <v>100</v>
      </c>
      <c r="L585">
        <v>50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Y585">
        <v>0</v>
      </c>
      <c r="Z585">
        <v>0</v>
      </c>
      <c r="AA585">
        <v>0</v>
      </c>
      <c r="AB585" t="s">
        <v>1783</v>
      </c>
      <c r="AC585" t="s">
        <v>8</v>
      </c>
      <c r="AD585" t="s">
        <v>1851</v>
      </c>
      <c r="AE585" t="s">
        <v>4</v>
      </c>
      <c r="AF585" t="s">
        <v>1</v>
      </c>
      <c r="AG585" t="s">
        <v>1</v>
      </c>
      <c r="AH585" t="s">
        <v>2940</v>
      </c>
      <c r="AI585" t="s">
        <v>3228</v>
      </c>
      <c r="AJ585" t="s">
        <v>1</v>
      </c>
      <c r="AK585">
        <v>9371153876</v>
      </c>
      <c r="AL585" t="s">
        <v>1</v>
      </c>
      <c r="AM585" t="s">
        <v>1</v>
      </c>
      <c r="AN585" t="s">
        <v>1</v>
      </c>
      <c r="AO585" t="s">
        <v>2940</v>
      </c>
      <c r="AP585" t="s">
        <v>1</v>
      </c>
      <c r="AQ585" t="s">
        <v>2</v>
      </c>
      <c r="AR585" t="s">
        <v>3</v>
      </c>
      <c r="AS585" t="s">
        <v>3</v>
      </c>
      <c r="AT585" t="s">
        <v>3</v>
      </c>
      <c r="AU585" t="s">
        <v>3</v>
      </c>
      <c r="AV585" t="s">
        <v>3</v>
      </c>
      <c r="AW585" t="s">
        <v>11</v>
      </c>
      <c r="AX585">
        <f>Tabla1[[#This Row],[precio del paquete]]-Tabla1[[#This Row],[Saldo_Deudor]]</f>
        <v>1600</v>
      </c>
      <c r="AY585">
        <v>13200</v>
      </c>
      <c r="AZ585" t="s">
        <v>1</v>
      </c>
      <c r="BA585" t="s">
        <v>1</v>
      </c>
      <c r="BB585" t="s">
        <v>1</v>
      </c>
      <c r="BC585" t="s">
        <v>3273</v>
      </c>
      <c r="BD585" t="s">
        <v>3324</v>
      </c>
      <c r="BE585" t="s">
        <v>3</v>
      </c>
      <c r="BF585" t="s">
        <v>3</v>
      </c>
      <c r="BG585" t="s">
        <v>3</v>
      </c>
      <c r="BH585" t="s">
        <v>3</v>
      </c>
      <c r="BI585" t="s">
        <v>3</v>
      </c>
      <c r="BJ585" t="s">
        <v>3363</v>
      </c>
      <c r="BK585" t="s">
        <v>3</v>
      </c>
      <c r="BL585" t="s">
        <v>132</v>
      </c>
      <c r="BM585" t="s">
        <v>1</v>
      </c>
      <c r="BN585">
        <f>Tabla1[[#This Row],[precio del paquete]]</f>
        <v>14800</v>
      </c>
      <c r="BO585" t="s">
        <v>1</v>
      </c>
      <c r="BP585" t="s">
        <v>1</v>
      </c>
      <c r="BQ585" t="s">
        <v>1</v>
      </c>
      <c r="BR585" t="s">
        <v>1</v>
      </c>
      <c r="BS585" t="s">
        <v>1</v>
      </c>
      <c r="BT585" t="s">
        <v>1</v>
      </c>
      <c r="BU585" t="s">
        <v>1</v>
      </c>
      <c r="BV585" t="s">
        <v>1</v>
      </c>
      <c r="BW585" t="s">
        <v>0</v>
      </c>
      <c r="BX585" t="s">
        <v>1</v>
      </c>
      <c r="BY585" t="s">
        <v>1</v>
      </c>
      <c r="BZ585" t="s">
        <v>1</v>
      </c>
      <c r="CA585" t="s">
        <v>1</v>
      </c>
      <c r="CB585" t="s">
        <v>3382</v>
      </c>
      <c r="CD585" t="str" cm="1">
        <f t="array" aca="1" ref="CD585" ca="1">eConcatenar(A585:CB585,"|")</f>
        <v>KRnSgZTrvAKLbIGx|CAR2021-5430|3|MEMORIAL|TABASCO|CARDENAS|CARDENAS|2021-09-17|14800|0|100|50|0|0|0|0|0|0|0|0|0|0|0||0|0|0|MENDEZ|GOMEZ|JAVIER|SOLTERO|X|X|CARRETERA COATZACOALCOS - CARDENAS|RANCHERIA SAN FERNANDO|X|9371153876|X|X|X|CARRETERA COATZACOALCOS - CARDENAS|X|LUNES|x|x|x|x|x|DOMICILIO |1600|13200|X|X|X|2022-01-18|2022-01-25|x|x|x|x|x|QX002LUS9KVTQO|x|HOMBRE|X|14800|X|X|X|X|X|X|X|X|CARDENAS|X|X|X|X|FINAL</v>
      </c>
    </row>
    <row r="586" spans="1:82" x14ac:dyDescent="0.25">
      <c r="A586" t="s">
        <v>1274</v>
      </c>
      <c r="B586" t="s">
        <v>1275</v>
      </c>
      <c r="C586">
        <v>3</v>
      </c>
      <c r="D586" t="s">
        <v>1369</v>
      </c>
      <c r="E586" t="s">
        <v>12</v>
      </c>
      <c r="F586" t="s">
        <v>0</v>
      </c>
      <c r="G586" t="s">
        <v>0</v>
      </c>
      <c r="H586" t="s">
        <v>1520</v>
      </c>
      <c r="I586">
        <v>14800</v>
      </c>
      <c r="J586">
        <v>0</v>
      </c>
      <c r="K586">
        <v>300</v>
      </c>
      <c r="L586">
        <v>50</v>
      </c>
      <c r="M586">
        <v>1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Y586">
        <v>0</v>
      </c>
      <c r="Z586">
        <v>0</v>
      </c>
      <c r="AA586">
        <v>0</v>
      </c>
      <c r="AB586" t="s">
        <v>1731</v>
      </c>
      <c r="AC586" t="s">
        <v>1912</v>
      </c>
      <c r="AD586" t="s">
        <v>2400</v>
      </c>
      <c r="AE586" t="s">
        <v>4</v>
      </c>
      <c r="AF586" t="s">
        <v>1</v>
      </c>
      <c r="AG586" t="s">
        <v>1</v>
      </c>
      <c r="AH586" t="s">
        <v>2941</v>
      </c>
      <c r="AI586" t="s">
        <v>3229</v>
      </c>
      <c r="AJ586" t="s">
        <v>1</v>
      </c>
      <c r="AK586">
        <v>9371015732</v>
      </c>
      <c r="AL586" t="s">
        <v>1</v>
      </c>
      <c r="AM586" t="s">
        <v>1</v>
      </c>
      <c r="AN586" t="s">
        <v>1</v>
      </c>
      <c r="AO586" t="s">
        <v>2941</v>
      </c>
      <c r="AP586" t="s">
        <v>1</v>
      </c>
      <c r="AQ586" t="s">
        <v>2</v>
      </c>
      <c r="AR586" t="s">
        <v>3</v>
      </c>
      <c r="AS586" t="s">
        <v>3</v>
      </c>
      <c r="AT586" t="s">
        <v>3</v>
      </c>
      <c r="AU586" t="s">
        <v>3</v>
      </c>
      <c r="AV586" t="s">
        <v>3</v>
      </c>
      <c r="AW586" t="s">
        <v>11</v>
      </c>
      <c r="AX586">
        <f>Tabla1[[#This Row],[precio del paquete]]-Tabla1[[#This Row],[Saldo_Deudor]]</f>
        <v>870</v>
      </c>
      <c r="AY586">
        <v>13930</v>
      </c>
      <c r="AZ586" t="s">
        <v>1</v>
      </c>
      <c r="BA586" t="s">
        <v>1</v>
      </c>
      <c r="BB586" t="s">
        <v>1</v>
      </c>
      <c r="BC586" t="s">
        <v>1501</v>
      </c>
      <c r="BD586" t="s">
        <v>1450</v>
      </c>
      <c r="BE586" t="s">
        <v>3</v>
      </c>
      <c r="BF586" t="s">
        <v>3</v>
      </c>
      <c r="BG586" t="s">
        <v>3</v>
      </c>
      <c r="BH586" t="s">
        <v>3</v>
      </c>
      <c r="BI586" t="s">
        <v>3</v>
      </c>
      <c r="BJ586" t="s">
        <v>3362</v>
      </c>
      <c r="BK586" t="s">
        <v>3</v>
      </c>
      <c r="BL586" t="s">
        <v>132</v>
      </c>
      <c r="BM586" t="s">
        <v>1</v>
      </c>
      <c r="BN586">
        <f>Tabla1[[#This Row],[precio del paquete]]</f>
        <v>14800</v>
      </c>
      <c r="BO586" t="s">
        <v>1</v>
      </c>
      <c r="BP586" t="s">
        <v>1</v>
      </c>
      <c r="BQ586" t="s">
        <v>1</v>
      </c>
      <c r="BR586" t="s">
        <v>1</v>
      </c>
      <c r="BS586" t="s">
        <v>1</v>
      </c>
      <c r="BT586" t="s">
        <v>1</v>
      </c>
      <c r="BU586" t="s">
        <v>1</v>
      </c>
      <c r="BV586" t="s">
        <v>1</v>
      </c>
      <c r="BW586" t="s">
        <v>0</v>
      </c>
      <c r="BX586" t="s">
        <v>1</v>
      </c>
      <c r="BY586" t="s">
        <v>1</v>
      </c>
      <c r="BZ586" t="s">
        <v>1</v>
      </c>
      <c r="CA586" t="s">
        <v>1</v>
      </c>
      <c r="CB586" t="s">
        <v>3382</v>
      </c>
      <c r="CD586" t="str" cm="1">
        <f t="array" aca="1" ref="CD586" ca="1">eConcatenar(A586:CB586,"|")</f>
        <v>2YAVAjyDqwUOD78o|CAR2021-4876|3|MEMORIAL|TABASCO |CARDENAS|CARDENAS|2021-08-26|14800|0|300|50|1|0|0|0|0|0|0|0|0|0|0||0|0|0|GARCIA|VIDAL|JOSE MARIA|SOLTERO|X|X|CALLE NUEVA ZELANDIA |RANCHERIA NUEVA ZELANDIA  |X|9371015732|X|X|X|CALLE NUEVA ZELANDIA |X|LUNES|x|x|x|x|x|DOMICILIO |870|13930|X|X|X|2021-10-07|2021-10-14|x|x|x|x|x|QX002LYO9KVTQO|x|HOMBRE|X|14800|X|X|X|X|X|X|X|X|CARDENAS|X|X|X|X|FINAL</v>
      </c>
    </row>
    <row r="587" spans="1:82" x14ac:dyDescent="0.25">
      <c r="A587" t="s">
        <v>1276</v>
      </c>
      <c r="B587" t="s">
        <v>1277</v>
      </c>
      <c r="C587">
        <v>3</v>
      </c>
      <c r="D587" t="s">
        <v>1369</v>
      </c>
      <c r="E587" t="s">
        <v>12</v>
      </c>
      <c r="F587" t="s">
        <v>0</v>
      </c>
      <c r="G587" t="s">
        <v>0</v>
      </c>
      <c r="H587" t="s">
        <v>1494</v>
      </c>
      <c r="I587">
        <v>14800</v>
      </c>
      <c r="J587">
        <v>0</v>
      </c>
      <c r="K587">
        <v>50</v>
      </c>
      <c r="L587">
        <v>50</v>
      </c>
      <c r="M587">
        <v>1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Y587">
        <v>0</v>
      </c>
      <c r="Z587">
        <v>0</v>
      </c>
      <c r="AA587">
        <v>0</v>
      </c>
      <c r="AB587" t="s">
        <v>2401</v>
      </c>
      <c r="AC587" t="s">
        <v>2287</v>
      </c>
      <c r="AD587" t="s">
        <v>2340</v>
      </c>
      <c r="AE587" t="s">
        <v>4</v>
      </c>
      <c r="AF587" t="s">
        <v>1</v>
      </c>
      <c r="AG587" t="s">
        <v>1</v>
      </c>
      <c r="AH587" t="s">
        <v>2717</v>
      </c>
      <c r="AI587" t="s">
        <v>3230</v>
      </c>
      <c r="AJ587" t="s">
        <v>1</v>
      </c>
      <c r="AK587">
        <v>9372717325</v>
      </c>
      <c r="AL587" t="s">
        <v>1</v>
      </c>
      <c r="AM587" t="s">
        <v>1</v>
      </c>
      <c r="AN587" t="s">
        <v>1</v>
      </c>
      <c r="AO587" t="s">
        <v>2717</v>
      </c>
      <c r="AP587" t="s">
        <v>1</v>
      </c>
      <c r="AQ587" t="s">
        <v>2</v>
      </c>
      <c r="AR587" t="s">
        <v>3</v>
      </c>
      <c r="AS587" t="s">
        <v>3</v>
      </c>
      <c r="AT587" t="s">
        <v>3</v>
      </c>
      <c r="AU587" t="s">
        <v>3</v>
      </c>
      <c r="AV587" t="s">
        <v>3</v>
      </c>
      <c r="AW587" t="s">
        <v>11</v>
      </c>
      <c r="AX587">
        <f>Tabla1[[#This Row],[precio del paquete]]-Tabla1[[#This Row],[Saldo_Deudor]]</f>
        <v>50</v>
      </c>
      <c r="AY587">
        <v>14750</v>
      </c>
      <c r="AZ587" t="s">
        <v>1</v>
      </c>
      <c r="BA587" t="s">
        <v>1</v>
      </c>
      <c r="BB587" t="s">
        <v>1</v>
      </c>
      <c r="BC587" t="s">
        <v>1494</v>
      </c>
      <c r="BD587" t="s">
        <v>1444</v>
      </c>
      <c r="BE587" t="s">
        <v>3</v>
      </c>
      <c r="BF587" t="s">
        <v>3</v>
      </c>
      <c r="BG587" t="s">
        <v>3</v>
      </c>
      <c r="BH587" t="s">
        <v>3</v>
      </c>
      <c r="BI587" t="s">
        <v>3</v>
      </c>
      <c r="BJ587" t="s">
        <v>3362</v>
      </c>
      <c r="BK587" t="s">
        <v>3</v>
      </c>
      <c r="BL587" t="s">
        <v>132</v>
      </c>
      <c r="BM587" t="s">
        <v>1</v>
      </c>
      <c r="BN587">
        <f>Tabla1[[#This Row],[precio del paquete]]</f>
        <v>14800</v>
      </c>
      <c r="BO587" t="s">
        <v>1</v>
      </c>
      <c r="BP587" t="s">
        <v>1</v>
      </c>
      <c r="BQ587" t="s">
        <v>1</v>
      </c>
      <c r="BR587" t="s">
        <v>1</v>
      </c>
      <c r="BS587" t="s">
        <v>1</v>
      </c>
      <c r="BT587" t="s">
        <v>1</v>
      </c>
      <c r="BU587" t="s">
        <v>1</v>
      </c>
      <c r="BV587" t="s">
        <v>1</v>
      </c>
      <c r="BW587" t="s">
        <v>0</v>
      </c>
      <c r="BX587" t="s">
        <v>1</v>
      </c>
      <c r="BY587" t="s">
        <v>1</v>
      </c>
      <c r="BZ587" t="s">
        <v>1</v>
      </c>
      <c r="CA587" t="s">
        <v>1</v>
      </c>
      <c r="CB587" t="s">
        <v>3382</v>
      </c>
      <c r="CD587" t="str" cm="1">
        <f t="array" aca="1" ref="CD587" ca="1">eConcatenar(A587:CB587,"|")</f>
        <v>apgnKklXmIGEoyRi|CAR2021-6492|3|MEMORIAL|TABASCO |CARDENAS|CARDENAS|2021-10-29|14800|0|50|50|1|0|0|0|0|0|0|0|0|0|0||0|0|0|MAY|BRITO|MARIA ESTHER|SOLTERO|X|X|CAMINO VECINAL |FRACCIONAMIENTO SAN JOSE|X|9372717325|X|X|X|CAMINO VECINAL |X|LUNES|x|x|x|x|x|DOMICILIO |50|14750|X|X|X|2021-10-29|2021-11-05|x|x|x|x|x|QX002LYO9KVTQO|x|HOMBRE|X|14800|X|X|X|X|X|X|X|X|CARDENAS|X|X|X|X|FINAL</v>
      </c>
    </row>
    <row r="588" spans="1:82" x14ac:dyDescent="0.25">
      <c r="A588" t="s">
        <v>1278</v>
      </c>
      <c r="B588" t="s">
        <v>1279</v>
      </c>
      <c r="C588">
        <v>3</v>
      </c>
      <c r="D588" t="s">
        <v>1369</v>
      </c>
      <c r="E588" t="s">
        <v>12</v>
      </c>
      <c r="F588" t="s">
        <v>0</v>
      </c>
      <c r="G588" t="s">
        <v>0</v>
      </c>
      <c r="H588" t="s">
        <v>1515</v>
      </c>
      <c r="I588">
        <v>14800</v>
      </c>
      <c r="J588">
        <v>0</v>
      </c>
      <c r="K588">
        <v>50</v>
      </c>
      <c r="L588">
        <v>50</v>
      </c>
      <c r="M588">
        <v>1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Y588">
        <v>0</v>
      </c>
      <c r="Z588">
        <v>0</v>
      </c>
      <c r="AA588">
        <v>0</v>
      </c>
      <c r="AB588" t="s">
        <v>1693</v>
      </c>
      <c r="AC588" t="s">
        <v>1708</v>
      </c>
      <c r="AD588" t="s">
        <v>2402</v>
      </c>
      <c r="AE588" t="s">
        <v>4</v>
      </c>
      <c r="AF588" t="s">
        <v>1</v>
      </c>
      <c r="AG588" t="s">
        <v>1</v>
      </c>
      <c r="AH588" t="s">
        <v>2942</v>
      </c>
      <c r="AI588" t="s">
        <v>3129</v>
      </c>
      <c r="AJ588" t="s">
        <v>1</v>
      </c>
      <c r="AK588">
        <v>9371682902</v>
      </c>
      <c r="AL588" t="s">
        <v>1</v>
      </c>
      <c r="AM588" t="s">
        <v>1</v>
      </c>
      <c r="AN588" t="s">
        <v>1</v>
      </c>
      <c r="AO588" t="s">
        <v>2942</v>
      </c>
      <c r="AP588" t="s">
        <v>1</v>
      </c>
      <c r="AQ588" t="s">
        <v>2</v>
      </c>
      <c r="AR588" t="s">
        <v>3</v>
      </c>
      <c r="AS588" t="s">
        <v>3</v>
      </c>
      <c r="AT588" t="s">
        <v>3</v>
      </c>
      <c r="AU588" t="s">
        <v>3</v>
      </c>
      <c r="AV588" t="s">
        <v>3</v>
      </c>
      <c r="AW588" t="s">
        <v>11</v>
      </c>
      <c r="AX588">
        <f>Tabla1[[#This Row],[precio del paquete]]-Tabla1[[#This Row],[Saldo_Deudor]]</f>
        <v>50</v>
      </c>
      <c r="AY588">
        <v>14750</v>
      </c>
      <c r="AZ588" t="s">
        <v>1</v>
      </c>
      <c r="BA588" t="s">
        <v>1</v>
      </c>
      <c r="BB588" t="s">
        <v>1</v>
      </c>
      <c r="BC588" t="s">
        <v>1515</v>
      </c>
      <c r="BD588" t="s">
        <v>1499</v>
      </c>
      <c r="BE588" t="s">
        <v>3</v>
      </c>
      <c r="BF588" t="s">
        <v>3</v>
      </c>
      <c r="BG588" t="s">
        <v>3</v>
      </c>
      <c r="BH588" t="s">
        <v>3</v>
      </c>
      <c r="BI588" t="s">
        <v>3</v>
      </c>
      <c r="BJ588" t="s">
        <v>3362</v>
      </c>
      <c r="BK588" t="s">
        <v>3</v>
      </c>
      <c r="BL588" t="s">
        <v>132</v>
      </c>
      <c r="BM588" t="s">
        <v>1</v>
      </c>
      <c r="BN588">
        <f>Tabla1[[#This Row],[precio del paquete]]</f>
        <v>14800</v>
      </c>
      <c r="BO588" t="s">
        <v>1</v>
      </c>
      <c r="BP588" t="s">
        <v>1</v>
      </c>
      <c r="BQ588" t="s">
        <v>1</v>
      </c>
      <c r="BR588" t="s">
        <v>1</v>
      </c>
      <c r="BS588" t="s">
        <v>1</v>
      </c>
      <c r="BT588" t="s">
        <v>1</v>
      </c>
      <c r="BU588" t="s">
        <v>1</v>
      </c>
      <c r="BV588" t="s">
        <v>1</v>
      </c>
      <c r="BW588" t="s">
        <v>0</v>
      </c>
      <c r="BX588" t="s">
        <v>1</v>
      </c>
      <c r="BY588" t="s">
        <v>1</v>
      </c>
      <c r="BZ588" t="s">
        <v>1</v>
      </c>
      <c r="CA588" t="s">
        <v>1</v>
      </c>
      <c r="CB588" t="s">
        <v>3382</v>
      </c>
      <c r="CD588" t="str" cm="1">
        <f t="array" aca="1" ref="CD588" ca="1">eConcatenar(A588:CB588,"|")</f>
        <v>ROlPBETW0PWzsfpr|CAR2021-7564|3|MEMORIAL|TABASCO |CARDENAS|CARDENAS|2021-12-15|14800|0|50|50|1|0|0|0|0|0|0|0|0|0|0||0|0|0|RODRIGUEZ||NICOLAS CURIEL|SOLTERO|X|X|CALLE JUAN DE LA BARRERA |COLONIA EMILIANO ZAPATA|X|9371682902|X|X|X|CALLE JUAN DE LA BARRERA |X|LUNES|x|x|x|x|x|DOMICILIO |50|14750|X|X|X|2021-12-15|2021-12-22|x|x|x|x|x|QX002LYO9KVTQO|x|HOMBRE|X|14800|X|X|X|X|X|X|X|X|CARDENAS|X|X|X|X|FINAL</v>
      </c>
    </row>
    <row r="589" spans="1:82" x14ac:dyDescent="0.25">
      <c r="A589" t="s">
        <v>1280</v>
      </c>
      <c r="B589" t="s">
        <v>1281</v>
      </c>
      <c r="C589">
        <v>3</v>
      </c>
      <c r="D589" t="s">
        <v>1379</v>
      </c>
      <c r="E589" t="s">
        <v>12</v>
      </c>
      <c r="F589" t="s">
        <v>0</v>
      </c>
      <c r="G589" t="s">
        <v>0</v>
      </c>
      <c r="H589" t="s">
        <v>1518</v>
      </c>
      <c r="I589">
        <v>46000</v>
      </c>
      <c r="J589">
        <v>0</v>
      </c>
      <c r="K589">
        <v>100</v>
      </c>
      <c r="L589">
        <v>50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Y589">
        <v>0</v>
      </c>
      <c r="Z589">
        <v>0</v>
      </c>
      <c r="AA589">
        <v>0</v>
      </c>
      <c r="AB589" t="s">
        <v>1816</v>
      </c>
      <c r="AC589" t="s">
        <v>1708</v>
      </c>
      <c r="AD589" t="s">
        <v>2403</v>
      </c>
      <c r="AE589" t="s">
        <v>4</v>
      </c>
      <c r="AF589" t="s">
        <v>1</v>
      </c>
      <c r="AG589" t="s">
        <v>1</v>
      </c>
      <c r="AH589" t="s">
        <v>2943</v>
      </c>
      <c r="AI589" t="s">
        <v>3174</v>
      </c>
      <c r="AJ589" t="s">
        <v>1</v>
      </c>
      <c r="AK589">
        <v>9371626283</v>
      </c>
      <c r="AL589" t="s">
        <v>1</v>
      </c>
      <c r="AM589" t="s">
        <v>1</v>
      </c>
      <c r="AN589" t="s">
        <v>1</v>
      </c>
      <c r="AO589" t="s">
        <v>2943</v>
      </c>
      <c r="AP589" t="s">
        <v>1</v>
      </c>
      <c r="AQ589" t="s">
        <v>2</v>
      </c>
      <c r="AR589" t="s">
        <v>3</v>
      </c>
      <c r="AS589" t="s">
        <v>3</v>
      </c>
      <c r="AT589" t="s">
        <v>3</v>
      </c>
      <c r="AU589" t="s">
        <v>3</v>
      </c>
      <c r="AV589" t="s">
        <v>3</v>
      </c>
      <c r="AW589" t="s">
        <v>11</v>
      </c>
      <c r="AX589">
        <f>Tabla1[[#This Row],[precio del paquete]]-Tabla1[[#This Row],[Saldo_Deudor]]</f>
        <v>100</v>
      </c>
      <c r="AY589">
        <v>45900</v>
      </c>
      <c r="AZ589" t="s">
        <v>1</v>
      </c>
      <c r="BA589" t="s">
        <v>1</v>
      </c>
      <c r="BB589" t="s">
        <v>1</v>
      </c>
      <c r="BC589" t="s">
        <v>1518</v>
      </c>
      <c r="BD589" t="s">
        <v>1524</v>
      </c>
      <c r="BE589" t="s">
        <v>3</v>
      </c>
      <c r="BF589" t="s">
        <v>3</v>
      </c>
      <c r="BG589" t="s">
        <v>3</v>
      </c>
      <c r="BH589" t="s">
        <v>3</v>
      </c>
      <c r="BI589" t="s">
        <v>3</v>
      </c>
      <c r="BJ589" t="s">
        <v>3362</v>
      </c>
      <c r="BK589" t="s">
        <v>3</v>
      </c>
      <c r="BL589" t="s">
        <v>132</v>
      </c>
      <c r="BM589" t="s">
        <v>1</v>
      </c>
      <c r="BN589">
        <f>Tabla1[[#This Row],[precio del paquete]]</f>
        <v>46000</v>
      </c>
      <c r="BO589" t="s">
        <v>1</v>
      </c>
      <c r="BP589" t="s">
        <v>1</v>
      </c>
      <c r="BQ589" t="s">
        <v>1</v>
      </c>
      <c r="BR589" t="s">
        <v>1</v>
      </c>
      <c r="BS589" t="s">
        <v>1</v>
      </c>
      <c r="BT589" t="s">
        <v>1</v>
      </c>
      <c r="BU589" t="s">
        <v>1</v>
      </c>
      <c r="BV589" t="s">
        <v>1</v>
      </c>
      <c r="BW589" t="s">
        <v>0</v>
      </c>
      <c r="BX589" t="s">
        <v>1</v>
      </c>
      <c r="BY589" t="s">
        <v>1</v>
      </c>
      <c r="BZ589" t="s">
        <v>1</v>
      </c>
      <c r="CA589" t="s">
        <v>1</v>
      </c>
      <c r="CB589" t="s">
        <v>3382</v>
      </c>
      <c r="CD589" t="str" cm="1">
        <f t="array" aca="1" ref="CD589" ca="1">eConcatenar(A589:CB589,"|")</f>
        <v>MJJI5evP1NwnmMsv|CAR2021-7068|3|ESPECIAL ANGELES |TABASCO |CARDENAS|CARDENAS|2021-11-20|46000|0|100|50|1|0|0|0|0|0|0|0|0|0|0||0|0|0|DE DIOS||EDILIA VERA|SOLTERO|X|X|CALLE OYAMEL |FRACCIONAMIENTO EL ENCANTO|X|9371626283|X|X|X|CALLE OYAMEL |X|LUNES|x|x|x|x|x|DOMICILIO |100|45900|X|X|X|2021-11-20|2021-11-27|x|x|x|x|x|QX002LYO9KVTQO|x|HOMBRE|X|46000|X|X|X|X|X|X|X|X|CARDENAS|X|X|X|X|FINAL</v>
      </c>
    </row>
    <row r="590" spans="1:82" x14ac:dyDescent="0.25">
      <c r="A590" t="s">
        <v>1282</v>
      </c>
      <c r="B590" t="s">
        <v>1283</v>
      </c>
      <c r="C590">
        <v>3</v>
      </c>
      <c r="D590" t="s">
        <v>1369</v>
      </c>
      <c r="E590" t="s">
        <v>12</v>
      </c>
      <c r="F590" t="s">
        <v>0</v>
      </c>
      <c r="G590" t="s">
        <v>0</v>
      </c>
      <c r="H590" t="s">
        <v>1519</v>
      </c>
      <c r="I590">
        <v>14800</v>
      </c>
      <c r="J590">
        <v>0</v>
      </c>
      <c r="K590">
        <v>200</v>
      </c>
      <c r="L590">
        <v>50</v>
      </c>
      <c r="M590">
        <v>1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Y590">
        <v>0</v>
      </c>
      <c r="Z590">
        <v>0</v>
      </c>
      <c r="AA590">
        <v>0</v>
      </c>
      <c r="AB590" t="s">
        <v>1693</v>
      </c>
      <c r="AC590" t="s">
        <v>2084</v>
      </c>
      <c r="AD590" t="s">
        <v>1764</v>
      </c>
      <c r="AE590" t="s">
        <v>4</v>
      </c>
      <c r="AF590" t="s">
        <v>1</v>
      </c>
      <c r="AG590" t="s">
        <v>1</v>
      </c>
      <c r="AH590" t="s">
        <v>2462</v>
      </c>
      <c r="AI590" t="s">
        <v>3134</v>
      </c>
      <c r="AJ590" t="s">
        <v>1</v>
      </c>
      <c r="AK590">
        <v>9371687981</v>
      </c>
      <c r="AL590" t="s">
        <v>1</v>
      </c>
      <c r="AM590" t="s">
        <v>1</v>
      </c>
      <c r="AN590" t="s">
        <v>1</v>
      </c>
      <c r="AO590" t="s">
        <v>2462</v>
      </c>
      <c r="AP590" t="s">
        <v>1</v>
      </c>
      <c r="AQ590" t="s">
        <v>2</v>
      </c>
      <c r="AR590" t="s">
        <v>3</v>
      </c>
      <c r="AS590" t="s">
        <v>3</v>
      </c>
      <c r="AT590" t="s">
        <v>3</v>
      </c>
      <c r="AU590" t="s">
        <v>3</v>
      </c>
      <c r="AV590" t="s">
        <v>3</v>
      </c>
      <c r="AW590" t="s">
        <v>11</v>
      </c>
      <c r="AX590">
        <f>Tabla1[[#This Row],[precio del paquete]]-Tabla1[[#This Row],[Saldo_Deudor]]</f>
        <v>1300</v>
      </c>
      <c r="AY590">
        <v>13500</v>
      </c>
      <c r="AZ590" t="s">
        <v>1</v>
      </c>
      <c r="BA590" t="s">
        <v>1</v>
      </c>
      <c r="BB590" t="s">
        <v>1</v>
      </c>
      <c r="BC590" t="s">
        <v>1519</v>
      </c>
      <c r="BD590" t="s">
        <v>1495</v>
      </c>
      <c r="BE590" t="s">
        <v>3</v>
      </c>
      <c r="BF590" t="s">
        <v>3</v>
      </c>
      <c r="BG590" t="s">
        <v>3</v>
      </c>
      <c r="BH590" t="s">
        <v>3</v>
      </c>
      <c r="BI590" t="s">
        <v>3</v>
      </c>
      <c r="BJ590" t="s">
        <v>3362</v>
      </c>
      <c r="BK590" t="s">
        <v>3</v>
      </c>
      <c r="BL590" t="s">
        <v>132</v>
      </c>
      <c r="BM590" t="s">
        <v>1</v>
      </c>
      <c r="BN590">
        <f>Tabla1[[#This Row],[precio del paquete]]</f>
        <v>14800</v>
      </c>
      <c r="BO590" t="s">
        <v>1</v>
      </c>
      <c r="BP590" t="s">
        <v>1</v>
      </c>
      <c r="BQ590" t="s">
        <v>1</v>
      </c>
      <c r="BR590" t="s">
        <v>1</v>
      </c>
      <c r="BS590" t="s">
        <v>1</v>
      </c>
      <c r="BT590" t="s">
        <v>1</v>
      </c>
      <c r="BU590" t="s">
        <v>1</v>
      </c>
      <c r="BV590" t="s">
        <v>1</v>
      </c>
      <c r="BW590" t="s">
        <v>0</v>
      </c>
      <c r="BX590" t="s">
        <v>1</v>
      </c>
      <c r="BY590" t="s">
        <v>1</v>
      </c>
      <c r="BZ590" t="s">
        <v>1</v>
      </c>
      <c r="CA590" t="s">
        <v>1</v>
      </c>
      <c r="CB590" t="s">
        <v>3382</v>
      </c>
      <c r="CD590" t="str" cm="1">
        <f t="array" aca="1" ref="CD590" ca="1">eConcatenar(A590:CB590,"|")</f>
        <v>mBuZ1dIbOI15VqEr|CAR2021-7296|3|MEMORIAL|TABASCO |CARDENAS|CARDENAS|2021-12-01|14800|0|200|50|1|0|0|0|0|0|0|0|0|0|0||0|0|0|RODRIGUEZ|OSORIO|PEDRO|SOLTERO|X|X|CALLE PRINCIPAL |RANCHERIA CALZADA PRIMERA SECCION |X|9371687981|X|X|X|CALLE PRINCIPAL |X|LUNES|x|x|x|x|x|DOMICILIO |1300|13500|X|X|X|2021-12-01|2021-12-08|x|x|x|x|x|QX002LYO9KVTQO|x|HOMBRE|X|14800|X|X|X|X|X|X|X|X|CARDENAS|X|X|X|X|FINAL</v>
      </c>
    </row>
    <row r="591" spans="1:82" x14ac:dyDescent="0.25">
      <c r="A591" t="s">
        <v>1284</v>
      </c>
      <c r="B591" t="s">
        <v>1285</v>
      </c>
      <c r="C591">
        <v>3</v>
      </c>
      <c r="D591" t="s">
        <v>1369</v>
      </c>
      <c r="E591" t="s">
        <v>12</v>
      </c>
      <c r="F591" t="s">
        <v>0</v>
      </c>
      <c r="G591" t="s">
        <v>0</v>
      </c>
      <c r="H591" t="s">
        <v>1657</v>
      </c>
      <c r="I591">
        <v>14800</v>
      </c>
      <c r="J591">
        <v>0</v>
      </c>
      <c r="K591">
        <v>50</v>
      </c>
      <c r="L591">
        <v>50</v>
      </c>
      <c r="M591">
        <v>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Y591">
        <v>0</v>
      </c>
      <c r="Z591">
        <v>0</v>
      </c>
      <c r="AA591">
        <v>0</v>
      </c>
      <c r="AB591" t="s">
        <v>1769</v>
      </c>
      <c r="AC591" t="s">
        <v>1708</v>
      </c>
      <c r="AD591" t="s">
        <v>2404</v>
      </c>
      <c r="AE591" t="s">
        <v>4</v>
      </c>
      <c r="AF591" t="s">
        <v>1</v>
      </c>
      <c r="AG591" t="s">
        <v>1</v>
      </c>
      <c r="AH591" t="s">
        <v>2688</v>
      </c>
      <c r="AI591" t="s">
        <v>3231</v>
      </c>
      <c r="AJ591" t="s">
        <v>1</v>
      </c>
      <c r="AK591">
        <v>9371669184</v>
      </c>
      <c r="AL591" t="s">
        <v>1</v>
      </c>
      <c r="AM591" t="s">
        <v>1</v>
      </c>
      <c r="AN591" t="s">
        <v>1</v>
      </c>
      <c r="AO591" t="s">
        <v>2688</v>
      </c>
      <c r="AP591" t="s">
        <v>1</v>
      </c>
      <c r="AQ591" t="s">
        <v>2</v>
      </c>
      <c r="AR591" t="s">
        <v>3</v>
      </c>
      <c r="AS591" t="s">
        <v>3</v>
      </c>
      <c r="AT591" t="s">
        <v>3</v>
      </c>
      <c r="AU591" t="s">
        <v>3</v>
      </c>
      <c r="AV591" t="s">
        <v>3</v>
      </c>
      <c r="AW591" t="s">
        <v>11</v>
      </c>
      <c r="AX591">
        <f>Tabla1[[#This Row],[precio del paquete]]-Tabla1[[#This Row],[Saldo_Deudor]]</f>
        <v>50</v>
      </c>
      <c r="AY591">
        <v>14750</v>
      </c>
      <c r="AZ591" t="s">
        <v>1</v>
      </c>
      <c r="BA591" t="s">
        <v>1</v>
      </c>
      <c r="BB591" t="s">
        <v>1</v>
      </c>
      <c r="BC591" t="s">
        <v>1657</v>
      </c>
      <c r="BD591" t="s">
        <v>1556</v>
      </c>
      <c r="BE591" t="s">
        <v>3</v>
      </c>
      <c r="BF591" t="s">
        <v>3</v>
      </c>
      <c r="BG591" t="s">
        <v>3</v>
      </c>
      <c r="BH591" t="s">
        <v>3</v>
      </c>
      <c r="BI591" t="s">
        <v>3</v>
      </c>
      <c r="BJ591" t="s">
        <v>3362</v>
      </c>
      <c r="BK591" t="s">
        <v>3</v>
      </c>
      <c r="BL591" t="s">
        <v>132</v>
      </c>
      <c r="BM591" t="s">
        <v>1</v>
      </c>
      <c r="BN591">
        <f>Tabla1[[#This Row],[precio del paquete]]</f>
        <v>14800</v>
      </c>
      <c r="BO591" t="s">
        <v>1</v>
      </c>
      <c r="BP591" t="s">
        <v>1</v>
      </c>
      <c r="BQ591" t="s">
        <v>1</v>
      </c>
      <c r="BR591" t="s">
        <v>1</v>
      </c>
      <c r="BS591" t="s">
        <v>1</v>
      </c>
      <c r="BT591" t="s">
        <v>1</v>
      </c>
      <c r="BU591" t="s">
        <v>1</v>
      </c>
      <c r="BV591" t="s">
        <v>1</v>
      </c>
      <c r="BW591" t="s">
        <v>0</v>
      </c>
      <c r="BX591" t="s">
        <v>1</v>
      </c>
      <c r="BY591" t="s">
        <v>1</v>
      </c>
      <c r="BZ591" t="s">
        <v>1</v>
      </c>
      <c r="CA591" t="s">
        <v>1</v>
      </c>
      <c r="CB591" t="s">
        <v>3382</v>
      </c>
      <c r="CD591" t="str" cm="1">
        <f t="array" aca="1" ref="CD591" ca="1">eConcatenar(A591:CB591,"|")</f>
        <v>I8LNSUYZ5ws4yKv2|CAR2021-6257|3|MEMORIAL|TABASCO |CARDENAS|CARDENAS|2021-10-20|14800|0|50|50|1|0|0|0|0|0|0|0|0|0|0||0|0|0|TORRES||ISAI LEON|SOLTERO|X|X|CALLE NUMERO SIETE |RANCHERIA HABANERO PRIMERA SECCION (VENUSTIANO CARRANZA)|X|9371669184|X|X|X|CALLE NUMERO SIETE |X|LUNES|x|x|x|x|x|DOMICILIO |50|14750|X|X|X|2021-10-20|2021-10-27|x|x|x|x|x|QX002LYO9KVTQO|x|HOMBRE|X|14800|X|X|X|X|X|X|X|X|CARDENAS|X|X|X|X|FINAL</v>
      </c>
    </row>
    <row r="592" spans="1:82" x14ac:dyDescent="0.25">
      <c r="A592" t="s">
        <v>1286</v>
      </c>
      <c r="B592" t="s">
        <v>1287</v>
      </c>
      <c r="C592">
        <v>3</v>
      </c>
      <c r="D592" t="s">
        <v>1369</v>
      </c>
      <c r="E592" t="s">
        <v>12</v>
      </c>
      <c r="F592" t="s">
        <v>0</v>
      </c>
      <c r="G592" t="s">
        <v>0</v>
      </c>
      <c r="H592" t="s">
        <v>1631</v>
      </c>
      <c r="I592">
        <v>14800</v>
      </c>
      <c r="J592">
        <v>0</v>
      </c>
      <c r="K592">
        <v>100</v>
      </c>
      <c r="L592">
        <v>50</v>
      </c>
      <c r="M592">
        <v>1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Y592">
        <v>0</v>
      </c>
      <c r="Z592">
        <v>0</v>
      </c>
      <c r="AA592">
        <v>0</v>
      </c>
      <c r="AB592" t="s">
        <v>2405</v>
      </c>
      <c r="AC592" t="s">
        <v>1708</v>
      </c>
      <c r="AD592" t="s">
        <v>2406</v>
      </c>
      <c r="AE592" t="s">
        <v>4</v>
      </c>
      <c r="AF592" t="s">
        <v>1</v>
      </c>
      <c r="AG592" t="s">
        <v>1</v>
      </c>
      <c r="AH592" t="s">
        <v>2944</v>
      </c>
      <c r="AI592" t="s">
        <v>3232</v>
      </c>
      <c r="AJ592" t="s">
        <v>1</v>
      </c>
      <c r="AK592">
        <v>9371323963</v>
      </c>
      <c r="AL592" t="s">
        <v>1</v>
      </c>
      <c r="AM592" t="s">
        <v>1</v>
      </c>
      <c r="AN592" t="s">
        <v>1</v>
      </c>
      <c r="AO592" t="s">
        <v>2944</v>
      </c>
      <c r="AP592" t="s">
        <v>1</v>
      </c>
      <c r="AQ592" t="s">
        <v>2</v>
      </c>
      <c r="AR592" t="s">
        <v>3</v>
      </c>
      <c r="AS592" t="s">
        <v>3</v>
      </c>
      <c r="AT592" t="s">
        <v>3</v>
      </c>
      <c r="AU592" t="s">
        <v>3</v>
      </c>
      <c r="AV592" t="s">
        <v>3</v>
      </c>
      <c r="AW592" t="s">
        <v>11</v>
      </c>
      <c r="AX592">
        <f>Tabla1[[#This Row],[precio del paquete]]-Tabla1[[#This Row],[Saldo_Deudor]]</f>
        <v>800</v>
      </c>
      <c r="AY592">
        <v>14000</v>
      </c>
      <c r="AZ592" t="s">
        <v>1</v>
      </c>
      <c r="BA592" t="s">
        <v>1</v>
      </c>
      <c r="BB592" t="s">
        <v>1</v>
      </c>
      <c r="BC592" t="s">
        <v>3300</v>
      </c>
      <c r="BD592" t="s">
        <v>3302</v>
      </c>
      <c r="BE592" t="s">
        <v>3</v>
      </c>
      <c r="BF592" t="s">
        <v>3</v>
      </c>
      <c r="BG592" t="s">
        <v>3</v>
      </c>
      <c r="BH592" t="s">
        <v>3</v>
      </c>
      <c r="BI592" t="s">
        <v>3</v>
      </c>
      <c r="BJ592" t="s">
        <v>3362</v>
      </c>
      <c r="BK592" t="s">
        <v>3</v>
      </c>
      <c r="BL592" t="s">
        <v>132</v>
      </c>
      <c r="BM592" t="s">
        <v>1</v>
      </c>
      <c r="BN592">
        <f>Tabla1[[#This Row],[precio del paquete]]</f>
        <v>14800</v>
      </c>
      <c r="BO592" t="s">
        <v>1</v>
      </c>
      <c r="BP592" t="s">
        <v>1</v>
      </c>
      <c r="BQ592" t="s">
        <v>1</v>
      </c>
      <c r="BR592" t="s">
        <v>1</v>
      </c>
      <c r="BS592" t="s">
        <v>1</v>
      </c>
      <c r="BT592" t="s">
        <v>1</v>
      </c>
      <c r="BU592" t="s">
        <v>1</v>
      </c>
      <c r="BV592" t="s">
        <v>1</v>
      </c>
      <c r="BW592" t="s">
        <v>0</v>
      </c>
      <c r="BX592" t="s">
        <v>1</v>
      </c>
      <c r="BY592" t="s">
        <v>1</v>
      </c>
      <c r="BZ592" t="s">
        <v>1</v>
      </c>
      <c r="CA592" t="s">
        <v>1</v>
      </c>
      <c r="CB592" t="s">
        <v>3382</v>
      </c>
      <c r="CD592" t="str" cm="1">
        <f t="array" aca="1" ref="CD592" ca="1">eConcatenar(A592:CB592,"|")</f>
        <v>7pEPpVjv3L8fH184|CAR2021-2212|3|MEMORIAL|TABASCO |CARDENAS|CARDENAS|2021-05-28|14800|0|100|50|1|0|0|0|0|0|0|0|0|0|0||0|0|0|PALACIOS||ARMANDO LOPEZ|SOLTERO|X|X|CARRETERA CARDENAS A COMALCALCO |RANCHERIA MIGUEL HIDALGO  PRIMERA SECCION |X|9371323963|X|X|X|CARRETERA CARDENAS A COMALCALCO |X|LUNES|x|x|x|x|x|DOMICILIO |800|14000|X|X|X|2021-07-21|2021-07-28|x|x|x|x|x|QX002LYO9KVTQO|x|HOMBRE|X|14800|X|X|X|X|X|X|X|X|CARDENAS|X|X|X|X|FINAL</v>
      </c>
    </row>
    <row r="593" spans="1:82" x14ac:dyDescent="0.25">
      <c r="A593" t="s">
        <v>1288</v>
      </c>
      <c r="B593" t="s">
        <v>1289</v>
      </c>
      <c r="C593">
        <v>3</v>
      </c>
      <c r="D593" t="s">
        <v>1369</v>
      </c>
      <c r="E593" t="s">
        <v>12</v>
      </c>
      <c r="F593" t="s">
        <v>0</v>
      </c>
      <c r="G593" t="s">
        <v>0</v>
      </c>
      <c r="H593" t="s">
        <v>1593</v>
      </c>
      <c r="I593">
        <v>14800</v>
      </c>
      <c r="J593">
        <v>0</v>
      </c>
      <c r="K593">
        <v>100</v>
      </c>
      <c r="L593">
        <v>50</v>
      </c>
      <c r="M593">
        <v>1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Y593">
        <v>0</v>
      </c>
      <c r="Z593">
        <v>0</v>
      </c>
      <c r="AA593">
        <v>0</v>
      </c>
      <c r="AB593" t="s">
        <v>1711</v>
      </c>
      <c r="AC593" t="s">
        <v>1708</v>
      </c>
      <c r="AD593" t="s">
        <v>2407</v>
      </c>
      <c r="AE593" t="s">
        <v>4</v>
      </c>
      <c r="AF593" t="s">
        <v>1</v>
      </c>
      <c r="AG593" t="s">
        <v>1</v>
      </c>
      <c r="AH593" t="s">
        <v>2945</v>
      </c>
      <c r="AI593" t="s">
        <v>3233</v>
      </c>
      <c r="AJ593" t="s">
        <v>1</v>
      </c>
      <c r="AK593">
        <v>9371295572</v>
      </c>
      <c r="AL593" t="s">
        <v>1</v>
      </c>
      <c r="AM593" t="s">
        <v>1</v>
      </c>
      <c r="AN593" t="s">
        <v>1</v>
      </c>
      <c r="AO593" t="s">
        <v>2945</v>
      </c>
      <c r="AP593" t="s">
        <v>1</v>
      </c>
      <c r="AQ593" t="s">
        <v>2</v>
      </c>
      <c r="AR593" t="s">
        <v>3</v>
      </c>
      <c r="AS593" t="s">
        <v>3</v>
      </c>
      <c r="AT593" t="s">
        <v>3</v>
      </c>
      <c r="AU593" t="s">
        <v>3</v>
      </c>
      <c r="AV593" t="s">
        <v>3</v>
      </c>
      <c r="AW593" t="s">
        <v>11</v>
      </c>
      <c r="AX593">
        <f>Tabla1[[#This Row],[precio del paquete]]-Tabla1[[#This Row],[Saldo_Deudor]]</f>
        <v>6300</v>
      </c>
      <c r="AY593">
        <v>8500</v>
      </c>
      <c r="AZ593" t="s">
        <v>1</v>
      </c>
      <c r="BA593" t="s">
        <v>1</v>
      </c>
      <c r="BB593" t="s">
        <v>1</v>
      </c>
      <c r="BC593" t="s">
        <v>1658</v>
      </c>
      <c r="BD593" t="s">
        <v>3340</v>
      </c>
      <c r="BE593" t="s">
        <v>3</v>
      </c>
      <c r="BF593" t="s">
        <v>3</v>
      </c>
      <c r="BG593" t="s">
        <v>3</v>
      </c>
      <c r="BH593" t="s">
        <v>3</v>
      </c>
      <c r="BI593" t="s">
        <v>3</v>
      </c>
      <c r="BJ593" t="s">
        <v>3362</v>
      </c>
      <c r="BK593" t="s">
        <v>3</v>
      </c>
      <c r="BL593" t="s">
        <v>132</v>
      </c>
      <c r="BM593" t="s">
        <v>1</v>
      </c>
      <c r="BN593">
        <f>Tabla1[[#This Row],[precio del paquete]]</f>
        <v>14800</v>
      </c>
      <c r="BO593" t="s">
        <v>1</v>
      </c>
      <c r="BP593" t="s">
        <v>1</v>
      </c>
      <c r="BQ593" t="s">
        <v>1</v>
      </c>
      <c r="BR593" t="s">
        <v>1</v>
      </c>
      <c r="BS593" t="s">
        <v>1</v>
      </c>
      <c r="BT593" t="s">
        <v>1</v>
      </c>
      <c r="BU593" t="s">
        <v>1</v>
      </c>
      <c r="BV593" t="s">
        <v>1</v>
      </c>
      <c r="BW593" t="s">
        <v>0</v>
      </c>
      <c r="BX593" t="s">
        <v>1</v>
      </c>
      <c r="BY593" t="s">
        <v>1</v>
      </c>
      <c r="BZ593" t="s">
        <v>1</v>
      </c>
      <c r="CA593" t="s">
        <v>1</v>
      </c>
      <c r="CB593" t="s">
        <v>3382</v>
      </c>
      <c r="CD593" t="str" cm="1">
        <f t="array" aca="1" ref="CD593" ca="1">eConcatenar(A593:CB593,"|")</f>
        <v>VPLMx2mIAciSMuPQ|CAR2021-7051|3|MEMORIAL|TABASCO |CARDENAS|CARDENAS|2021-11-19|14800|0|100|50|1|0|0|0|0|0|0|0|0|0|0||0|0|0|HERNANDEZ||MICAELA HERNANDEZ|SOLTERO|X|X|CALLE REVOLUCION |COLONIA PUEBLO NUEVO |X|9371295572|X|X|X|CALLE REVOLUCION |X|LUNES|x|x|x|x|x|DOMICILIO |6300|8500|X|X|X|2022-01-08|2022-01-15|x|x|x|x|x|QX002LYO9KVTQO|x|HOMBRE|X|14800|X|X|X|X|X|X|X|X|CARDENAS|X|X|X|X|FINAL</v>
      </c>
    </row>
    <row r="594" spans="1:82" x14ac:dyDescent="0.25">
      <c r="A594" t="s">
        <v>1290</v>
      </c>
      <c r="B594" t="s">
        <v>1291</v>
      </c>
      <c r="C594">
        <v>3</v>
      </c>
      <c r="D594" t="s">
        <v>14</v>
      </c>
      <c r="E594" t="s">
        <v>12</v>
      </c>
      <c r="F594" t="s">
        <v>0</v>
      </c>
      <c r="G594" t="s">
        <v>0</v>
      </c>
      <c r="H594" t="s">
        <v>1679</v>
      </c>
      <c r="I594">
        <v>12900</v>
      </c>
      <c r="J594">
        <v>0</v>
      </c>
      <c r="K594">
        <v>200</v>
      </c>
      <c r="L594">
        <v>50</v>
      </c>
      <c r="M594">
        <v>1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Y594">
        <v>0</v>
      </c>
      <c r="Z594">
        <v>0</v>
      </c>
      <c r="AA594">
        <v>0</v>
      </c>
      <c r="AB594" t="s">
        <v>2301</v>
      </c>
      <c r="AC594" t="s">
        <v>1708</v>
      </c>
      <c r="AD594" t="s">
        <v>2408</v>
      </c>
      <c r="AE594" t="s">
        <v>4</v>
      </c>
      <c r="AF594" t="s">
        <v>1</v>
      </c>
      <c r="AG594" t="s">
        <v>1</v>
      </c>
      <c r="AH594" t="s">
        <v>2891</v>
      </c>
      <c r="AI594" t="s">
        <v>3117</v>
      </c>
      <c r="AJ594" t="s">
        <v>1</v>
      </c>
      <c r="AK594">
        <v>9371041635</v>
      </c>
      <c r="AL594" t="s">
        <v>1</v>
      </c>
      <c r="AM594" t="s">
        <v>1</v>
      </c>
      <c r="AN594" t="s">
        <v>1</v>
      </c>
      <c r="AO594" t="s">
        <v>2891</v>
      </c>
      <c r="AP594" t="s">
        <v>1</v>
      </c>
      <c r="AQ594" t="s">
        <v>2</v>
      </c>
      <c r="AR594" t="s">
        <v>3</v>
      </c>
      <c r="AS594" t="s">
        <v>3</v>
      </c>
      <c r="AT594" t="s">
        <v>3</v>
      </c>
      <c r="AU594" t="s">
        <v>3</v>
      </c>
      <c r="AV594" t="s">
        <v>3</v>
      </c>
      <c r="AW594" t="s">
        <v>11</v>
      </c>
      <c r="AX594">
        <f>Tabla1[[#This Row],[precio del paquete]]-Tabla1[[#This Row],[Saldo_Deudor]]</f>
        <v>4000</v>
      </c>
      <c r="AY594">
        <v>8900</v>
      </c>
      <c r="AZ594" t="s">
        <v>1</v>
      </c>
      <c r="BA594" t="s">
        <v>1</v>
      </c>
      <c r="BB594" t="s">
        <v>1</v>
      </c>
      <c r="BC594" t="s">
        <v>3301</v>
      </c>
      <c r="BD594" t="s">
        <v>3341</v>
      </c>
      <c r="BE594" t="s">
        <v>3</v>
      </c>
      <c r="BF594" t="s">
        <v>3</v>
      </c>
      <c r="BG594" t="s">
        <v>3</v>
      </c>
      <c r="BH594" t="s">
        <v>3</v>
      </c>
      <c r="BI594" t="s">
        <v>3</v>
      </c>
      <c r="BJ594" t="s">
        <v>3362</v>
      </c>
      <c r="BK594" t="s">
        <v>3</v>
      </c>
      <c r="BL594" t="s">
        <v>132</v>
      </c>
      <c r="BM594" t="s">
        <v>1</v>
      </c>
      <c r="BN594">
        <f>Tabla1[[#This Row],[precio del paquete]]</f>
        <v>12900</v>
      </c>
      <c r="BO594" t="s">
        <v>1</v>
      </c>
      <c r="BP594" t="s">
        <v>1</v>
      </c>
      <c r="BQ594" t="s">
        <v>1</v>
      </c>
      <c r="BR594" t="s">
        <v>1</v>
      </c>
      <c r="BS594" t="s">
        <v>1</v>
      </c>
      <c r="BT594" t="s">
        <v>1</v>
      </c>
      <c r="BU594" t="s">
        <v>1</v>
      </c>
      <c r="BV594" t="s">
        <v>1</v>
      </c>
      <c r="BW594" t="s">
        <v>0</v>
      </c>
      <c r="BX594" t="s">
        <v>1</v>
      </c>
      <c r="BY594" t="s">
        <v>1</v>
      </c>
      <c r="BZ594" t="s">
        <v>1</v>
      </c>
      <c r="CA594" t="s">
        <v>1</v>
      </c>
      <c r="CB594" t="s">
        <v>3382</v>
      </c>
      <c r="CD594" t="str" cm="1">
        <f t="array" aca="1" ref="CD594" ca="1">eConcatenar(A594:CB594,"|")</f>
        <v>j2QUwljnEp3yGbfZ|CAR2020-0279|3|ECONOLINE |TABASCO |CARDENAS|CARDENAS|2020-01-29|12900|0|200|50|1|0|0|0|0|0|0|0|0|0|0||0|0|0|SOSA||ARTURO CADENA|SOLTERO|X|X|CALLE RUMANIA |COLONIA JACINTO LOPEZ |X|9371041635|X|X|X|CALLE RUMANIA |X|LUNES|x|x|x|x|x|DOMICILIO |4000|8900|X|X|X|2021-07-08|2021-07-15|x|x|x|x|x|QX002LYO9KVTQO|x|HOMBRE|X|12900|X|X|X|X|X|X|X|X|CARDENAS|X|X|X|X|FINAL</v>
      </c>
    </row>
    <row r="595" spans="1:82" x14ac:dyDescent="0.25">
      <c r="A595" t="s">
        <v>1292</v>
      </c>
      <c r="B595" t="s">
        <v>1293</v>
      </c>
      <c r="C595">
        <v>3</v>
      </c>
      <c r="D595" t="s">
        <v>1368</v>
      </c>
      <c r="E595" t="s">
        <v>12</v>
      </c>
      <c r="F595" t="s">
        <v>0</v>
      </c>
      <c r="G595" t="s">
        <v>0</v>
      </c>
      <c r="H595" t="s">
        <v>1518</v>
      </c>
      <c r="I595">
        <v>24500</v>
      </c>
      <c r="J595">
        <v>0</v>
      </c>
      <c r="K595">
        <v>200</v>
      </c>
      <c r="L595">
        <v>50</v>
      </c>
      <c r="M595">
        <v>1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Y595">
        <v>0</v>
      </c>
      <c r="Z595">
        <v>0</v>
      </c>
      <c r="AA595">
        <v>0</v>
      </c>
      <c r="AB595" t="s">
        <v>2409</v>
      </c>
      <c r="AC595" t="s">
        <v>1708</v>
      </c>
      <c r="AD595" t="s">
        <v>2410</v>
      </c>
      <c r="AE595" t="s">
        <v>4</v>
      </c>
      <c r="AF595" t="s">
        <v>1</v>
      </c>
      <c r="AG595" t="s">
        <v>1</v>
      </c>
      <c r="AH595" t="s">
        <v>2946</v>
      </c>
      <c r="AI595" t="s">
        <v>3112</v>
      </c>
      <c r="AJ595" t="s">
        <v>1</v>
      </c>
      <c r="AK595">
        <v>9371532923</v>
      </c>
      <c r="AL595" t="s">
        <v>1</v>
      </c>
      <c r="AM595" t="s">
        <v>1</v>
      </c>
      <c r="AN595" t="s">
        <v>1</v>
      </c>
      <c r="AO595" t="s">
        <v>2946</v>
      </c>
      <c r="AP595" t="s">
        <v>1</v>
      </c>
      <c r="AQ595" t="s">
        <v>2</v>
      </c>
      <c r="AR595" t="s">
        <v>3</v>
      </c>
      <c r="AS595" t="s">
        <v>3</v>
      </c>
      <c r="AT595" t="s">
        <v>3</v>
      </c>
      <c r="AU595" t="s">
        <v>3</v>
      </c>
      <c r="AV595" t="s">
        <v>3</v>
      </c>
      <c r="AW595" t="s">
        <v>11</v>
      </c>
      <c r="AX595">
        <f>Tabla1[[#This Row],[precio del paquete]]-Tabla1[[#This Row],[Saldo_Deudor]]</f>
        <v>600</v>
      </c>
      <c r="AY595">
        <v>23900</v>
      </c>
      <c r="AZ595" t="s">
        <v>1</v>
      </c>
      <c r="BA595" t="s">
        <v>1</v>
      </c>
      <c r="BB595" t="s">
        <v>1</v>
      </c>
      <c r="BC595" t="s">
        <v>1455</v>
      </c>
      <c r="BD595" t="s">
        <v>3342</v>
      </c>
      <c r="BE595" t="s">
        <v>3</v>
      </c>
      <c r="BF595" t="s">
        <v>3</v>
      </c>
      <c r="BG595" t="s">
        <v>3</v>
      </c>
      <c r="BH595" t="s">
        <v>3</v>
      </c>
      <c r="BI595" t="s">
        <v>3</v>
      </c>
      <c r="BJ595" t="s">
        <v>3362</v>
      </c>
      <c r="BK595" t="s">
        <v>3</v>
      </c>
      <c r="BL595" t="s">
        <v>132</v>
      </c>
      <c r="BM595" t="s">
        <v>1</v>
      </c>
      <c r="BN595">
        <f>Tabla1[[#This Row],[precio del paquete]]</f>
        <v>24500</v>
      </c>
      <c r="BO595" t="s">
        <v>1</v>
      </c>
      <c r="BP595" t="s">
        <v>1</v>
      </c>
      <c r="BQ595" t="s">
        <v>1</v>
      </c>
      <c r="BR595" t="s">
        <v>1</v>
      </c>
      <c r="BS595" t="s">
        <v>1</v>
      </c>
      <c r="BT595" t="s">
        <v>1</v>
      </c>
      <c r="BU595" t="s">
        <v>1</v>
      </c>
      <c r="BV595" t="s">
        <v>1</v>
      </c>
      <c r="BW595" t="s">
        <v>0</v>
      </c>
      <c r="BX595" t="s">
        <v>1</v>
      </c>
      <c r="BY595" t="s">
        <v>1</v>
      </c>
      <c r="BZ595" t="s">
        <v>1</v>
      </c>
      <c r="CA595" t="s">
        <v>1</v>
      </c>
      <c r="CB595" t="s">
        <v>3382</v>
      </c>
      <c r="CD595" t="str" cm="1">
        <f t="array" aca="1" ref="CD595" ca="1">eConcatenar(A595:CB595,"|")</f>
        <v>7O4dYTgH2yeAMXmW|CAR2021-7071|3|DIGNITY|TABASCO |CARDENAS|CARDENAS|2021-11-20|24500|0|200|50|1|0|0|0|0|0|0|0|0|0|0||0|0|0|LUGO||YADIRA CARBALLO|SOLTERO|X|X|CALLE SECCION 29|COLONIA PETROLERA|X|9371532923|X|X|X|CALLE SECCION 29|X|LUNES|x|x|x|x|x|DOMICILIO |600|23900|X|X|X|2021-12-09|2021-12-16|x|x|x|x|x|QX002LYO9KVTQO|x|HOMBRE|X|24500|X|X|X|X|X|X|X|X|CARDENAS|X|X|X|X|FINAL</v>
      </c>
    </row>
    <row r="596" spans="1:82" x14ac:dyDescent="0.25">
      <c r="A596" t="s">
        <v>1294</v>
      </c>
      <c r="B596" t="s">
        <v>1295</v>
      </c>
      <c r="C596">
        <v>3</v>
      </c>
      <c r="D596" t="s">
        <v>1369</v>
      </c>
      <c r="E596" t="s">
        <v>12</v>
      </c>
      <c r="F596" t="s">
        <v>0</v>
      </c>
      <c r="G596" t="s">
        <v>0</v>
      </c>
      <c r="H596" t="s">
        <v>1604</v>
      </c>
      <c r="I596">
        <v>14800</v>
      </c>
      <c r="J596">
        <v>0</v>
      </c>
      <c r="K596">
        <v>100</v>
      </c>
      <c r="L596">
        <v>50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Y596">
        <v>0</v>
      </c>
      <c r="Z596">
        <v>0</v>
      </c>
      <c r="AA596">
        <v>0</v>
      </c>
      <c r="AB596" t="s">
        <v>1736</v>
      </c>
      <c r="AC596" t="s">
        <v>1708</v>
      </c>
      <c r="AD596" t="s">
        <v>2411</v>
      </c>
      <c r="AE596" t="s">
        <v>4</v>
      </c>
      <c r="AF596" t="s">
        <v>1</v>
      </c>
      <c r="AG596" t="s">
        <v>1</v>
      </c>
      <c r="AH596" t="s">
        <v>2947</v>
      </c>
      <c r="AI596" t="s">
        <v>3117</v>
      </c>
      <c r="AJ596" t="s">
        <v>1</v>
      </c>
      <c r="AK596">
        <v>9371106484</v>
      </c>
      <c r="AL596" t="s">
        <v>1</v>
      </c>
      <c r="AM596" t="s">
        <v>1</v>
      </c>
      <c r="AN596" t="s">
        <v>1</v>
      </c>
      <c r="AO596" t="s">
        <v>2947</v>
      </c>
      <c r="AP596" t="s">
        <v>1</v>
      </c>
      <c r="AQ596" t="s">
        <v>2</v>
      </c>
      <c r="AR596" t="s">
        <v>3</v>
      </c>
      <c r="AS596" t="s">
        <v>3</v>
      </c>
      <c r="AT596" t="s">
        <v>3</v>
      </c>
      <c r="AU596" t="s">
        <v>3</v>
      </c>
      <c r="AV596" t="s">
        <v>3</v>
      </c>
      <c r="AW596" t="s">
        <v>11</v>
      </c>
      <c r="AX596">
        <f>Tabla1[[#This Row],[precio del paquete]]-Tabla1[[#This Row],[Saldo_Deudor]]</f>
        <v>1100</v>
      </c>
      <c r="AY596">
        <v>13700</v>
      </c>
      <c r="AZ596" t="s">
        <v>1</v>
      </c>
      <c r="BA596" t="s">
        <v>1</v>
      </c>
      <c r="BB596" t="s">
        <v>1</v>
      </c>
      <c r="BC596" t="s">
        <v>3300</v>
      </c>
      <c r="BD596" t="s">
        <v>3302</v>
      </c>
      <c r="BE596" t="s">
        <v>3</v>
      </c>
      <c r="BF596" t="s">
        <v>3</v>
      </c>
      <c r="BG596" t="s">
        <v>3</v>
      </c>
      <c r="BH596" t="s">
        <v>3</v>
      </c>
      <c r="BI596" t="s">
        <v>3</v>
      </c>
      <c r="BJ596" t="s">
        <v>3362</v>
      </c>
      <c r="BK596" t="s">
        <v>3</v>
      </c>
      <c r="BL596" t="s">
        <v>132</v>
      </c>
      <c r="BM596" t="s">
        <v>1</v>
      </c>
      <c r="BN596">
        <f>Tabla1[[#This Row],[precio del paquete]]</f>
        <v>14800</v>
      </c>
      <c r="BO596" t="s">
        <v>1</v>
      </c>
      <c r="BP596" t="s">
        <v>1</v>
      </c>
      <c r="BQ596" t="s">
        <v>1</v>
      </c>
      <c r="BR596" t="s">
        <v>1</v>
      </c>
      <c r="BS596" t="s">
        <v>1</v>
      </c>
      <c r="BT596" t="s">
        <v>1</v>
      </c>
      <c r="BU596" t="s">
        <v>1</v>
      </c>
      <c r="BV596" t="s">
        <v>1</v>
      </c>
      <c r="BW596" t="s">
        <v>0</v>
      </c>
      <c r="BX596" t="s">
        <v>1</v>
      </c>
      <c r="BY596" t="s">
        <v>1</v>
      </c>
      <c r="BZ596" t="s">
        <v>1</v>
      </c>
      <c r="CA596" t="s">
        <v>1</v>
      </c>
      <c r="CB596" t="s">
        <v>3382</v>
      </c>
      <c r="CD596" t="str" cm="1">
        <f t="array" aca="1" ref="CD596" ca="1">eConcatenar(A596:CB596,"|")</f>
        <v>McnVKFiYJ3jNFZfG|CAR2021-1649|3|MEMORIAL|TABASCO |CARDENAS|CARDENAS|2021-04-28|14800|0|100|50|1|0|0|0|0|0|0|0|0|0|0||0|0|0|AGUILAR||RIQUELME VENTURA|SOLTERO|X|X|CALLE ARABIA 7|COLONIA JACINTO LOPEZ |X|9371106484|X|X|X|CALLE ARABIA 7|X|LUNES|x|x|x|x|x|DOMICILIO |1100|13700|X|X|X|2021-07-21|2021-07-28|x|x|x|x|x|QX002LYO9KVTQO|x|HOMBRE|X|14800|X|X|X|X|X|X|X|X|CARDENAS|X|X|X|X|FINAL</v>
      </c>
    </row>
    <row r="597" spans="1:82" x14ac:dyDescent="0.25">
      <c r="A597" t="s">
        <v>1296</v>
      </c>
      <c r="B597" t="s">
        <v>1297</v>
      </c>
      <c r="C597">
        <v>3</v>
      </c>
      <c r="D597" t="s">
        <v>1369</v>
      </c>
      <c r="E597" t="s">
        <v>12</v>
      </c>
      <c r="F597" t="s">
        <v>0</v>
      </c>
      <c r="G597" t="s">
        <v>0</v>
      </c>
      <c r="H597" t="s">
        <v>1678</v>
      </c>
      <c r="I597">
        <v>14800</v>
      </c>
      <c r="J597">
        <v>0</v>
      </c>
      <c r="K597">
        <v>100</v>
      </c>
      <c r="L597">
        <v>50</v>
      </c>
      <c r="M597">
        <v>1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Y597">
        <v>0</v>
      </c>
      <c r="Z597">
        <v>0</v>
      </c>
      <c r="AA597">
        <v>0</v>
      </c>
      <c r="AB597" t="s">
        <v>2412</v>
      </c>
      <c r="AC597" t="s">
        <v>1708</v>
      </c>
      <c r="AD597" t="s">
        <v>2413</v>
      </c>
      <c r="AE597" t="s">
        <v>4</v>
      </c>
      <c r="AF597" t="s">
        <v>1</v>
      </c>
      <c r="AG597" t="s">
        <v>1</v>
      </c>
      <c r="AH597" t="s">
        <v>2462</v>
      </c>
      <c r="AI597" t="s">
        <v>3234</v>
      </c>
      <c r="AJ597" t="s">
        <v>1</v>
      </c>
      <c r="AK597">
        <v>9371833722</v>
      </c>
      <c r="AL597" t="s">
        <v>1</v>
      </c>
      <c r="AM597" t="s">
        <v>1</v>
      </c>
      <c r="AN597" t="s">
        <v>1</v>
      </c>
      <c r="AO597" t="s">
        <v>2462</v>
      </c>
      <c r="AP597" t="s">
        <v>1</v>
      </c>
      <c r="AQ597" t="s">
        <v>2</v>
      </c>
      <c r="AR597" t="s">
        <v>3</v>
      </c>
      <c r="AS597" t="s">
        <v>3</v>
      </c>
      <c r="AT597" t="s">
        <v>3</v>
      </c>
      <c r="AU597" t="s">
        <v>3</v>
      </c>
      <c r="AV597" t="s">
        <v>3</v>
      </c>
      <c r="AW597" t="s">
        <v>11</v>
      </c>
      <c r="AX597">
        <f>Tabla1[[#This Row],[precio del paquete]]-Tabla1[[#This Row],[Saldo_Deudor]]</f>
        <v>300</v>
      </c>
      <c r="AY597">
        <v>14500</v>
      </c>
      <c r="AZ597" t="s">
        <v>1</v>
      </c>
      <c r="BA597" t="s">
        <v>1</v>
      </c>
      <c r="BB597" t="s">
        <v>1</v>
      </c>
      <c r="BC597" t="s">
        <v>1451</v>
      </c>
      <c r="BD597" t="s">
        <v>3343</v>
      </c>
      <c r="BE597" t="s">
        <v>3</v>
      </c>
      <c r="BF597" t="s">
        <v>3</v>
      </c>
      <c r="BG597" t="s">
        <v>3</v>
      </c>
      <c r="BH597" t="s">
        <v>3</v>
      </c>
      <c r="BI597" t="s">
        <v>3</v>
      </c>
      <c r="BJ597" t="s">
        <v>3362</v>
      </c>
      <c r="BK597" t="s">
        <v>3</v>
      </c>
      <c r="BL597" t="s">
        <v>132</v>
      </c>
      <c r="BM597" t="s">
        <v>1</v>
      </c>
      <c r="BN597">
        <f>Tabla1[[#This Row],[precio del paquete]]</f>
        <v>14800</v>
      </c>
      <c r="BO597" t="s">
        <v>1</v>
      </c>
      <c r="BP597" t="s">
        <v>1</v>
      </c>
      <c r="BQ597" t="s">
        <v>1</v>
      </c>
      <c r="BR597" t="s">
        <v>1</v>
      </c>
      <c r="BS597" t="s">
        <v>1</v>
      </c>
      <c r="BT597" t="s">
        <v>1</v>
      </c>
      <c r="BU597" t="s">
        <v>1</v>
      </c>
      <c r="BV597" t="s">
        <v>1</v>
      </c>
      <c r="BW597" t="s">
        <v>0</v>
      </c>
      <c r="BX597" t="s">
        <v>1</v>
      </c>
      <c r="BY597" t="s">
        <v>1</v>
      </c>
      <c r="BZ597" t="s">
        <v>1</v>
      </c>
      <c r="CA597" t="s">
        <v>1</v>
      </c>
      <c r="CB597" t="s">
        <v>3382</v>
      </c>
      <c r="CD597" t="str" cm="1">
        <f t="array" aca="1" ref="CD597" ca="1">eConcatenar(A597:CB597,"|")</f>
        <v>0zKvedBvSnQBGGoS|CAR2021-5422|3|MEMORIAL|TABASCO |CARDENAS|CARDENAS|2021-09-17|14800|0|100|50|1|0|0|0|0|0|0|0|0|0|0||0|0|0|HENRY||MATIAS BRITO|SOLTERO|X|X|CALLE PRINCIPAL |EJIDO GENARO VAZQUEZ ROJAS |X|9371833722|X|X|X|CALLE PRINCIPAL |X|LUNES|x|x|x|x|x|DOMICILIO |300|14500|X|X|X|2021-11-11|2021-11-18|x|x|x|x|x|QX002LYO9KVTQO|x|HOMBRE|X|14800|X|X|X|X|X|X|X|X|CARDENAS|X|X|X|X|FINAL</v>
      </c>
    </row>
    <row r="598" spans="1:82" x14ac:dyDescent="0.25">
      <c r="A598" t="s">
        <v>1298</v>
      </c>
      <c r="B598" t="s">
        <v>1299</v>
      </c>
      <c r="C598">
        <v>3</v>
      </c>
      <c r="D598" t="s">
        <v>121</v>
      </c>
      <c r="E598" t="s">
        <v>12</v>
      </c>
      <c r="F598" t="s">
        <v>0</v>
      </c>
      <c r="G598" t="s">
        <v>0</v>
      </c>
      <c r="H598" t="s">
        <v>1680</v>
      </c>
      <c r="I598">
        <v>12900</v>
      </c>
      <c r="J598">
        <v>0</v>
      </c>
      <c r="K598">
        <v>0</v>
      </c>
      <c r="L598">
        <v>50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Y598">
        <v>0</v>
      </c>
      <c r="Z598">
        <v>0</v>
      </c>
      <c r="AA598">
        <v>0</v>
      </c>
      <c r="AB598" t="s">
        <v>2414</v>
      </c>
      <c r="AC598" t="s">
        <v>2405</v>
      </c>
      <c r="AD598" t="s">
        <v>2415</v>
      </c>
      <c r="AE598" t="s">
        <v>4</v>
      </c>
      <c r="AF598" t="s">
        <v>1</v>
      </c>
      <c r="AG598" t="s">
        <v>1</v>
      </c>
      <c r="AH598" t="s">
        <v>2948</v>
      </c>
      <c r="AI598" t="s">
        <v>3235</v>
      </c>
      <c r="AJ598" t="s">
        <v>1</v>
      </c>
      <c r="AK598" t="s">
        <v>1</v>
      </c>
      <c r="AL598" t="s">
        <v>1</v>
      </c>
      <c r="AM598" t="s">
        <v>1</v>
      </c>
      <c r="AN598" t="s">
        <v>1</v>
      </c>
      <c r="AO598" t="s">
        <v>2948</v>
      </c>
      <c r="AP598" t="s">
        <v>1</v>
      </c>
      <c r="AQ598" t="s">
        <v>2</v>
      </c>
      <c r="AR598" t="s">
        <v>3</v>
      </c>
      <c r="AS598" t="s">
        <v>3</v>
      </c>
      <c r="AT598" t="s">
        <v>3</v>
      </c>
      <c r="AU598" t="s">
        <v>3</v>
      </c>
      <c r="AV598" t="s">
        <v>3</v>
      </c>
      <c r="AW598" t="s">
        <v>11</v>
      </c>
      <c r="AX598">
        <f>Tabla1[[#This Row],[precio del paquete]]-Tabla1[[#This Row],[Saldo_Deudor]]</f>
        <v>6200</v>
      </c>
      <c r="AY598">
        <v>6700</v>
      </c>
      <c r="AZ598" t="s">
        <v>1</v>
      </c>
      <c r="BA598" t="s">
        <v>1</v>
      </c>
      <c r="BB598" t="s">
        <v>1</v>
      </c>
      <c r="BC598" t="s">
        <v>1504</v>
      </c>
      <c r="BD598" t="s">
        <v>1425</v>
      </c>
      <c r="BE598" t="s">
        <v>3</v>
      </c>
      <c r="BF598" t="s">
        <v>3</v>
      </c>
      <c r="BG598" t="s">
        <v>3</v>
      </c>
      <c r="BH598" t="s">
        <v>3</v>
      </c>
      <c r="BI598" t="s">
        <v>3</v>
      </c>
      <c r="BJ598" t="s">
        <v>3362</v>
      </c>
      <c r="BK598" t="s">
        <v>3</v>
      </c>
      <c r="BL598" t="s">
        <v>132</v>
      </c>
      <c r="BM598" t="s">
        <v>1</v>
      </c>
      <c r="BN598">
        <f>Tabla1[[#This Row],[precio del paquete]]</f>
        <v>12900</v>
      </c>
      <c r="BO598" t="s">
        <v>1</v>
      </c>
      <c r="BP598" t="s">
        <v>1</v>
      </c>
      <c r="BQ598" t="s">
        <v>1</v>
      </c>
      <c r="BR598" t="s">
        <v>1</v>
      </c>
      <c r="BS598" t="s">
        <v>1</v>
      </c>
      <c r="BT598" t="s">
        <v>1</v>
      </c>
      <c r="BU598" t="s">
        <v>1</v>
      </c>
      <c r="BV598" t="s">
        <v>1</v>
      </c>
      <c r="BW598" t="s">
        <v>0</v>
      </c>
      <c r="BX598" t="s">
        <v>1</v>
      </c>
      <c r="BY598" t="s">
        <v>1</v>
      </c>
      <c r="BZ598" t="s">
        <v>1</v>
      </c>
      <c r="CA598" t="s">
        <v>1</v>
      </c>
      <c r="CB598" t="s">
        <v>3382</v>
      </c>
      <c r="CD598" t="str" cm="1">
        <f t="array" aca="1" ref="CD598" ca="1">eConcatenar(A598:CB598,"|")</f>
        <v>hU0xDU1J7bLDuL9q|CAR2020-4233|3|IMPERIAL DE LUJO |TABASCO |CARDENAS|CARDENAS|2020-10-21|12900|0|0|50|1|0|0|0|0|0|0|0|0|0|0||0|0|0|MOLINO|PALACIOS|VALERIA GUADALUPE|SOLTERO|X|X|ANDADOR HERNESTO |COLONIA INFONAVIT LOMA BONITA|X|X|X|X|X|ANDADOR HERNESTO |X|LUNES|x|x|x|x|x|DOMICILIO |6200|6700|X|X|X|2021-12-17|2021-12-24|x|x|x|x|x|QX002LYO9KVTQO|x|HOMBRE|X|12900|X|X|X|X|X|X|X|X|CARDENAS|X|X|X|X|FINAL</v>
      </c>
    </row>
    <row r="599" spans="1:82" x14ac:dyDescent="0.25">
      <c r="A599" t="s">
        <v>1300</v>
      </c>
      <c r="B599" t="s">
        <v>1301</v>
      </c>
      <c r="C599">
        <v>3</v>
      </c>
      <c r="D599" t="s">
        <v>1370</v>
      </c>
      <c r="E599" t="s">
        <v>12</v>
      </c>
      <c r="F599" t="s">
        <v>0</v>
      </c>
      <c r="G599" t="s">
        <v>0</v>
      </c>
      <c r="H599" t="s">
        <v>1453</v>
      </c>
      <c r="I599">
        <v>35000</v>
      </c>
      <c r="J599">
        <v>0</v>
      </c>
      <c r="K599">
        <v>200</v>
      </c>
      <c r="L599">
        <v>50</v>
      </c>
      <c r="M599">
        <v>1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Y599">
        <v>0</v>
      </c>
      <c r="Z599">
        <v>0</v>
      </c>
      <c r="AA599">
        <v>0</v>
      </c>
      <c r="AB599" t="s">
        <v>2022</v>
      </c>
      <c r="AC599" t="s">
        <v>2416</v>
      </c>
      <c r="AD599" t="s">
        <v>2417</v>
      </c>
      <c r="AE599" t="s">
        <v>4</v>
      </c>
      <c r="AF599" t="s">
        <v>1</v>
      </c>
      <c r="AG599" t="s">
        <v>1</v>
      </c>
      <c r="AH599" t="s">
        <v>2949</v>
      </c>
      <c r="AI599" t="s">
        <v>3233</v>
      </c>
      <c r="AJ599" t="s">
        <v>1</v>
      </c>
      <c r="AK599">
        <v>9371250285</v>
      </c>
      <c r="AL599" t="s">
        <v>1</v>
      </c>
      <c r="AM599" t="s">
        <v>1</v>
      </c>
      <c r="AN599" t="s">
        <v>1</v>
      </c>
      <c r="AO599" t="s">
        <v>2949</v>
      </c>
      <c r="AP599" t="s">
        <v>1</v>
      </c>
      <c r="AQ599" t="s">
        <v>2</v>
      </c>
      <c r="AR599" t="s">
        <v>3</v>
      </c>
      <c r="AS599" t="s">
        <v>3</v>
      </c>
      <c r="AT599" t="s">
        <v>3</v>
      </c>
      <c r="AU599" t="s">
        <v>3</v>
      </c>
      <c r="AV599" t="s">
        <v>3</v>
      </c>
      <c r="AW599" t="s">
        <v>11</v>
      </c>
      <c r="AX599">
        <f>Tabla1[[#This Row],[precio del paquete]]-Tabla1[[#This Row],[Saldo_Deudor]]</f>
        <v>600</v>
      </c>
      <c r="AY599">
        <v>34400</v>
      </c>
      <c r="AZ599" t="s">
        <v>1</v>
      </c>
      <c r="BA599" t="s">
        <v>1</v>
      </c>
      <c r="BB599" t="s">
        <v>1</v>
      </c>
      <c r="BC599" t="s">
        <v>1495</v>
      </c>
      <c r="BD599" t="s">
        <v>1515</v>
      </c>
      <c r="BE599" t="s">
        <v>3</v>
      </c>
      <c r="BF599" t="s">
        <v>3</v>
      </c>
      <c r="BG599" t="s">
        <v>3</v>
      </c>
      <c r="BH599" t="s">
        <v>3</v>
      </c>
      <c r="BI599" t="s">
        <v>3</v>
      </c>
      <c r="BJ599" t="s">
        <v>3362</v>
      </c>
      <c r="BK599" t="s">
        <v>3</v>
      </c>
      <c r="BL599" t="s">
        <v>132</v>
      </c>
      <c r="BM599" t="s">
        <v>1</v>
      </c>
      <c r="BN599">
        <f>Tabla1[[#This Row],[precio del paquete]]</f>
        <v>35000</v>
      </c>
      <c r="BO599" t="s">
        <v>1</v>
      </c>
      <c r="BP599" t="s">
        <v>1</v>
      </c>
      <c r="BQ599" t="s">
        <v>1</v>
      </c>
      <c r="BR599" t="s">
        <v>1</v>
      </c>
      <c r="BS599" t="s">
        <v>1</v>
      </c>
      <c r="BT599" t="s">
        <v>1</v>
      </c>
      <c r="BU599" t="s">
        <v>1</v>
      </c>
      <c r="BV599" t="s">
        <v>1</v>
      </c>
      <c r="BW599" t="s">
        <v>0</v>
      </c>
      <c r="BX599" t="s">
        <v>1</v>
      </c>
      <c r="BY599" t="s">
        <v>1</v>
      </c>
      <c r="BZ599" t="s">
        <v>1</v>
      </c>
      <c r="CA599" t="s">
        <v>1</v>
      </c>
      <c r="CB599" t="s">
        <v>3382</v>
      </c>
      <c r="CD599" t="str" cm="1">
        <f t="array" aca="1" ref="CD599" ca="1">eConcatenar(A599:CB599,"|")</f>
        <v>H5oEgJXPWFT6nP84|CAR2021-7009|3|DELUX|TABASCO |CARDENAS|CARDENAS|2021-11-16|35000|0|200|50|1|0|0|0|0|0|0|0|0|0|0||0|0|0|ISIDRO|GUTIERRES|DIANA ISABEL|SOLTERO|X|X|CALLE LEADRO ADRIANO |COLONIA PUEBLO NUEVO |X|9371250285|X|X|X|CALLE LEADRO ADRIANO |X|LUNES|x|x|x|x|x|DOMICILIO |600|34400|X|X|X|2021-12-08|2021-12-15|x|x|x|x|x|QX002LYO9KVTQO|x|HOMBRE|X|35000|X|X|X|X|X|X|X|X|CARDENAS|X|X|X|X|FINAL</v>
      </c>
    </row>
    <row r="600" spans="1:82" x14ac:dyDescent="0.25">
      <c r="A600" t="s">
        <v>1302</v>
      </c>
      <c r="B600" t="s">
        <v>1303</v>
      </c>
      <c r="C600">
        <v>3</v>
      </c>
      <c r="D600" t="s">
        <v>1369</v>
      </c>
      <c r="E600" t="s">
        <v>12</v>
      </c>
      <c r="F600" t="s">
        <v>0</v>
      </c>
      <c r="G600" t="s">
        <v>0</v>
      </c>
      <c r="H600" t="s">
        <v>1669</v>
      </c>
      <c r="I600">
        <v>14800</v>
      </c>
      <c r="J600">
        <v>0</v>
      </c>
      <c r="K600">
        <v>50</v>
      </c>
      <c r="L600">
        <v>50</v>
      </c>
      <c r="M600">
        <v>1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Y600">
        <v>0</v>
      </c>
      <c r="Z600">
        <v>0</v>
      </c>
      <c r="AA600">
        <v>0</v>
      </c>
      <c r="AB600" t="s">
        <v>8</v>
      </c>
      <c r="AC600" t="s">
        <v>1708</v>
      </c>
      <c r="AD600" t="s">
        <v>2418</v>
      </c>
      <c r="AE600" t="s">
        <v>4</v>
      </c>
      <c r="AF600" t="s">
        <v>1</v>
      </c>
      <c r="AG600" t="s">
        <v>1</v>
      </c>
      <c r="AH600" t="s">
        <v>2950</v>
      </c>
      <c r="AI600" t="s">
        <v>3236</v>
      </c>
      <c r="AJ600" t="s">
        <v>1</v>
      </c>
      <c r="AK600">
        <v>9841871169</v>
      </c>
      <c r="AL600" t="s">
        <v>1</v>
      </c>
      <c r="AM600" t="s">
        <v>1</v>
      </c>
      <c r="AN600" t="s">
        <v>1</v>
      </c>
      <c r="AO600" t="s">
        <v>2950</v>
      </c>
      <c r="AP600" t="s">
        <v>1</v>
      </c>
      <c r="AQ600" t="s">
        <v>2</v>
      </c>
      <c r="AR600" t="s">
        <v>3</v>
      </c>
      <c r="AS600" t="s">
        <v>3</v>
      </c>
      <c r="AT600" t="s">
        <v>3</v>
      </c>
      <c r="AU600" t="s">
        <v>3</v>
      </c>
      <c r="AV600" t="s">
        <v>3</v>
      </c>
      <c r="AW600" t="s">
        <v>11</v>
      </c>
      <c r="AX600">
        <f>Tabla1[[#This Row],[precio del paquete]]-Tabla1[[#This Row],[Saldo_Deudor]]</f>
        <v>50</v>
      </c>
      <c r="AY600">
        <v>14750</v>
      </c>
      <c r="AZ600" t="s">
        <v>1</v>
      </c>
      <c r="BA600" t="s">
        <v>1</v>
      </c>
      <c r="BB600" t="s">
        <v>1</v>
      </c>
      <c r="BC600" t="s">
        <v>1669</v>
      </c>
      <c r="BD600" t="s">
        <v>1443</v>
      </c>
      <c r="BE600" t="s">
        <v>3</v>
      </c>
      <c r="BF600" t="s">
        <v>3</v>
      </c>
      <c r="BG600" t="s">
        <v>3</v>
      </c>
      <c r="BH600" t="s">
        <v>3</v>
      </c>
      <c r="BI600" t="s">
        <v>3</v>
      </c>
      <c r="BJ600" t="s">
        <v>3362</v>
      </c>
      <c r="BK600" t="s">
        <v>3</v>
      </c>
      <c r="BL600" t="s">
        <v>132</v>
      </c>
      <c r="BM600" t="s">
        <v>1</v>
      </c>
      <c r="BN600">
        <f>Tabla1[[#This Row],[precio del paquete]]</f>
        <v>14800</v>
      </c>
      <c r="BO600" t="s">
        <v>1</v>
      </c>
      <c r="BP600" t="s">
        <v>1</v>
      </c>
      <c r="BQ600" t="s">
        <v>1</v>
      </c>
      <c r="BR600" t="s">
        <v>1</v>
      </c>
      <c r="BS600" t="s">
        <v>1</v>
      </c>
      <c r="BT600" t="s">
        <v>1</v>
      </c>
      <c r="BU600" t="s">
        <v>1</v>
      </c>
      <c r="BV600" t="s">
        <v>1</v>
      </c>
      <c r="BW600" t="s">
        <v>0</v>
      </c>
      <c r="BX600" t="s">
        <v>1</v>
      </c>
      <c r="BY600" t="s">
        <v>1</v>
      </c>
      <c r="BZ600" t="s">
        <v>1</v>
      </c>
      <c r="CA600" t="s">
        <v>1</v>
      </c>
      <c r="CB600" t="s">
        <v>3382</v>
      </c>
      <c r="CD600" t="str" cm="1">
        <f t="array" aca="1" ref="CD600" ca="1">eConcatenar(A600:CB600,"|")</f>
        <v>O2z67ZyPAfH50fAa|CAR2021-6602|3|MEMORIAL|TABASCO |CARDENAS|CARDENAS|2021-10-30|14800|0|50|50|1|0|0|0|0|0|0|0|0|0|0||0|0|0|GOMEZ||ALFREDO CADENAS|SOLTERO|X|X|CALLE RODOLFO FIERRO |COLONIA GENERAL FRANCISCO VILLA |X|9841871169|X|X|X|CALLE RODOLFO FIERRO |X|LUNES|x|x|x|x|x|DOMICILIO |50|14750|X|X|X|2021-10-30|2021-11-06|x|x|x|x|x|QX002LYO9KVTQO|x|HOMBRE|X|14800|X|X|X|X|X|X|X|X|CARDENAS|X|X|X|X|FINAL</v>
      </c>
    </row>
    <row r="601" spans="1:82" x14ac:dyDescent="0.25">
      <c r="A601" t="s">
        <v>1304</v>
      </c>
      <c r="B601" t="s">
        <v>1305</v>
      </c>
      <c r="C601">
        <v>3</v>
      </c>
      <c r="D601" t="s">
        <v>1369</v>
      </c>
      <c r="E601" t="s">
        <v>12</v>
      </c>
      <c r="F601" t="s">
        <v>0</v>
      </c>
      <c r="G601" t="s">
        <v>0</v>
      </c>
      <c r="H601" t="s">
        <v>1511</v>
      </c>
      <c r="I601">
        <v>14800</v>
      </c>
      <c r="J601">
        <v>0</v>
      </c>
      <c r="K601">
        <v>100</v>
      </c>
      <c r="L601">
        <v>50</v>
      </c>
      <c r="M601">
        <v>1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Y601">
        <v>0</v>
      </c>
      <c r="Z601">
        <v>0</v>
      </c>
      <c r="AA601">
        <v>0</v>
      </c>
      <c r="AB601" t="s">
        <v>1727</v>
      </c>
      <c r="AC601" t="s">
        <v>1708</v>
      </c>
      <c r="AD601" t="s">
        <v>1982</v>
      </c>
      <c r="AE601" t="s">
        <v>4</v>
      </c>
      <c r="AF601" t="s">
        <v>1</v>
      </c>
      <c r="AG601" t="s">
        <v>1</v>
      </c>
      <c r="AH601" t="s">
        <v>2951</v>
      </c>
      <c r="AI601" t="s">
        <v>3137</v>
      </c>
      <c r="AJ601" t="s">
        <v>1</v>
      </c>
      <c r="AK601" t="s">
        <v>1</v>
      </c>
      <c r="AL601" t="s">
        <v>1</v>
      </c>
      <c r="AM601" t="s">
        <v>1</v>
      </c>
      <c r="AN601" t="s">
        <v>1</v>
      </c>
      <c r="AO601" t="s">
        <v>2951</v>
      </c>
      <c r="AP601" t="s">
        <v>1</v>
      </c>
      <c r="AQ601" t="s">
        <v>2</v>
      </c>
      <c r="AR601" t="s">
        <v>3</v>
      </c>
      <c r="AS601" t="s">
        <v>3</v>
      </c>
      <c r="AT601" t="s">
        <v>3</v>
      </c>
      <c r="AU601" t="s">
        <v>3</v>
      </c>
      <c r="AV601" t="s">
        <v>3</v>
      </c>
      <c r="AW601" t="s">
        <v>11</v>
      </c>
      <c r="AX601">
        <f>Tabla1[[#This Row],[precio del paquete]]-Tabla1[[#This Row],[Saldo_Deudor]]</f>
        <v>300</v>
      </c>
      <c r="AY601">
        <v>14500</v>
      </c>
      <c r="AZ601" t="s">
        <v>1</v>
      </c>
      <c r="BA601" t="s">
        <v>1</v>
      </c>
      <c r="BB601" t="s">
        <v>1</v>
      </c>
      <c r="BC601" t="s">
        <v>1448</v>
      </c>
      <c r="BD601" t="s">
        <v>3344</v>
      </c>
      <c r="BE601" t="s">
        <v>3</v>
      </c>
      <c r="BF601" t="s">
        <v>3</v>
      </c>
      <c r="BG601" t="s">
        <v>3</v>
      </c>
      <c r="BH601" t="s">
        <v>3</v>
      </c>
      <c r="BI601" t="s">
        <v>3</v>
      </c>
      <c r="BJ601" t="s">
        <v>3362</v>
      </c>
      <c r="BK601" t="s">
        <v>3</v>
      </c>
      <c r="BL601" t="s">
        <v>132</v>
      </c>
      <c r="BM601" t="s">
        <v>1</v>
      </c>
      <c r="BN601">
        <f>Tabla1[[#This Row],[precio del paquete]]</f>
        <v>14800</v>
      </c>
      <c r="BO601" t="s">
        <v>1</v>
      </c>
      <c r="BP601" t="s">
        <v>1</v>
      </c>
      <c r="BQ601" t="s">
        <v>1</v>
      </c>
      <c r="BR601" t="s">
        <v>1</v>
      </c>
      <c r="BS601" t="s">
        <v>1</v>
      </c>
      <c r="BT601" t="s">
        <v>1</v>
      </c>
      <c r="BU601" t="s">
        <v>1</v>
      </c>
      <c r="BV601" t="s">
        <v>1</v>
      </c>
      <c r="BW601" t="s">
        <v>0</v>
      </c>
      <c r="BX601" t="s">
        <v>1</v>
      </c>
      <c r="BY601" t="s">
        <v>1</v>
      </c>
      <c r="BZ601" t="s">
        <v>1</v>
      </c>
      <c r="CA601" t="s">
        <v>1</v>
      </c>
      <c r="CB601" t="s">
        <v>3382</v>
      </c>
      <c r="CD601" t="str" cm="1">
        <f t="array" aca="1" ref="CD601" ca="1">eConcatenar(A601:CB601,"|")</f>
        <v>DgPuEIzvPcduLE0t|CAR2021-5439|3|MEMORIAL|TABASCO |CARDENAS|CARDENAS|2021-09-18|14800|0|100|50|1|0|0|0|0|0|0|0|0|0|0||0|0|0|RIVERA||VERONICA LOPEZ|SOLTERO|X|X|ENTRADA A MIAHUTLAN |RANCHERIA MIAHUATLAN SEGUNDA SECCION |X|X|X|X|X|ENTRADA A MIAHUTLAN |X|LUNES|x|x|x|x|x|DOMICILIO |300|14500|X|X|X|2021-10-06|2021-10-13|x|x|x|x|x|QX002LYO9KVTQO|x|HOMBRE|X|14800|X|X|X|X|X|X|X|X|CARDENAS|X|X|X|X|FINAL</v>
      </c>
    </row>
    <row r="602" spans="1:82" x14ac:dyDescent="0.25">
      <c r="A602" t="s">
        <v>1306</v>
      </c>
      <c r="B602" t="s">
        <v>1307</v>
      </c>
      <c r="C602">
        <v>3</v>
      </c>
      <c r="D602" t="s">
        <v>14</v>
      </c>
      <c r="E602" t="s">
        <v>12</v>
      </c>
      <c r="F602" t="s">
        <v>0</v>
      </c>
      <c r="G602" t="s">
        <v>0</v>
      </c>
      <c r="H602" t="s">
        <v>1414</v>
      </c>
      <c r="I602">
        <v>12900</v>
      </c>
      <c r="J602">
        <v>0</v>
      </c>
      <c r="K602">
        <v>0</v>
      </c>
      <c r="L602">
        <v>50</v>
      </c>
      <c r="M602">
        <v>1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Y602">
        <v>0</v>
      </c>
      <c r="Z602">
        <v>0</v>
      </c>
      <c r="AA602">
        <v>0</v>
      </c>
      <c r="AB602" t="s">
        <v>2235</v>
      </c>
      <c r="AC602" t="s">
        <v>1708</v>
      </c>
      <c r="AD602" t="s">
        <v>2419</v>
      </c>
      <c r="AE602" t="s">
        <v>4</v>
      </c>
      <c r="AF602" t="s">
        <v>1</v>
      </c>
      <c r="AG602" t="s">
        <v>1</v>
      </c>
      <c r="AH602" t="s">
        <v>2952</v>
      </c>
      <c r="AI602" t="s">
        <v>3232</v>
      </c>
      <c r="AJ602" t="s">
        <v>1</v>
      </c>
      <c r="AK602">
        <v>9371046961</v>
      </c>
      <c r="AL602" t="s">
        <v>1</v>
      </c>
      <c r="AM602" t="s">
        <v>1</v>
      </c>
      <c r="AN602" t="s">
        <v>1</v>
      </c>
      <c r="AO602" t="s">
        <v>2952</v>
      </c>
      <c r="AP602" t="s">
        <v>1</v>
      </c>
      <c r="AQ602" t="s">
        <v>2</v>
      </c>
      <c r="AR602" t="s">
        <v>3</v>
      </c>
      <c r="AS602" t="s">
        <v>3</v>
      </c>
      <c r="AT602" t="s">
        <v>3</v>
      </c>
      <c r="AU602" t="s">
        <v>3</v>
      </c>
      <c r="AV602" t="s">
        <v>3</v>
      </c>
      <c r="AW602" t="s">
        <v>11</v>
      </c>
      <c r="AX602">
        <f>Tabla1[[#This Row],[precio del paquete]]-Tabla1[[#This Row],[Saldo_Deudor]]</f>
        <v>8000</v>
      </c>
      <c r="AY602">
        <v>4900</v>
      </c>
      <c r="AZ602" t="s">
        <v>1</v>
      </c>
      <c r="BA602" t="s">
        <v>1</v>
      </c>
      <c r="BB602" t="s">
        <v>1</v>
      </c>
      <c r="BC602" t="s">
        <v>1473</v>
      </c>
      <c r="BD602" t="s">
        <v>1625</v>
      </c>
      <c r="BE602" t="s">
        <v>3</v>
      </c>
      <c r="BF602" t="s">
        <v>3</v>
      </c>
      <c r="BG602" t="s">
        <v>3</v>
      </c>
      <c r="BH602" t="s">
        <v>3</v>
      </c>
      <c r="BI602" t="s">
        <v>3</v>
      </c>
      <c r="BJ602" t="s">
        <v>3362</v>
      </c>
      <c r="BK602" t="s">
        <v>3</v>
      </c>
      <c r="BL602" t="s">
        <v>132</v>
      </c>
      <c r="BM602" t="s">
        <v>1</v>
      </c>
      <c r="BN602">
        <f>Tabla1[[#This Row],[precio del paquete]]</f>
        <v>12900</v>
      </c>
      <c r="BO602" t="s">
        <v>1</v>
      </c>
      <c r="BP602" t="s">
        <v>1</v>
      </c>
      <c r="BQ602" t="s">
        <v>1</v>
      </c>
      <c r="BR602" t="s">
        <v>1</v>
      </c>
      <c r="BS602" t="s">
        <v>1</v>
      </c>
      <c r="BT602" t="s">
        <v>1</v>
      </c>
      <c r="BU602" t="s">
        <v>1</v>
      </c>
      <c r="BV602" t="s">
        <v>1</v>
      </c>
      <c r="BW602" t="s">
        <v>0</v>
      </c>
      <c r="BX602" t="s">
        <v>1</v>
      </c>
      <c r="BY602" t="s">
        <v>1</v>
      </c>
      <c r="BZ602" t="s">
        <v>1</v>
      </c>
      <c r="CA602" t="s">
        <v>1</v>
      </c>
      <c r="CB602" t="s">
        <v>3382</v>
      </c>
      <c r="CD602" t="str" cm="1">
        <f t="array" aca="1" ref="CD602" ca="1">eConcatenar(A602:CB602,"|")</f>
        <v>egYVNWtw3fU3sU9d|CAR2019-0233|3|ECONOLINE |TABASCO |CARDENAS|CARDENAS|2019-01-29|12900|0|0|50|1|0|0|0|0|0|0|0|0|0|0||0|0|0|TORREZ||MIGUEL HERNANDEZ|SOLTERO|X|X|CARRETERA CARENAS A COMALCALCO |RANCHERIA MIGUEL HIDALGO  PRIMERA SECCION |X|9371046961|X|X|X|CARRETERA CARENAS A COMALCALCO |X|LUNES|x|x|x|x|x|DOMICILIO |8000|4900|X|X|X|2021-01-08|2021-01-15|x|x|x|x|x|QX002LYO9KVTQO|x|HOMBRE|X|12900|X|X|X|X|X|X|X|X|CARDENAS|X|X|X|X|FINAL</v>
      </c>
    </row>
    <row r="603" spans="1:82" x14ac:dyDescent="0.25">
      <c r="A603" t="s">
        <v>1308</v>
      </c>
      <c r="B603" t="s">
        <v>1309</v>
      </c>
      <c r="C603">
        <v>3</v>
      </c>
      <c r="D603" t="s">
        <v>1369</v>
      </c>
      <c r="E603" t="s">
        <v>12</v>
      </c>
      <c r="F603" t="s">
        <v>0</v>
      </c>
      <c r="G603" t="s">
        <v>0</v>
      </c>
      <c r="H603" t="s">
        <v>1681</v>
      </c>
      <c r="I603">
        <v>14800</v>
      </c>
      <c r="J603">
        <v>0</v>
      </c>
      <c r="K603">
        <v>200</v>
      </c>
      <c r="L603">
        <v>50</v>
      </c>
      <c r="M603">
        <v>1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Y603">
        <v>0</v>
      </c>
      <c r="Z603">
        <v>0</v>
      </c>
      <c r="AA603">
        <v>0</v>
      </c>
      <c r="AB603" t="s">
        <v>2205</v>
      </c>
      <c r="AC603" t="s">
        <v>2151</v>
      </c>
      <c r="AD603" t="s">
        <v>2256</v>
      </c>
      <c r="AE603" t="s">
        <v>4</v>
      </c>
      <c r="AF603" t="s">
        <v>1</v>
      </c>
      <c r="AG603" t="s">
        <v>1</v>
      </c>
      <c r="AH603" t="s">
        <v>2603</v>
      </c>
      <c r="AI603" t="s">
        <v>3070</v>
      </c>
      <c r="AJ603" t="s">
        <v>1</v>
      </c>
      <c r="AK603">
        <v>9372277685</v>
      </c>
      <c r="AL603" t="s">
        <v>1</v>
      </c>
      <c r="AM603" t="s">
        <v>1</v>
      </c>
      <c r="AN603" t="s">
        <v>1</v>
      </c>
      <c r="AO603" t="s">
        <v>2603</v>
      </c>
      <c r="AP603" t="s">
        <v>1</v>
      </c>
      <c r="AQ603" t="s">
        <v>2</v>
      </c>
      <c r="AR603" t="s">
        <v>3</v>
      </c>
      <c r="AS603" t="s">
        <v>3</v>
      </c>
      <c r="AT603" t="s">
        <v>3</v>
      </c>
      <c r="AU603" t="s">
        <v>3</v>
      </c>
      <c r="AV603" t="s">
        <v>3</v>
      </c>
      <c r="AW603" t="s">
        <v>11</v>
      </c>
      <c r="AX603">
        <f>Tabla1[[#This Row],[precio del paquete]]-Tabla1[[#This Row],[Saldo_Deudor]]</f>
        <v>200</v>
      </c>
      <c r="AY603">
        <v>14600</v>
      </c>
      <c r="AZ603" t="s">
        <v>1</v>
      </c>
      <c r="BA603" t="s">
        <v>1</v>
      </c>
      <c r="BB603" t="s">
        <v>1</v>
      </c>
      <c r="BC603" t="s">
        <v>1681</v>
      </c>
      <c r="BD603" t="s">
        <v>1595</v>
      </c>
      <c r="BE603" t="s">
        <v>3</v>
      </c>
      <c r="BF603" t="s">
        <v>3</v>
      </c>
      <c r="BG603" t="s">
        <v>3</v>
      </c>
      <c r="BH603" t="s">
        <v>3</v>
      </c>
      <c r="BI603" t="s">
        <v>3</v>
      </c>
      <c r="BJ603" t="s">
        <v>3362</v>
      </c>
      <c r="BK603" t="s">
        <v>3</v>
      </c>
      <c r="BL603" t="s">
        <v>132</v>
      </c>
      <c r="BM603" t="s">
        <v>1</v>
      </c>
      <c r="BN603">
        <f>Tabla1[[#This Row],[precio del paquete]]</f>
        <v>14800</v>
      </c>
      <c r="BO603" t="s">
        <v>1</v>
      </c>
      <c r="BP603" t="s">
        <v>1</v>
      </c>
      <c r="BQ603" t="s">
        <v>1</v>
      </c>
      <c r="BR603" t="s">
        <v>1</v>
      </c>
      <c r="BS603" t="s">
        <v>1</v>
      </c>
      <c r="BT603" t="s">
        <v>1</v>
      </c>
      <c r="BU603" t="s">
        <v>1</v>
      </c>
      <c r="BV603" t="s">
        <v>1</v>
      </c>
      <c r="BW603" t="s">
        <v>0</v>
      </c>
      <c r="BX603" t="s">
        <v>1</v>
      </c>
      <c r="BY603" t="s">
        <v>1</v>
      </c>
      <c r="BZ603" t="s">
        <v>1</v>
      </c>
      <c r="CA603" t="s">
        <v>1</v>
      </c>
      <c r="CB603" t="s">
        <v>3382</v>
      </c>
      <c r="CD603" t="str" cm="1">
        <f t="array" aca="1" ref="CD603" ca="1">eConcatenar(A603:CB603,"|")</f>
        <v>VJ8zZIs8SC4rXVb0|CAR2021-3440|3|MEMORIAL|TABASCO |CARDENAS|CARDENAS|2021-07-12|14800|0|200|50|1|0|0|0|0|0|0|0|0|0|0||0|0|0|LARA|GONZALES|DEYSI|SOLTERO|X|X|CARRETERA PRINCIPAL |RANCHERIA ZAPOTAL TERCERA SECCION |X|9372277685|X|X|X|CARRETERA PRINCIPAL |X|LUNES|x|x|x|x|x|DOMICILIO |200|14600|X|X|X|2021-07-12|2021-07-19|x|x|x|x|x|QX002LYO9KVTQO|x|HOMBRE|X|14800|X|X|X|X|X|X|X|X|CARDENAS|X|X|X|X|FINAL</v>
      </c>
    </row>
    <row r="604" spans="1:82" x14ac:dyDescent="0.25">
      <c r="A604" t="s">
        <v>1310</v>
      </c>
      <c r="B604" t="s">
        <v>1311</v>
      </c>
      <c r="C604">
        <v>3</v>
      </c>
      <c r="D604" t="s">
        <v>1369</v>
      </c>
      <c r="E604" t="s">
        <v>12</v>
      </c>
      <c r="F604" t="s">
        <v>0</v>
      </c>
      <c r="G604" t="s">
        <v>0</v>
      </c>
      <c r="H604" t="s">
        <v>1682</v>
      </c>
      <c r="I604">
        <v>14800</v>
      </c>
      <c r="J604">
        <v>0</v>
      </c>
      <c r="K604">
        <v>100</v>
      </c>
      <c r="L604">
        <v>50</v>
      </c>
      <c r="M604">
        <v>1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Y604">
        <v>0</v>
      </c>
      <c r="Z604">
        <v>0</v>
      </c>
      <c r="AA604">
        <v>0</v>
      </c>
      <c r="AB604" t="s">
        <v>2420</v>
      </c>
      <c r="AC604" t="s">
        <v>1786</v>
      </c>
      <c r="AD604" t="s">
        <v>2421</v>
      </c>
      <c r="AE604" t="s">
        <v>4</v>
      </c>
      <c r="AF604" t="s">
        <v>1</v>
      </c>
      <c r="AG604" t="s">
        <v>1</v>
      </c>
      <c r="AH604" t="s">
        <v>2953</v>
      </c>
      <c r="AI604" t="s">
        <v>3233</v>
      </c>
      <c r="AJ604" t="s">
        <v>1</v>
      </c>
      <c r="AK604">
        <v>9712214174</v>
      </c>
      <c r="AL604" t="s">
        <v>1</v>
      </c>
      <c r="AM604" t="s">
        <v>1</v>
      </c>
      <c r="AN604" t="s">
        <v>1</v>
      </c>
      <c r="AO604" t="s">
        <v>2953</v>
      </c>
      <c r="AP604" t="s">
        <v>1</v>
      </c>
      <c r="AQ604" t="s">
        <v>2</v>
      </c>
      <c r="AR604" t="s">
        <v>3</v>
      </c>
      <c r="AS604" t="s">
        <v>3</v>
      </c>
      <c r="AT604" t="s">
        <v>3</v>
      </c>
      <c r="AU604" t="s">
        <v>3</v>
      </c>
      <c r="AV604" t="s">
        <v>3</v>
      </c>
      <c r="AW604" t="s">
        <v>11</v>
      </c>
      <c r="AX604">
        <f>Tabla1[[#This Row],[precio del paquete]]-Tabla1[[#This Row],[Saldo_Deudor]]</f>
        <v>900</v>
      </c>
      <c r="AY604">
        <v>13900</v>
      </c>
      <c r="AZ604" t="s">
        <v>1</v>
      </c>
      <c r="BA604" t="s">
        <v>1</v>
      </c>
      <c r="BB604" t="s">
        <v>1</v>
      </c>
      <c r="BC604" t="s">
        <v>3302</v>
      </c>
      <c r="BD604" t="s">
        <v>3345</v>
      </c>
      <c r="BE604" t="s">
        <v>3</v>
      </c>
      <c r="BF604" t="s">
        <v>3</v>
      </c>
      <c r="BG604" t="s">
        <v>3</v>
      </c>
      <c r="BH604" t="s">
        <v>3</v>
      </c>
      <c r="BI604" t="s">
        <v>3</v>
      </c>
      <c r="BJ604" t="s">
        <v>3362</v>
      </c>
      <c r="BK604" t="s">
        <v>3</v>
      </c>
      <c r="BL604" t="s">
        <v>132</v>
      </c>
      <c r="BM604" t="s">
        <v>1</v>
      </c>
      <c r="BN604">
        <f>Tabla1[[#This Row],[precio del paquete]]</f>
        <v>14800</v>
      </c>
      <c r="BO604" t="s">
        <v>1</v>
      </c>
      <c r="BP604" t="s">
        <v>1</v>
      </c>
      <c r="BQ604" t="s">
        <v>1</v>
      </c>
      <c r="BR604" t="s">
        <v>1</v>
      </c>
      <c r="BS604" t="s">
        <v>1</v>
      </c>
      <c r="BT604" t="s">
        <v>1</v>
      </c>
      <c r="BU604" t="s">
        <v>1</v>
      </c>
      <c r="BV604" t="s">
        <v>1</v>
      </c>
      <c r="BW604" t="s">
        <v>0</v>
      </c>
      <c r="BX604" t="s">
        <v>1</v>
      </c>
      <c r="BY604" t="s">
        <v>1</v>
      </c>
      <c r="BZ604" t="s">
        <v>1</v>
      </c>
      <c r="CA604" t="s">
        <v>1</v>
      </c>
      <c r="CB604" t="s">
        <v>3382</v>
      </c>
      <c r="CD604" t="str" cm="1">
        <f t="array" aca="1" ref="CD604" ca="1">eConcatenar(A604:CB604,"|")</f>
        <v>RslQhcC6JSKgC50c|CAR2021-1407|3|MEMORIAL|TABASCO |CARDENAS|CARDENAS|2021-04-15|14800|0|100|50|1|0|0|0|0|0|0|0|0|0|0||0|0|0|DE LA CRZ|MARTINEZ|JAIRO GEOVANY|SOLTERO|X|X|CALLE SANCHEZ MAGALLANES |COLONIA PUEBLO NUEVO |X|9712214174|X|X|X|CALLE SANCHEZ MAGALLANES |X|LUNES|x|x|x|x|x|DOMICILIO |900|13900|X|X|X|2021-07-28|2021-08-04|x|x|x|x|x|QX002LYO9KVTQO|x|HOMBRE|X|14800|X|X|X|X|X|X|X|X|CARDENAS|X|X|X|X|FINAL</v>
      </c>
    </row>
    <row r="605" spans="1:82" x14ac:dyDescent="0.25">
      <c r="A605" t="s">
        <v>1312</v>
      </c>
      <c r="B605" t="s">
        <v>1313</v>
      </c>
      <c r="C605">
        <v>3</v>
      </c>
      <c r="D605" t="s">
        <v>1369</v>
      </c>
      <c r="E605" t="s">
        <v>12</v>
      </c>
      <c r="F605" t="s">
        <v>0</v>
      </c>
      <c r="G605" t="s">
        <v>0</v>
      </c>
      <c r="H605" t="s">
        <v>1425</v>
      </c>
      <c r="I605">
        <v>14800</v>
      </c>
      <c r="J605">
        <v>0</v>
      </c>
      <c r="K605">
        <v>100</v>
      </c>
      <c r="L605">
        <v>50</v>
      </c>
      <c r="M605">
        <v>1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Y605">
        <v>0</v>
      </c>
      <c r="Z605">
        <v>0</v>
      </c>
      <c r="AA605">
        <v>0</v>
      </c>
      <c r="AB605" t="s">
        <v>1919</v>
      </c>
      <c r="AC605" t="s">
        <v>1708</v>
      </c>
      <c r="AD605" t="s">
        <v>2422</v>
      </c>
      <c r="AE605" t="s">
        <v>4</v>
      </c>
      <c r="AF605" t="s">
        <v>1</v>
      </c>
      <c r="AG605" t="s">
        <v>1</v>
      </c>
      <c r="AH605" t="s">
        <v>2462</v>
      </c>
      <c r="AI605" t="s">
        <v>3237</v>
      </c>
      <c r="AJ605" t="s">
        <v>1</v>
      </c>
      <c r="AK605">
        <v>93727118736</v>
      </c>
      <c r="AL605" t="s">
        <v>1</v>
      </c>
      <c r="AM605" t="s">
        <v>1</v>
      </c>
      <c r="AN605" t="s">
        <v>1</v>
      </c>
      <c r="AO605" t="s">
        <v>2462</v>
      </c>
      <c r="AP605" t="s">
        <v>1</v>
      </c>
      <c r="AQ605" t="s">
        <v>2</v>
      </c>
      <c r="AR605" t="s">
        <v>3</v>
      </c>
      <c r="AS605" t="s">
        <v>3</v>
      </c>
      <c r="AT605" t="s">
        <v>3</v>
      </c>
      <c r="AU605" t="s">
        <v>3</v>
      </c>
      <c r="AV605" t="s">
        <v>3</v>
      </c>
      <c r="AW605" t="s">
        <v>11</v>
      </c>
      <c r="AX605">
        <f>Tabla1[[#This Row],[precio del paquete]]-Tabla1[[#This Row],[Saldo_Deudor]]</f>
        <v>200</v>
      </c>
      <c r="AY605">
        <v>14600</v>
      </c>
      <c r="AZ605" t="s">
        <v>1</v>
      </c>
      <c r="BA605" t="s">
        <v>1</v>
      </c>
      <c r="BB605" t="s">
        <v>1</v>
      </c>
      <c r="BC605" t="s">
        <v>3303</v>
      </c>
      <c r="BD605" t="s">
        <v>3346</v>
      </c>
      <c r="BE605" t="s">
        <v>3</v>
      </c>
      <c r="BF605" t="s">
        <v>3</v>
      </c>
      <c r="BG605" t="s">
        <v>3</v>
      </c>
      <c r="BH605" t="s">
        <v>3</v>
      </c>
      <c r="BI605" t="s">
        <v>3</v>
      </c>
      <c r="BJ605" t="s">
        <v>3362</v>
      </c>
      <c r="BK605" t="s">
        <v>3</v>
      </c>
      <c r="BL605" t="s">
        <v>132</v>
      </c>
      <c r="BM605" t="s">
        <v>1</v>
      </c>
      <c r="BN605">
        <f>Tabla1[[#This Row],[precio del paquete]]</f>
        <v>14800</v>
      </c>
      <c r="BO605" t="s">
        <v>1</v>
      </c>
      <c r="BP605" t="s">
        <v>1</v>
      </c>
      <c r="BQ605" t="s">
        <v>1</v>
      </c>
      <c r="BR605" t="s">
        <v>1</v>
      </c>
      <c r="BS605" t="s">
        <v>1</v>
      </c>
      <c r="BT605" t="s">
        <v>1</v>
      </c>
      <c r="BU605" t="s">
        <v>1</v>
      </c>
      <c r="BV605" t="s">
        <v>1</v>
      </c>
      <c r="BW605" t="s">
        <v>0</v>
      </c>
      <c r="BX605" t="s">
        <v>1</v>
      </c>
      <c r="BY605" t="s">
        <v>1</v>
      </c>
      <c r="BZ605" t="s">
        <v>1</v>
      </c>
      <c r="CA605" t="s">
        <v>1</v>
      </c>
      <c r="CB605" t="s">
        <v>3382</v>
      </c>
      <c r="CD605" t="str" cm="1">
        <f t="array" aca="1" ref="CD605" ca="1">eConcatenar(A605:CB605,"|")</f>
        <v>hb2x7RRMVwtieFdF|CAR2021-7666|3|MEMORIAL|TABASCO |CARDENAS|CARDENAS|2021-12-24|14800|0|100|50|1|0|0|0|0|0|0|0|0|0|0||0|0|0|RAMIREZ||RAUL ULIN|SOLTERO|X|X|CALLE PRINCIPAL |RANCHERIA ARROYO HONDO ABEJONAL |X|93727118736|X|X|X|CALLE PRINCIPAL |X|LUNES|x|x|x|x|x|DOMICILIO |200|14600|X|X|X|2021-01-30|2021-02-06|x|x|x|x|x|QX002LYO9KVTQO|x|HOMBRE|X|14800|X|X|X|X|X|X|X|X|CARDENAS|X|X|X|X|FINAL</v>
      </c>
    </row>
    <row r="606" spans="1:82" x14ac:dyDescent="0.25">
      <c r="A606" t="s">
        <v>1314</v>
      </c>
      <c r="B606" t="s">
        <v>1315</v>
      </c>
      <c r="C606">
        <v>3</v>
      </c>
      <c r="D606" t="s">
        <v>14</v>
      </c>
      <c r="E606" t="s">
        <v>12</v>
      </c>
      <c r="F606" t="s">
        <v>0</v>
      </c>
      <c r="G606" t="s">
        <v>0</v>
      </c>
      <c r="H606" t="s">
        <v>1586</v>
      </c>
      <c r="I606">
        <v>12900</v>
      </c>
      <c r="J606">
        <v>0</v>
      </c>
      <c r="K606">
        <v>100</v>
      </c>
      <c r="L606">
        <v>50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Y606">
        <v>0</v>
      </c>
      <c r="Z606">
        <v>0</v>
      </c>
      <c r="AA606">
        <v>0</v>
      </c>
      <c r="AB606" t="s">
        <v>1931</v>
      </c>
      <c r="AC606" t="s">
        <v>1748</v>
      </c>
      <c r="AD606" t="s">
        <v>2423</v>
      </c>
      <c r="AE606" t="s">
        <v>4</v>
      </c>
      <c r="AF606" t="s">
        <v>1</v>
      </c>
      <c r="AG606" t="s">
        <v>1</v>
      </c>
      <c r="AH606" t="s">
        <v>2954</v>
      </c>
      <c r="AI606" t="s">
        <v>3238</v>
      </c>
      <c r="AJ606" t="s">
        <v>1</v>
      </c>
      <c r="AK606">
        <v>9371655819</v>
      </c>
      <c r="AL606" t="s">
        <v>1</v>
      </c>
      <c r="AM606" t="s">
        <v>1</v>
      </c>
      <c r="AN606" t="s">
        <v>1</v>
      </c>
      <c r="AO606" t="s">
        <v>2954</v>
      </c>
      <c r="AP606" t="s">
        <v>1</v>
      </c>
      <c r="AQ606" t="s">
        <v>2</v>
      </c>
      <c r="AR606" t="s">
        <v>3</v>
      </c>
      <c r="AS606" t="s">
        <v>3</v>
      </c>
      <c r="AT606" t="s">
        <v>3</v>
      </c>
      <c r="AU606" t="s">
        <v>3</v>
      </c>
      <c r="AV606" t="s">
        <v>3</v>
      </c>
      <c r="AW606" t="s">
        <v>11</v>
      </c>
      <c r="AX606">
        <f>Tabla1[[#This Row],[precio del paquete]]-Tabla1[[#This Row],[Saldo_Deudor]]</f>
        <v>0</v>
      </c>
      <c r="AY606">
        <v>12900</v>
      </c>
      <c r="AZ606" t="s">
        <v>1</v>
      </c>
      <c r="BA606" t="s">
        <v>1</v>
      </c>
      <c r="BB606" t="s">
        <v>1</v>
      </c>
      <c r="BC606" t="s">
        <v>3304</v>
      </c>
      <c r="BD606" t="s">
        <v>3347</v>
      </c>
      <c r="BE606" t="s">
        <v>3</v>
      </c>
      <c r="BF606" t="s">
        <v>3</v>
      </c>
      <c r="BG606" t="s">
        <v>3</v>
      </c>
      <c r="BH606" t="s">
        <v>3</v>
      </c>
      <c r="BI606" t="s">
        <v>3</v>
      </c>
      <c r="BJ606" t="s">
        <v>3362</v>
      </c>
      <c r="BK606" t="s">
        <v>3</v>
      </c>
      <c r="BL606" t="s">
        <v>132</v>
      </c>
      <c r="BM606" t="s">
        <v>1</v>
      </c>
      <c r="BN606">
        <f>Tabla1[[#This Row],[precio del paquete]]</f>
        <v>12900</v>
      </c>
      <c r="BO606" t="s">
        <v>1</v>
      </c>
      <c r="BP606" t="s">
        <v>1</v>
      </c>
      <c r="BQ606" t="s">
        <v>1</v>
      </c>
      <c r="BR606" t="s">
        <v>1</v>
      </c>
      <c r="BS606" t="s">
        <v>1</v>
      </c>
      <c r="BT606" t="s">
        <v>1</v>
      </c>
      <c r="BU606" t="s">
        <v>1</v>
      </c>
      <c r="BV606" t="s">
        <v>1</v>
      </c>
      <c r="BW606" t="s">
        <v>0</v>
      </c>
      <c r="BX606" t="s">
        <v>1</v>
      </c>
      <c r="BY606" t="s">
        <v>1</v>
      </c>
      <c r="BZ606" t="s">
        <v>1</v>
      </c>
      <c r="CA606" t="s">
        <v>1</v>
      </c>
      <c r="CB606" t="s">
        <v>3382</v>
      </c>
      <c r="CD606" t="str" cm="1">
        <f t="array" aca="1" ref="CD606" ca="1">eConcatenar(A606:CB606,"|")</f>
        <v>Oa2lDwVmiXWOKUCq|CAR2019-0664|3|ECONOLINE |TABASCO |CARDENAS|CARDENAS|2019-03-05|12900|0|100|50|1|0|0|0|0|0|0|0|0|0|0||0|0|0|PABLO|JIMENEZ|GUILLERMO ALBERTO|SOLTERO|X|X|CALLE NUMERO TRES|POBLADO C-33 VEINTE DE NOVIEMBRE |X|9371655819|X|X|X|CALLE NUMERO TRES|X|LUNES|x|x|x|x|x|DOMICILIO |0|12900|X|X|X|2021-06-18|2021-06-25|x|x|x|x|x|QX002LYO9KVTQO|x|HOMBRE|X|12900|X|X|X|X|X|X|X|X|CARDENAS|X|X|X|X|FINAL</v>
      </c>
    </row>
    <row r="607" spans="1:82" x14ac:dyDescent="0.25">
      <c r="A607" t="s">
        <v>1316</v>
      </c>
      <c r="B607" t="s">
        <v>1317</v>
      </c>
      <c r="C607">
        <v>3</v>
      </c>
      <c r="D607" t="s">
        <v>1369</v>
      </c>
      <c r="E607" t="s">
        <v>12</v>
      </c>
      <c r="F607" t="s">
        <v>0</v>
      </c>
      <c r="G607" t="s">
        <v>0</v>
      </c>
      <c r="H607" t="s">
        <v>1674</v>
      </c>
      <c r="I607">
        <v>14800</v>
      </c>
      <c r="J607">
        <v>0</v>
      </c>
      <c r="K607">
        <v>50</v>
      </c>
      <c r="L607">
        <v>50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Y607">
        <v>0</v>
      </c>
      <c r="Z607">
        <v>0</v>
      </c>
      <c r="AA607">
        <v>0</v>
      </c>
      <c r="AB607" t="s">
        <v>2151</v>
      </c>
      <c r="AC607" t="s">
        <v>1711</v>
      </c>
      <c r="AD607" t="s">
        <v>2424</v>
      </c>
      <c r="AE607" t="s">
        <v>4</v>
      </c>
      <c r="AF607" t="s">
        <v>1</v>
      </c>
      <c r="AG607" t="s">
        <v>1</v>
      </c>
      <c r="AH607" t="s">
        <v>2955</v>
      </c>
      <c r="AI607" t="s">
        <v>3232</v>
      </c>
      <c r="AJ607" t="s">
        <v>1</v>
      </c>
      <c r="AK607">
        <v>9371027447</v>
      </c>
      <c r="AL607" t="s">
        <v>1</v>
      </c>
      <c r="AM607" t="s">
        <v>1</v>
      </c>
      <c r="AN607" t="s">
        <v>1</v>
      </c>
      <c r="AO607" t="s">
        <v>2955</v>
      </c>
      <c r="AP607" t="s">
        <v>1</v>
      </c>
      <c r="AQ607" t="s">
        <v>2</v>
      </c>
      <c r="AR607" t="s">
        <v>3</v>
      </c>
      <c r="AS607" t="s">
        <v>3</v>
      </c>
      <c r="AT607" t="s">
        <v>3</v>
      </c>
      <c r="AU607" t="s">
        <v>3</v>
      </c>
      <c r="AV607" t="s">
        <v>3</v>
      </c>
      <c r="AW607" t="s">
        <v>11</v>
      </c>
      <c r="AX607">
        <f>Tabla1[[#This Row],[precio del paquete]]-Tabla1[[#This Row],[Saldo_Deudor]]</f>
        <v>700</v>
      </c>
      <c r="AY607">
        <v>14100</v>
      </c>
      <c r="AZ607" t="s">
        <v>1</v>
      </c>
      <c r="BA607" t="s">
        <v>1</v>
      </c>
      <c r="BB607" t="s">
        <v>1</v>
      </c>
      <c r="BC607" t="s">
        <v>3305</v>
      </c>
      <c r="BD607" t="s">
        <v>3348</v>
      </c>
      <c r="BE607" t="s">
        <v>3</v>
      </c>
      <c r="BF607" t="s">
        <v>3</v>
      </c>
      <c r="BG607" t="s">
        <v>3</v>
      </c>
      <c r="BH607" t="s">
        <v>3</v>
      </c>
      <c r="BI607" t="s">
        <v>3</v>
      </c>
      <c r="BJ607" t="s">
        <v>3362</v>
      </c>
      <c r="BK607" t="s">
        <v>3</v>
      </c>
      <c r="BL607" t="s">
        <v>132</v>
      </c>
      <c r="BM607" t="s">
        <v>1</v>
      </c>
      <c r="BN607">
        <f>Tabla1[[#This Row],[precio del paquete]]</f>
        <v>14800</v>
      </c>
      <c r="BO607" t="s">
        <v>1</v>
      </c>
      <c r="BP607" t="s">
        <v>1</v>
      </c>
      <c r="BQ607" t="s">
        <v>1</v>
      </c>
      <c r="BR607" t="s">
        <v>1</v>
      </c>
      <c r="BS607" t="s">
        <v>1</v>
      </c>
      <c r="BT607" t="s">
        <v>1</v>
      </c>
      <c r="BU607" t="s">
        <v>1</v>
      </c>
      <c r="BV607" t="s">
        <v>1</v>
      </c>
      <c r="BW607" t="s">
        <v>0</v>
      </c>
      <c r="BX607" t="s">
        <v>1</v>
      </c>
      <c r="BY607" t="s">
        <v>1</v>
      </c>
      <c r="BZ607" t="s">
        <v>1</v>
      </c>
      <c r="CA607" t="s">
        <v>1</v>
      </c>
      <c r="CB607" t="s">
        <v>3382</v>
      </c>
      <c r="CD607" t="str" cm="1">
        <f t="array" aca="1" ref="CD607" ca="1">eConcatenar(A607:CB607,"|")</f>
        <v>QRi8YdHIAFBaFvq5|CAR2021-5411|3|MEMORIAL|TABASCO |CARDENAS|CARDENAS|2021-09-15|14800|0|50|50|1|0|0|0|0|0|0|0|0|0|0||0|0|0|GONZALES|HERNANDEZ|CARLOS MANUEL|SOLTERO|X|X|CARRETERA AL CASTAÑO |RANCHERIA MIGUEL HIDALGO  PRIMERA SECCION |X|9371027447|X|X|X|CARRETERA AL CASTAÑO |X|LUNES|x|x|x|x|x|DOMICILIO |700|14100|X|X|X|2021-12-29|2022-01-05|x|x|x|x|x|QX002LYO9KVTQO|x|HOMBRE|X|14800|X|X|X|X|X|X|X|X|CARDENAS|X|X|X|X|FINAL</v>
      </c>
    </row>
    <row r="608" spans="1:82" x14ac:dyDescent="0.25">
      <c r="A608" t="s">
        <v>1318</v>
      </c>
      <c r="B608" t="s">
        <v>1319</v>
      </c>
      <c r="C608">
        <v>3</v>
      </c>
      <c r="D608" t="s">
        <v>1369</v>
      </c>
      <c r="E608" t="s">
        <v>12</v>
      </c>
      <c r="F608" t="s">
        <v>0</v>
      </c>
      <c r="G608" t="s">
        <v>0</v>
      </c>
      <c r="H608" t="s">
        <v>1524</v>
      </c>
      <c r="I608">
        <v>14800</v>
      </c>
      <c r="J608">
        <v>0</v>
      </c>
      <c r="K608">
        <v>50</v>
      </c>
      <c r="L608">
        <v>50</v>
      </c>
      <c r="M608">
        <v>1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Y608">
        <v>0</v>
      </c>
      <c r="Z608">
        <v>0</v>
      </c>
      <c r="AA608">
        <v>0</v>
      </c>
      <c r="AB608" t="s">
        <v>1815</v>
      </c>
      <c r="AC608" t="s">
        <v>1744</v>
      </c>
      <c r="AD608" t="s">
        <v>2425</v>
      </c>
      <c r="AE608" t="s">
        <v>4</v>
      </c>
      <c r="AF608" t="s">
        <v>1</v>
      </c>
      <c r="AG608" t="s">
        <v>1</v>
      </c>
      <c r="AH608" t="s">
        <v>2956</v>
      </c>
      <c r="AI608" t="s">
        <v>3165</v>
      </c>
      <c r="AJ608" t="s">
        <v>1</v>
      </c>
      <c r="AK608">
        <v>9371103988</v>
      </c>
      <c r="AL608" t="s">
        <v>1</v>
      </c>
      <c r="AM608" t="s">
        <v>1</v>
      </c>
      <c r="AN608" t="s">
        <v>1</v>
      </c>
      <c r="AO608" t="s">
        <v>2956</v>
      </c>
      <c r="AP608" t="s">
        <v>1</v>
      </c>
      <c r="AQ608" t="s">
        <v>2</v>
      </c>
      <c r="AR608" t="s">
        <v>3</v>
      </c>
      <c r="AS608" t="s">
        <v>3</v>
      </c>
      <c r="AT608" t="s">
        <v>3</v>
      </c>
      <c r="AU608" t="s">
        <v>3</v>
      </c>
      <c r="AV608" t="s">
        <v>3</v>
      </c>
      <c r="AW608" t="s">
        <v>11</v>
      </c>
      <c r="AX608">
        <f>Tabla1[[#This Row],[precio del paquete]]-Tabla1[[#This Row],[Saldo_Deudor]]</f>
        <v>1250</v>
      </c>
      <c r="AY608">
        <v>13550</v>
      </c>
      <c r="AZ608" t="s">
        <v>1</v>
      </c>
      <c r="BA608" t="s">
        <v>1</v>
      </c>
      <c r="BB608" t="s">
        <v>1</v>
      </c>
      <c r="BC608" t="s">
        <v>1400</v>
      </c>
      <c r="BD608" t="s">
        <v>3277</v>
      </c>
      <c r="BE608" t="s">
        <v>3</v>
      </c>
      <c r="BF608" t="s">
        <v>3</v>
      </c>
      <c r="BG608" t="s">
        <v>3</v>
      </c>
      <c r="BH608" t="s">
        <v>3</v>
      </c>
      <c r="BI608" t="s">
        <v>3</v>
      </c>
      <c r="BJ608" t="s">
        <v>3362</v>
      </c>
      <c r="BK608" t="s">
        <v>3</v>
      </c>
      <c r="BL608" t="s">
        <v>132</v>
      </c>
      <c r="BM608" t="s">
        <v>1</v>
      </c>
      <c r="BN608">
        <f>Tabla1[[#This Row],[precio del paquete]]</f>
        <v>14800</v>
      </c>
      <c r="BO608" t="s">
        <v>1</v>
      </c>
      <c r="BP608" t="s">
        <v>1</v>
      </c>
      <c r="BQ608" t="s">
        <v>1</v>
      </c>
      <c r="BR608" t="s">
        <v>1</v>
      </c>
      <c r="BS608" t="s">
        <v>1</v>
      </c>
      <c r="BT608" t="s">
        <v>1</v>
      </c>
      <c r="BU608" t="s">
        <v>1</v>
      </c>
      <c r="BV608" t="s">
        <v>1</v>
      </c>
      <c r="BW608" t="s">
        <v>0</v>
      </c>
      <c r="BX608" t="s">
        <v>1</v>
      </c>
      <c r="BY608" t="s">
        <v>1</v>
      </c>
      <c r="BZ608" t="s">
        <v>1</v>
      </c>
      <c r="CA608" t="s">
        <v>1</v>
      </c>
      <c r="CB608" t="s">
        <v>3382</v>
      </c>
      <c r="CD608" t="str" cm="1">
        <f t="array" aca="1" ref="CD608" ca="1">eConcatenar(A608:CB608,"|")</f>
        <v>I5SpgbtrdAtYGT3F|CAR2021-7252|3|MEMORIAL|TABASCO |CARDENAS|CARDENAS|2021-11-27|14800|0|50|50|1|0|0|0|0|0|0|0|0|0|0||0|0|0|LEON|PEREZ|MARIA ADELINA|SOLTERO|X|X|CALLE EL LIMON |COLONIA SANTA MARIA DE GUADALUPE|X|9371103988|X|X|X|CALLE EL LIMON |X|LUNES|x|x|x|x|x|DOMICILIO |1250|13550|X|X|X|2022-02-10|2022-02-17|x|x|x|x|x|QX002LYO9KVTQO|x|HOMBRE|X|14800|X|X|X|X|X|X|X|X|CARDENAS|X|X|X|X|FINAL</v>
      </c>
    </row>
    <row r="609" spans="1:82" x14ac:dyDescent="0.25">
      <c r="A609" t="s">
        <v>1320</v>
      </c>
      <c r="B609" t="s">
        <v>1321</v>
      </c>
      <c r="C609">
        <v>3</v>
      </c>
      <c r="D609" t="s">
        <v>1369</v>
      </c>
      <c r="E609" t="s">
        <v>12</v>
      </c>
      <c r="F609" t="s">
        <v>0</v>
      </c>
      <c r="G609" t="s">
        <v>0</v>
      </c>
      <c r="H609" t="s">
        <v>1479</v>
      </c>
      <c r="I609">
        <v>14800</v>
      </c>
      <c r="J609">
        <v>0</v>
      </c>
      <c r="K609">
        <v>50</v>
      </c>
      <c r="L609">
        <v>50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Y609">
        <v>0</v>
      </c>
      <c r="Z609">
        <v>0</v>
      </c>
      <c r="AA609">
        <v>0</v>
      </c>
      <c r="AB609" t="s">
        <v>2319</v>
      </c>
      <c r="AC609" t="s">
        <v>1693</v>
      </c>
      <c r="AD609" t="s">
        <v>2426</v>
      </c>
      <c r="AE609" t="s">
        <v>4</v>
      </c>
      <c r="AF609" t="s">
        <v>1</v>
      </c>
      <c r="AG609" t="s">
        <v>1</v>
      </c>
      <c r="AH609" t="s">
        <v>2957</v>
      </c>
      <c r="AI609" t="s">
        <v>2705</v>
      </c>
      <c r="AJ609" t="s">
        <v>1</v>
      </c>
      <c r="AK609">
        <v>9371558514</v>
      </c>
      <c r="AL609" t="s">
        <v>1</v>
      </c>
      <c r="AM609" t="s">
        <v>1</v>
      </c>
      <c r="AN609" t="s">
        <v>1</v>
      </c>
      <c r="AO609" t="s">
        <v>2957</v>
      </c>
      <c r="AP609" t="s">
        <v>1</v>
      </c>
      <c r="AQ609" t="s">
        <v>2</v>
      </c>
      <c r="AR609" t="s">
        <v>3</v>
      </c>
      <c r="AS609" t="s">
        <v>3</v>
      </c>
      <c r="AT609" t="s">
        <v>3</v>
      </c>
      <c r="AU609" t="s">
        <v>3</v>
      </c>
      <c r="AV609" t="s">
        <v>3</v>
      </c>
      <c r="AW609" t="s">
        <v>11</v>
      </c>
      <c r="AX609">
        <f>Tabla1[[#This Row],[precio del paquete]]-Tabla1[[#This Row],[Saldo_Deudor]]</f>
        <v>450</v>
      </c>
      <c r="AY609">
        <v>14350</v>
      </c>
      <c r="AZ609" t="s">
        <v>1</v>
      </c>
      <c r="BA609" t="s">
        <v>1</v>
      </c>
      <c r="BB609" t="s">
        <v>1</v>
      </c>
      <c r="BC609" t="s">
        <v>1400</v>
      </c>
      <c r="BD609" t="s">
        <v>3277</v>
      </c>
      <c r="BE609" t="s">
        <v>3</v>
      </c>
      <c r="BF609" t="s">
        <v>3</v>
      </c>
      <c r="BG609" t="s">
        <v>3</v>
      </c>
      <c r="BH609" t="s">
        <v>3</v>
      </c>
      <c r="BI609" t="s">
        <v>3</v>
      </c>
      <c r="BJ609" t="s">
        <v>3362</v>
      </c>
      <c r="BK609" t="s">
        <v>3</v>
      </c>
      <c r="BL609" t="s">
        <v>132</v>
      </c>
      <c r="BM609" t="s">
        <v>1</v>
      </c>
      <c r="BN609">
        <f>Tabla1[[#This Row],[precio del paquete]]</f>
        <v>14800</v>
      </c>
      <c r="BO609" t="s">
        <v>1</v>
      </c>
      <c r="BP609" t="s">
        <v>1</v>
      </c>
      <c r="BQ609" t="s">
        <v>1</v>
      </c>
      <c r="BR609" t="s">
        <v>1</v>
      </c>
      <c r="BS609" t="s">
        <v>1</v>
      </c>
      <c r="BT609" t="s">
        <v>1</v>
      </c>
      <c r="BU609" t="s">
        <v>1</v>
      </c>
      <c r="BV609" t="s">
        <v>1</v>
      </c>
      <c r="BW609" t="s">
        <v>0</v>
      </c>
      <c r="BX609" t="s">
        <v>1</v>
      </c>
      <c r="BY609" t="s">
        <v>1</v>
      </c>
      <c r="BZ609" t="s">
        <v>1</v>
      </c>
      <c r="CA609" t="s">
        <v>1</v>
      </c>
      <c r="CB609" t="s">
        <v>3382</v>
      </c>
      <c r="CD609" t="str" cm="1">
        <f t="array" aca="1" ref="CD609" ca="1">eConcatenar(A609:CB609,"|")</f>
        <v>sKJLNdwGohF2xurm|CAR2021-7261|3|MEMORIAL|TABASCO |CARDENAS|CARDENAS|2021-11-24|14800|0|50|50|1|0|0|0|0|0|0|0|0|0|0||0|0|0|HADDAD|RODRIGUEZ|LUIS ALFREDO|SOLTERO|X|X|CARRETERA CARDENAS A HUIMANGUILLO |RANCHERIA PASO Y PLAYA|X|9371558514|X|X|X|CARRETERA CARDENAS A HUIMANGUILLO |X|LUNES|x|x|x|x|x|DOMICILIO |450|14350|X|X|X|2022-02-10|2022-02-17|x|x|x|x|x|QX002LYO9KVTQO|x|HOMBRE|X|14800|X|X|X|X|X|X|X|X|CARDENAS|X|X|X|X|FINAL</v>
      </c>
    </row>
    <row r="610" spans="1:82" x14ac:dyDescent="0.25">
      <c r="A610" t="s">
        <v>1322</v>
      </c>
      <c r="B610" t="s">
        <v>1323</v>
      </c>
      <c r="C610">
        <v>3</v>
      </c>
      <c r="D610" t="s">
        <v>14</v>
      </c>
      <c r="E610" t="s">
        <v>12</v>
      </c>
      <c r="F610" t="s">
        <v>0</v>
      </c>
      <c r="G610" t="s">
        <v>0</v>
      </c>
      <c r="H610" t="s">
        <v>1565</v>
      </c>
      <c r="I610">
        <v>12900</v>
      </c>
      <c r="J610">
        <v>0</v>
      </c>
      <c r="K610">
        <v>500</v>
      </c>
      <c r="L610">
        <v>50</v>
      </c>
      <c r="M610">
        <v>1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Y610">
        <v>0</v>
      </c>
      <c r="Z610">
        <v>0</v>
      </c>
      <c r="AA610">
        <v>0</v>
      </c>
      <c r="AB610" t="s">
        <v>1769</v>
      </c>
      <c r="AC610" t="s">
        <v>1708</v>
      </c>
      <c r="AD610" t="s">
        <v>2427</v>
      </c>
      <c r="AE610" t="s">
        <v>4</v>
      </c>
      <c r="AF610" t="s">
        <v>1</v>
      </c>
      <c r="AG610" t="s">
        <v>1</v>
      </c>
      <c r="AH610" t="s">
        <v>2944</v>
      </c>
      <c r="AI610" t="s">
        <v>3239</v>
      </c>
      <c r="AJ610" t="s">
        <v>1</v>
      </c>
      <c r="AK610">
        <v>9371252357</v>
      </c>
      <c r="AL610" t="s">
        <v>1</v>
      </c>
      <c r="AM610" t="s">
        <v>1</v>
      </c>
      <c r="AN610" t="s">
        <v>1</v>
      </c>
      <c r="AO610" t="s">
        <v>2944</v>
      </c>
      <c r="AP610" t="s">
        <v>1</v>
      </c>
      <c r="AQ610" t="s">
        <v>2</v>
      </c>
      <c r="AR610" t="s">
        <v>3</v>
      </c>
      <c r="AS610" t="s">
        <v>3</v>
      </c>
      <c r="AT610" t="s">
        <v>3</v>
      </c>
      <c r="AU610" t="s">
        <v>3</v>
      </c>
      <c r="AV610" t="s">
        <v>3</v>
      </c>
      <c r="AW610" t="s">
        <v>11</v>
      </c>
      <c r="AX610">
        <f>Tabla1[[#This Row],[precio del paquete]]-Tabla1[[#This Row],[Saldo_Deudor]]</f>
        <v>10000</v>
      </c>
      <c r="AY610">
        <v>2900</v>
      </c>
      <c r="AZ610" t="s">
        <v>1</v>
      </c>
      <c r="BA610" t="s">
        <v>1</v>
      </c>
      <c r="BB610" t="s">
        <v>1</v>
      </c>
      <c r="BC610" t="s">
        <v>1401</v>
      </c>
      <c r="BD610" t="s">
        <v>1406</v>
      </c>
      <c r="BE610" t="s">
        <v>3</v>
      </c>
      <c r="BF610" t="s">
        <v>3</v>
      </c>
      <c r="BG610" t="s">
        <v>3</v>
      </c>
      <c r="BH610" t="s">
        <v>3</v>
      </c>
      <c r="BI610" t="s">
        <v>3</v>
      </c>
      <c r="BJ610" t="s">
        <v>3362</v>
      </c>
      <c r="BK610" t="s">
        <v>3</v>
      </c>
      <c r="BL610" t="s">
        <v>132</v>
      </c>
      <c r="BM610" t="s">
        <v>1</v>
      </c>
      <c r="BN610">
        <f>Tabla1[[#This Row],[precio del paquete]]</f>
        <v>12900</v>
      </c>
      <c r="BO610" t="s">
        <v>1</v>
      </c>
      <c r="BP610" t="s">
        <v>1</v>
      </c>
      <c r="BQ610" t="s">
        <v>1</v>
      </c>
      <c r="BR610" t="s">
        <v>1</v>
      </c>
      <c r="BS610" t="s">
        <v>1</v>
      </c>
      <c r="BT610" t="s">
        <v>1</v>
      </c>
      <c r="BU610" t="s">
        <v>1</v>
      </c>
      <c r="BV610" t="s">
        <v>1</v>
      </c>
      <c r="BW610" t="s">
        <v>0</v>
      </c>
      <c r="BX610" t="s">
        <v>1</v>
      </c>
      <c r="BY610" t="s">
        <v>1</v>
      </c>
      <c r="BZ610" t="s">
        <v>1</v>
      </c>
      <c r="CA610" t="s">
        <v>1</v>
      </c>
      <c r="CB610" t="s">
        <v>3382</v>
      </c>
      <c r="CD610" t="str" cm="1">
        <f t="array" aca="1" ref="CD610" ca="1">eConcatenar(A610:CB610,"|")</f>
        <v>YsJy5k8CAmZMR05U|CAR2020-1237|3|ECONOLINE |TABASCO |CARDENAS|CARDENAS|2020-06-25|12900|0|500|50|1|0|0|0|0|0|0|0|0|0|0||0|0|0|TORRES||FLORICEL DE LA CRUZ|SOLTERO|X|X|CARRETERA CARDENAS A COMALCALCO |RANCHERIA MIGUEL HIDALGO SEGUNDA SECCION B (LA NATIVIDAD)|X|9371252357|X|X|X|CARRETERA CARDENAS A COMALCALCO |X|LUNES|x|x|x|x|x|DOMICILIO |10000|2900|X|X|X|2022-02-09|2022-02-16|x|x|x|x|x|QX002LYO9KVTQO|x|HOMBRE|X|12900|X|X|X|X|X|X|X|X|CARDENAS|X|X|X|X|FINAL</v>
      </c>
    </row>
    <row r="611" spans="1:82" x14ac:dyDescent="0.25">
      <c r="A611" t="s">
        <v>1324</v>
      </c>
      <c r="B611" t="s">
        <v>1325</v>
      </c>
      <c r="C611">
        <v>3</v>
      </c>
      <c r="D611" t="s">
        <v>1368</v>
      </c>
      <c r="E611" t="s">
        <v>12</v>
      </c>
      <c r="F611" t="s">
        <v>0</v>
      </c>
      <c r="G611" t="s">
        <v>0</v>
      </c>
      <c r="H611" t="s">
        <v>1523</v>
      </c>
      <c r="I611">
        <v>24500</v>
      </c>
      <c r="J611">
        <v>0</v>
      </c>
      <c r="K611">
        <v>200</v>
      </c>
      <c r="L611">
        <v>50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Y611">
        <v>0</v>
      </c>
      <c r="Z611">
        <v>0</v>
      </c>
      <c r="AA611">
        <v>0</v>
      </c>
      <c r="AB611" t="s">
        <v>1713</v>
      </c>
      <c r="AC611" t="s">
        <v>2428</v>
      </c>
      <c r="AD611" t="s">
        <v>2144</v>
      </c>
      <c r="AE611" t="s">
        <v>4</v>
      </c>
      <c r="AF611" t="s">
        <v>1</v>
      </c>
      <c r="AG611" t="s">
        <v>1</v>
      </c>
      <c r="AH611" t="s">
        <v>2958</v>
      </c>
      <c r="AI611" t="s">
        <v>3240</v>
      </c>
      <c r="AJ611" t="s">
        <v>1</v>
      </c>
      <c r="AK611">
        <v>9371712733</v>
      </c>
      <c r="AL611" t="s">
        <v>1</v>
      </c>
      <c r="AM611" t="s">
        <v>1</v>
      </c>
      <c r="AN611" t="s">
        <v>1</v>
      </c>
      <c r="AO611" t="s">
        <v>2958</v>
      </c>
      <c r="AP611" t="s">
        <v>1</v>
      </c>
      <c r="AQ611" t="s">
        <v>2</v>
      </c>
      <c r="AR611" t="s">
        <v>3</v>
      </c>
      <c r="AS611" t="s">
        <v>3</v>
      </c>
      <c r="AT611" t="s">
        <v>3</v>
      </c>
      <c r="AU611" t="s">
        <v>3</v>
      </c>
      <c r="AV611" t="s">
        <v>3</v>
      </c>
      <c r="AW611" t="s">
        <v>11</v>
      </c>
      <c r="AX611">
        <f>Tabla1[[#This Row],[precio del paquete]]-Tabla1[[#This Row],[Saldo_Deudor]]</f>
        <v>1000</v>
      </c>
      <c r="AY611">
        <v>23500</v>
      </c>
      <c r="AZ611" t="s">
        <v>1</v>
      </c>
      <c r="BA611" t="s">
        <v>1</v>
      </c>
      <c r="BB611" t="s">
        <v>1</v>
      </c>
      <c r="BC611" t="s">
        <v>1401</v>
      </c>
      <c r="BD611" t="s">
        <v>1406</v>
      </c>
      <c r="BE611" t="s">
        <v>3</v>
      </c>
      <c r="BF611" t="s">
        <v>3</v>
      </c>
      <c r="BG611" t="s">
        <v>3</v>
      </c>
      <c r="BH611" t="s">
        <v>3</v>
      </c>
      <c r="BI611" t="s">
        <v>3</v>
      </c>
      <c r="BJ611" t="s">
        <v>3362</v>
      </c>
      <c r="BK611" t="s">
        <v>3</v>
      </c>
      <c r="BL611" t="s">
        <v>132</v>
      </c>
      <c r="BM611" t="s">
        <v>1</v>
      </c>
      <c r="BN611">
        <f>Tabla1[[#This Row],[precio del paquete]]</f>
        <v>24500</v>
      </c>
      <c r="BO611" t="s">
        <v>1</v>
      </c>
      <c r="BP611" t="s">
        <v>1</v>
      </c>
      <c r="BQ611" t="s">
        <v>1</v>
      </c>
      <c r="BR611" t="s">
        <v>1</v>
      </c>
      <c r="BS611" t="s">
        <v>1</v>
      </c>
      <c r="BT611" t="s">
        <v>1</v>
      </c>
      <c r="BU611" t="s">
        <v>1</v>
      </c>
      <c r="BV611" t="s">
        <v>1</v>
      </c>
      <c r="BW611" t="s">
        <v>0</v>
      </c>
      <c r="BX611" t="s">
        <v>1</v>
      </c>
      <c r="BY611" t="s">
        <v>1</v>
      </c>
      <c r="BZ611" t="s">
        <v>1</v>
      </c>
      <c r="CA611" t="s">
        <v>1</v>
      </c>
      <c r="CB611" t="s">
        <v>3382</v>
      </c>
      <c r="CD611" t="str" cm="1">
        <f t="array" aca="1" ref="CD611" ca="1">eConcatenar(A611:CB611,"|")</f>
        <v>5uGrf0ypxWzA2wap|CAR2021-7573|3|DIGNITY|TABASCO |CARDENAS|CARDENAS|2021-12-14|24500|0|200|50|1|0|0|0|0|0|0|0|0|0|0||0|0|0|DE LA CRUZ|PONS|JOSE MANUEL|SOLTERO|X|X|CALLE 16 DE SEPTIEMBRE |COLONIA SANTA CRUZ |X|9371712733|X|X|X|CALLE 16 DE SEPTIEMBRE |X|LUNES|x|x|x|x|x|DOMICILIO |1000|23500|X|X|X|2022-02-09|2022-02-16|x|x|x|x|x|QX002LYO9KVTQO|x|HOMBRE|X|24500|X|X|X|X|X|X|X|X|CARDENAS|X|X|X|X|FINAL</v>
      </c>
    </row>
    <row r="612" spans="1:82" x14ac:dyDescent="0.25">
      <c r="A612" t="s">
        <v>1326</v>
      </c>
      <c r="B612" t="s">
        <v>1327</v>
      </c>
      <c r="C612">
        <v>3</v>
      </c>
      <c r="D612" t="s">
        <v>1369</v>
      </c>
      <c r="E612" t="s">
        <v>12</v>
      </c>
      <c r="F612" t="s">
        <v>0</v>
      </c>
      <c r="G612" t="s">
        <v>0</v>
      </c>
      <c r="H612" t="s">
        <v>1515</v>
      </c>
      <c r="I612">
        <v>14800</v>
      </c>
      <c r="J612">
        <v>0</v>
      </c>
      <c r="K612">
        <v>100</v>
      </c>
      <c r="L612">
        <v>50</v>
      </c>
      <c r="M612">
        <v>1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Y612">
        <v>0</v>
      </c>
      <c r="Z612">
        <v>0</v>
      </c>
      <c r="AA612">
        <v>0</v>
      </c>
      <c r="AB612" t="s">
        <v>1713</v>
      </c>
      <c r="AC612" t="s">
        <v>1713</v>
      </c>
      <c r="AD612" t="s">
        <v>2429</v>
      </c>
      <c r="AE612" t="s">
        <v>4</v>
      </c>
      <c r="AF612" t="s">
        <v>1</v>
      </c>
      <c r="AG612" t="s">
        <v>1</v>
      </c>
      <c r="AH612" t="s">
        <v>2959</v>
      </c>
      <c r="AI612" t="s">
        <v>3129</v>
      </c>
      <c r="AJ612" t="s">
        <v>1</v>
      </c>
      <c r="AK612">
        <v>9371697379</v>
      </c>
      <c r="AL612" t="s">
        <v>1</v>
      </c>
      <c r="AM612" t="s">
        <v>1</v>
      </c>
      <c r="AN612" t="s">
        <v>1</v>
      </c>
      <c r="AO612" t="s">
        <v>2959</v>
      </c>
      <c r="AP612" t="s">
        <v>1</v>
      </c>
      <c r="AQ612" t="s">
        <v>2</v>
      </c>
      <c r="AR612" t="s">
        <v>3</v>
      </c>
      <c r="AS612" t="s">
        <v>3</v>
      </c>
      <c r="AT612" t="s">
        <v>3</v>
      </c>
      <c r="AU612" t="s">
        <v>3</v>
      </c>
      <c r="AV612" t="s">
        <v>3</v>
      </c>
      <c r="AW612" t="s">
        <v>11</v>
      </c>
      <c r="AX612">
        <f>Tabla1[[#This Row],[precio del paquete]]-Tabla1[[#This Row],[Saldo_Deudor]]</f>
        <v>900</v>
      </c>
      <c r="AY612">
        <v>13900</v>
      </c>
      <c r="AZ612" t="s">
        <v>1</v>
      </c>
      <c r="BA612" t="s">
        <v>1</v>
      </c>
      <c r="BB612" t="s">
        <v>1</v>
      </c>
      <c r="BC612" t="s">
        <v>1401</v>
      </c>
      <c r="BD612" t="s">
        <v>1406</v>
      </c>
      <c r="BE612" t="s">
        <v>3</v>
      </c>
      <c r="BF612" t="s">
        <v>3</v>
      </c>
      <c r="BG612" t="s">
        <v>3</v>
      </c>
      <c r="BH612" t="s">
        <v>3</v>
      </c>
      <c r="BI612" t="s">
        <v>3</v>
      </c>
      <c r="BJ612" t="s">
        <v>3362</v>
      </c>
      <c r="BK612" t="s">
        <v>3</v>
      </c>
      <c r="BL612" t="s">
        <v>132</v>
      </c>
      <c r="BM612" t="s">
        <v>1</v>
      </c>
      <c r="BN612">
        <f>Tabla1[[#This Row],[precio del paquete]]</f>
        <v>14800</v>
      </c>
      <c r="BO612" t="s">
        <v>1</v>
      </c>
      <c r="BP612" t="s">
        <v>1</v>
      </c>
      <c r="BQ612" t="s">
        <v>1</v>
      </c>
      <c r="BR612" t="s">
        <v>1</v>
      </c>
      <c r="BS612" t="s">
        <v>1</v>
      </c>
      <c r="BT612" t="s">
        <v>1</v>
      </c>
      <c r="BU612" t="s">
        <v>1</v>
      </c>
      <c r="BV612" t="s">
        <v>1</v>
      </c>
      <c r="BW612" t="s">
        <v>0</v>
      </c>
      <c r="BX612" t="s">
        <v>1</v>
      </c>
      <c r="BY612" t="s">
        <v>1</v>
      </c>
      <c r="BZ612" t="s">
        <v>1</v>
      </c>
      <c r="CA612" t="s">
        <v>1</v>
      </c>
      <c r="CB612" t="s">
        <v>3382</v>
      </c>
      <c r="CD612" t="str" cm="1">
        <f t="array" aca="1" ref="CD612" ca="1">eConcatenar(A612:CB612,"|")</f>
        <v>bBJODSAC6SiLrFQu|CAR2021-7569|3|MEMORIAL|TABASCO |CARDENAS|CARDENAS|2021-12-15|14800|0|100|50|1|0|0|0|0|0|0|0|0|0|0||0|0|0|DE LA CRUZ|DE LA CRUZ|MARIA ELDDID|SOLTERO|X|X|CALLE AGUSTIN |COLONIA EMILIANO ZAPATA|X|9371697379|X|X|X|CALLE AGUSTIN |X|LUNES|x|x|x|x|x|DOMICILIO |900|13900|X|X|X|2022-02-09|2022-02-16|x|x|x|x|x|QX002LYO9KVTQO|x|HOMBRE|X|14800|X|X|X|X|X|X|X|X|CARDENAS|X|X|X|X|FINAL</v>
      </c>
    </row>
    <row r="613" spans="1:82" x14ac:dyDescent="0.25">
      <c r="A613" t="s">
        <v>1328</v>
      </c>
      <c r="B613" t="s">
        <v>1329</v>
      </c>
      <c r="C613">
        <v>3</v>
      </c>
      <c r="D613" t="s">
        <v>1369</v>
      </c>
      <c r="E613" t="s">
        <v>12</v>
      </c>
      <c r="F613" t="s">
        <v>0</v>
      </c>
      <c r="G613" t="s">
        <v>0</v>
      </c>
      <c r="H613" t="s">
        <v>1657</v>
      </c>
      <c r="I613">
        <v>14800</v>
      </c>
      <c r="J613">
        <v>0</v>
      </c>
      <c r="K613">
        <v>100</v>
      </c>
      <c r="L613">
        <v>50</v>
      </c>
      <c r="M613">
        <v>1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Y613">
        <v>0</v>
      </c>
      <c r="Z613">
        <v>0</v>
      </c>
      <c r="AA613">
        <v>0</v>
      </c>
      <c r="AB613" t="s">
        <v>1703</v>
      </c>
      <c r="AC613" t="s">
        <v>1708</v>
      </c>
      <c r="AD613" t="s">
        <v>2430</v>
      </c>
      <c r="AE613" t="s">
        <v>4</v>
      </c>
      <c r="AF613" t="s">
        <v>1</v>
      </c>
      <c r="AG613" t="s">
        <v>1</v>
      </c>
      <c r="AH613" t="s">
        <v>2922</v>
      </c>
      <c r="AI613" t="s">
        <v>3231</v>
      </c>
      <c r="AJ613" t="s">
        <v>1</v>
      </c>
      <c r="AK613">
        <v>9372272616</v>
      </c>
      <c r="AL613" t="s">
        <v>1</v>
      </c>
      <c r="AM613" t="s">
        <v>1</v>
      </c>
      <c r="AN613" t="s">
        <v>1</v>
      </c>
      <c r="AO613" t="s">
        <v>2922</v>
      </c>
      <c r="AP613" t="s">
        <v>1</v>
      </c>
      <c r="AQ613" t="s">
        <v>2</v>
      </c>
      <c r="AR613" t="s">
        <v>3</v>
      </c>
      <c r="AS613" t="s">
        <v>3</v>
      </c>
      <c r="AT613" t="s">
        <v>3</v>
      </c>
      <c r="AU613" t="s">
        <v>3</v>
      </c>
      <c r="AV613" t="s">
        <v>3</v>
      </c>
      <c r="AW613" t="s">
        <v>11</v>
      </c>
      <c r="AX613">
        <f>Tabla1[[#This Row],[precio del paquete]]-Tabla1[[#This Row],[Saldo_Deudor]]</f>
        <v>900</v>
      </c>
      <c r="AY613">
        <v>13900</v>
      </c>
      <c r="AZ613" t="s">
        <v>1</v>
      </c>
      <c r="BA613" t="s">
        <v>1</v>
      </c>
      <c r="BB613" t="s">
        <v>1</v>
      </c>
      <c r="BC613" t="s">
        <v>1499</v>
      </c>
      <c r="BD613" t="s">
        <v>3305</v>
      </c>
      <c r="BE613" t="s">
        <v>3</v>
      </c>
      <c r="BF613" t="s">
        <v>3</v>
      </c>
      <c r="BG613" t="s">
        <v>3</v>
      </c>
      <c r="BH613" t="s">
        <v>3</v>
      </c>
      <c r="BI613" t="s">
        <v>3</v>
      </c>
      <c r="BJ613" t="s">
        <v>3362</v>
      </c>
      <c r="BK613" t="s">
        <v>3</v>
      </c>
      <c r="BL613" t="s">
        <v>132</v>
      </c>
      <c r="BM613" t="s">
        <v>1</v>
      </c>
      <c r="BN613">
        <f>Tabla1[[#This Row],[precio del paquete]]</f>
        <v>14800</v>
      </c>
      <c r="BO613" t="s">
        <v>1</v>
      </c>
      <c r="BP613" t="s">
        <v>1</v>
      </c>
      <c r="BQ613" t="s">
        <v>1</v>
      </c>
      <c r="BR613" t="s">
        <v>1</v>
      </c>
      <c r="BS613" t="s">
        <v>1</v>
      </c>
      <c r="BT613" t="s">
        <v>1</v>
      </c>
      <c r="BU613" t="s">
        <v>1</v>
      </c>
      <c r="BV613" t="s">
        <v>1</v>
      </c>
      <c r="BW613" t="s">
        <v>0</v>
      </c>
      <c r="BX613" t="s">
        <v>1</v>
      </c>
      <c r="BY613" t="s">
        <v>1</v>
      </c>
      <c r="BZ613" t="s">
        <v>1</v>
      </c>
      <c r="CA613" t="s">
        <v>1</v>
      </c>
      <c r="CB613" t="s">
        <v>3382</v>
      </c>
      <c r="CD613" t="str" cm="1">
        <f t="array" aca="1" ref="CD613" ca="1">eConcatenar(A613:CB613,"|")</f>
        <v>5htNNRr5G5DuuQ75|CAR2021-6248|3|MEMORIAL|TABASCO |CARDENAS|CARDENAS|2021-10-20|14800|0|100|50|1|0|0|0|0|0|0|0|0|0|0||0|0|0|RAMOS||JEREMIAS LEON|SOLTERO|X|X|CALLE NUMERO 6|RANCHERIA HABANERO PRIMERA SECCION (VENUSTIANO CARRANZA)|X|9372272616|X|X|X|CALLE NUMERO 6|X|LUNES|x|x|x|x|x|DOMICILIO |900|13900|X|X|X|2021-12-22|2021-12-29|x|x|x|x|x|QX002LYO9KVTQO|x|HOMBRE|X|14800|X|X|X|X|X|X|X|X|CARDENAS|X|X|X|X|FINAL</v>
      </c>
    </row>
    <row r="614" spans="1:82" x14ac:dyDescent="0.25">
      <c r="A614" t="s">
        <v>1330</v>
      </c>
      <c r="B614" t="s">
        <v>1331</v>
      </c>
      <c r="C614">
        <v>3</v>
      </c>
      <c r="D614" t="s">
        <v>1369</v>
      </c>
      <c r="E614" t="s">
        <v>12</v>
      </c>
      <c r="F614" t="s">
        <v>0</v>
      </c>
      <c r="G614" t="s">
        <v>0</v>
      </c>
      <c r="H614" t="s">
        <v>1683</v>
      </c>
      <c r="I614">
        <v>14800</v>
      </c>
      <c r="J614">
        <v>0</v>
      </c>
      <c r="K614">
        <v>100</v>
      </c>
      <c r="L614">
        <v>50</v>
      </c>
      <c r="M614">
        <v>1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Y614">
        <v>0</v>
      </c>
      <c r="Z614">
        <v>0</v>
      </c>
      <c r="AA614">
        <v>0</v>
      </c>
      <c r="AB614" t="s">
        <v>1708</v>
      </c>
      <c r="AC614" t="s">
        <v>2431</v>
      </c>
      <c r="AD614" t="s">
        <v>2432</v>
      </c>
      <c r="AE614" t="s">
        <v>4</v>
      </c>
      <c r="AF614" t="s">
        <v>1</v>
      </c>
      <c r="AG614" t="s">
        <v>1</v>
      </c>
      <c r="AH614" t="s">
        <v>2603</v>
      </c>
      <c r="AI614" t="s">
        <v>3241</v>
      </c>
      <c r="AJ614" t="s">
        <v>1</v>
      </c>
      <c r="AK614">
        <v>9371240734</v>
      </c>
      <c r="AL614" t="s">
        <v>1</v>
      </c>
      <c r="AM614" t="s">
        <v>1</v>
      </c>
      <c r="AN614" t="s">
        <v>1</v>
      </c>
      <c r="AO614" t="s">
        <v>2603</v>
      </c>
      <c r="AP614" t="s">
        <v>1</v>
      </c>
      <c r="AQ614" t="s">
        <v>2</v>
      </c>
      <c r="AR614" t="s">
        <v>3</v>
      </c>
      <c r="AS614" t="s">
        <v>3</v>
      </c>
      <c r="AT614" t="s">
        <v>3</v>
      </c>
      <c r="AU614" t="s">
        <v>3</v>
      </c>
      <c r="AV614" t="s">
        <v>3</v>
      </c>
      <c r="AW614" t="s">
        <v>11</v>
      </c>
      <c r="AX614">
        <f>Tabla1[[#This Row],[precio del paquete]]-Tabla1[[#This Row],[Saldo_Deudor]]</f>
        <v>3000</v>
      </c>
      <c r="AY614">
        <v>11800</v>
      </c>
      <c r="AZ614" t="s">
        <v>1</v>
      </c>
      <c r="BA614" t="s">
        <v>1</v>
      </c>
      <c r="BB614" t="s">
        <v>1</v>
      </c>
      <c r="BC614" t="s">
        <v>3288</v>
      </c>
      <c r="BD614" t="s">
        <v>1663</v>
      </c>
      <c r="BE614" t="s">
        <v>3</v>
      </c>
      <c r="BF614" t="s">
        <v>3</v>
      </c>
      <c r="BG614" t="s">
        <v>3</v>
      </c>
      <c r="BH614" t="s">
        <v>3</v>
      </c>
      <c r="BI614" t="s">
        <v>3</v>
      </c>
      <c r="BJ614" t="s">
        <v>3362</v>
      </c>
      <c r="BK614" t="s">
        <v>3</v>
      </c>
      <c r="BL614" t="s">
        <v>132</v>
      </c>
      <c r="BM614" t="s">
        <v>1</v>
      </c>
      <c r="BN614">
        <f>Tabla1[[#This Row],[precio del paquete]]</f>
        <v>14800</v>
      </c>
      <c r="BO614" t="s">
        <v>1</v>
      </c>
      <c r="BP614" t="s">
        <v>1</v>
      </c>
      <c r="BQ614" t="s">
        <v>1</v>
      </c>
      <c r="BR614" t="s">
        <v>1</v>
      </c>
      <c r="BS614" t="s">
        <v>1</v>
      </c>
      <c r="BT614" t="s">
        <v>1</v>
      </c>
      <c r="BU614" t="s">
        <v>1</v>
      </c>
      <c r="BV614" t="s">
        <v>1</v>
      </c>
      <c r="BW614" t="s">
        <v>0</v>
      </c>
      <c r="BX614" t="s">
        <v>1</v>
      </c>
      <c r="BY614" t="s">
        <v>1</v>
      </c>
      <c r="BZ614" t="s">
        <v>1</v>
      </c>
      <c r="CA614" t="s">
        <v>1</v>
      </c>
      <c r="CB614" t="s">
        <v>3382</v>
      </c>
      <c r="CD614" t="str" cm="1">
        <f t="array" aca="1" ref="CD614" ca="1">eConcatenar(A614:CB614,"|")</f>
        <v>9haC5zdxQAIzCqyl|CAR2021-1439|3|MEMORIAL|TABASCO |CARDENAS|CARDENAS|2021-04-20|14800|0|100|50|1|0|0|0|0|0|0|0|0|0|0||0|0|0||ZARA|FIDENCIA HERNANDEZ|SOLTERO|X|X|CARRETERA PRINCIPAL |RANCHERIA RIO SECO Y MONTAÃ‘A PRIMERA SECCION |X|9371240734|X|X|X|CARRETERA PRINCIPAL |X|LUNES|x|x|x|x|x|DOMICILIO |3000|11800|X|X|X|2022-01-06|2022-01-13|x|x|x|x|x|QX002LYO9KVTQO|x|HOMBRE|X|14800|X|X|X|X|X|X|X|X|CARDENAS|X|X|X|X|FINAL</v>
      </c>
    </row>
    <row r="615" spans="1:82" x14ac:dyDescent="0.25">
      <c r="A615" t="s">
        <v>1332</v>
      </c>
      <c r="B615" t="s">
        <v>1333</v>
      </c>
      <c r="C615">
        <v>3</v>
      </c>
      <c r="D615" t="s">
        <v>1369</v>
      </c>
      <c r="E615" t="s">
        <v>12</v>
      </c>
      <c r="F615" t="s">
        <v>0</v>
      </c>
      <c r="G615" t="s">
        <v>0</v>
      </c>
      <c r="H615" t="s">
        <v>1684</v>
      </c>
      <c r="I615">
        <v>14800</v>
      </c>
      <c r="J615">
        <v>0</v>
      </c>
      <c r="K615">
        <v>100</v>
      </c>
      <c r="L615">
        <v>50</v>
      </c>
      <c r="M615">
        <v>1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Y615">
        <v>0</v>
      </c>
      <c r="Z615">
        <v>0</v>
      </c>
      <c r="AA615">
        <v>0</v>
      </c>
      <c r="AB615" t="s">
        <v>1970</v>
      </c>
      <c r="AC615" t="s">
        <v>1708</v>
      </c>
      <c r="AD615" t="s">
        <v>2433</v>
      </c>
      <c r="AE615" t="s">
        <v>4</v>
      </c>
      <c r="AF615" t="s">
        <v>1</v>
      </c>
      <c r="AG615" t="s">
        <v>1</v>
      </c>
      <c r="AH615" t="s">
        <v>2960</v>
      </c>
      <c r="AI615" t="s">
        <v>3188</v>
      </c>
      <c r="AJ615" t="s">
        <v>1</v>
      </c>
      <c r="AK615">
        <v>9371688673</v>
      </c>
      <c r="AL615" t="s">
        <v>1</v>
      </c>
      <c r="AM615" t="s">
        <v>1</v>
      </c>
      <c r="AN615" t="s">
        <v>1</v>
      </c>
      <c r="AO615" t="s">
        <v>2960</v>
      </c>
      <c r="AP615" t="s">
        <v>1</v>
      </c>
      <c r="AQ615" t="s">
        <v>2</v>
      </c>
      <c r="AR615" t="s">
        <v>3</v>
      </c>
      <c r="AS615" t="s">
        <v>3</v>
      </c>
      <c r="AT615" t="s">
        <v>3</v>
      </c>
      <c r="AU615" t="s">
        <v>3</v>
      </c>
      <c r="AV615" t="s">
        <v>3</v>
      </c>
      <c r="AW615" t="s">
        <v>11</v>
      </c>
      <c r="AX615">
        <f>Tabla1[[#This Row],[precio del paquete]]-Tabla1[[#This Row],[Saldo_Deudor]]</f>
        <v>1800</v>
      </c>
      <c r="AY615">
        <v>13000</v>
      </c>
      <c r="AZ615" t="s">
        <v>1</v>
      </c>
      <c r="BA615" t="s">
        <v>1</v>
      </c>
      <c r="BB615" t="s">
        <v>1</v>
      </c>
      <c r="BC615" t="s">
        <v>1400</v>
      </c>
      <c r="BD615" t="s">
        <v>3277</v>
      </c>
      <c r="BE615" t="s">
        <v>3</v>
      </c>
      <c r="BF615" t="s">
        <v>3</v>
      </c>
      <c r="BG615" t="s">
        <v>3</v>
      </c>
      <c r="BH615" t="s">
        <v>3</v>
      </c>
      <c r="BI615" t="s">
        <v>3</v>
      </c>
      <c r="BJ615" t="s">
        <v>3362</v>
      </c>
      <c r="BK615" t="s">
        <v>3</v>
      </c>
      <c r="BL615" t="s">
        <v>132</v>
      </c>
      <c r="BM615" t="s">
        <v>1</v>
      </c>
      <c r="BN615">
        <f>Tabla1[[#This Row],[precio del paquete]]</f>
        <v>14800</v>
      </c>
      <c r="BO615" t="s">
        <v>1</v>
      </c>
      <c r="BP615" t="s">
        <v>1</v>
      </c>
      <c r="BQ615" t="s">
        <v>1</v>
      </c>
      <c r="BR615" t="s">
        <v>1</v>
      </c>
      <c r="BS615" t="s">
        <v>1</v>
      </c>
      <c r="BT615" t="s">
        <v>1</v>
      </c>
      <c r="BU615" t="s">
        <v>1</v>
      </c>
      <c r="BV615" t="s">
        <v>1</v>
      </c>
      <c r="BW615" t="s">
        <v>0</v>
      </c>
      <c r="BX615" t="s">
        <v>1</v>
      </c>
      <c r="BY615" t="s">
        <v>1</v>
      </c>
      <c r="BZ615" t="s">
        <v>1</v>
      </c>
      <c r="CA615" t="s">
        <v>1</v>
      </c>
      <c r="CB615" t="s">
        <v>3382</v>
      </c>
      <c r="CD615" t="str" cm="1">
        <f t="array" aca="1" ref="CD615" ca="1">eConcatenar(A615:CB615,"|")</f>
        <v>R8UOtGrSNX8XiGwv|CAR2021-3066|3|MEMORIAL|TABASCO |CARDENAS|CARDENAS|2021-06-30|14800|0|100|50|1|0|0|0|0|0|0|0|0|0|0||0|0|0|MORELOS||SOCORRO VIDAL|SOLTERO|X|X|ENTRADA LA VIA |EJIDO LA PENINSULA|X|9371688673|X|X|X|ENTRADA LA VIA |X|LUNES|x|x|x|x|x|DOMICILIO |1800|13000|X|X|X|2022-02-10|2022-02-17|x|x|x|x|x|QX002LYO9KVTQO|x|HOMBRE|X|14800|X|X|X|X|X|X|X|X|CARDENAS|X|X|X|X|FINAL</v>
      </c>
    </row>
    <row r="616" spans="1:82" x14ac:dyDescent="0.25">
      <c r="A616" t="s">
        <v>1334</v>
      </c>
      <c r="B616" t="s">
        <v>1335</v>
      </c>
      <c r="C616">
        <v>3</v>
      </c>
      <c r="D616" t="s">
        <v>1369</v>
      </c>
      <c r="E616" t="s">
        <v>12</v>
      </c>
      <c r="F616" t="s">
        <v>0</v>
      </c>
      <c r="G616" t="s">
        <v>0</v>
      </c>
      <c r="H616" t="s">
        <v>1636</v>
      </c>
      <c r="I616">
        <v>14800</v>
      </c>
      <c r="J616">
        <v>0</v>
      </c>
      <c r="K616">
        <v>250</v>
      </c>
      <c r="L616">
        <v>50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Y616">
        <v>0</v>
      </c>
      <c r="Z616">
        <v>0</v>
      </c>
      <c r="AA616">
        <v>0</v>
      </c>
      <c r="AB616" t="s">
        <v>2401</v>
      </c>
      <c r="AC616" t="s">
        <v>1708</v>
      </c>
      <c r="AD616" t="s">
        <v>2434</v>
      </c>
      <c r="AE616" t="s">
        <v>4</v>
      </c>
      <c r="AF616" t="s">
        <v>1</v>
      </c>
      <c r="AG616" t="s">
        <v>1</v>
      </c>
      <c r="AH616" t="s">
        <v>2957</v>
      </c>
      <c r="AI616" t="s">
        <v>2705</v>
      </c>
      <c r="AJ616" t="s">
        <v>1</v>
      </c>
      <c r="AK616">
        <v>9371373004</v>
      </c>
      <c r="AL616" t="s">
        <v>1</v>
      </c>
      <c r="AM616" t="s">
        <v>1</v>
      </c>
      <c r="AN616" t="s">
        <v>1</v>
      </c>
      <c r="AO616" t="s">
        <v>2957</v>
      </c>
      <c r="AP616" t="s">
        <v>1</v>
      </c>
      <c r="AQ616" t="s">
        <v>2</v>
      </c>
      <c r="AR616" t="s">
        <v>3</v>
      </c>
      <c r="AS616" t="s">
        <v>3</v>
      </c>
      <c r="AT616" t="s">
        <v>3</v>
      </c>
      <c r="AU616" t="s">
        <v>3</v>
      </c>
      <c r="AV616" t="s">
        <v>3</v>
      </c>
      <c r="AW616" t="s">
        <v>11</v>
      </c>
      <c r="AX616">
        <f>Tabla1[[#This Row],[precio del paquete]]-Tabla1[[#This Row],[Saldo_Deudor]]</f>
        <v>3450</v>
      </c>
      <c r="AY616">
        <v>11350</v>
      </c>
      <c r="AZ616" t="s">
        <v>1</v>
      </c>
      <c r="BA616" t="s">
        <v>1</v>
      </c>
      <c r="BB616" t="s">
        <v>1</v>
      </c>
      <c r="BC616" t="s">
        <v>1400</v>
      </c>
      <c r="BD616" t="s">
        <v>3277</v>
      </c>
      <c r="BE616" t="s">
        <v>3</v>
      </c>
      <c r="BF616" t="s">
        <v>3</v>
      </c>
      <c r="BG616" t="s">
        <v>3</v>
      </c>
      <c r="BH616" t="s">
        <v>3</v>
      </c>
      <c r="BI616" t="s">
        <v>3</v>
      </c>
      <c r="BJ616" t="s">
        <v>3362</v>
      </c>
      <c r="BK616" t="s">
        <v>3</v>
      </c>
      <c r="BL616" t="s">
        <v>132</v>
      </c>
      <c r="BM616" t="s">
        <v>1</v>
      </c>
      <c r="BN616">
        <f>Tabla1[[#This Row],[precio del paquete]]</f>
        <v>14800</v>
      </c>
      <c r="BO616" t="s">
        <v>1</v>
      </c>
      <c r="BP616" t="s">
        <v>1</v>
      </c>
      <c r="BQ616" t="s">
        <v>1</v>
      </c>
      <c r="BR616" t="s">
        <v>1</v>
      </c>
      <c r="BS616" t="s">
        <v>1</v>
      </c>
      <c r="BT616" t="s">
        <v>1</v>
      </c>
      <c r="BU616" t="s">
        <v>1</v>
      </c>
      <c r="BV616" t="s">
        <v>1</v>
      </c>
      <c r="BW616" t="s">
        <v>0</v>
      </c>
      <c r="BX616" t="s">
        <v>1</v>
      </c>
      <c r="BY616" t="s">
        <v>1</v>
      </c>
      <c r="BZ616" t="s">
        <v>1</v>
      </c>
      <c r="CA616" t="s">
        <v>1</v>
      </c>
      <c r="CB616" t="s">
        <v>3382</v>
      </c>
      <c r="CD616" t="str" cm="1">
        <f t="array" aca="1" ref="CD616" ca="1">eConcatenar(A616:CB616,"|")</f>
        <v>DUQarxMjZk500mbB|CAR2021-1285|3|MEMORIAL|TABASCO |CARDENAS|CARDENAS|2021-04-14|14800|0|250|50|1|0|0|0|0|0|0|0|0|0|0||0|0|0|MAY||DARVELIA HERNANDFEZ|SOLTERO|X|X|CARRETERA CARDENAS A HUIMANGUILLO |RANCHERIA PASO Y PLAYA|X|9371373004|X|X|X|CARRETERA CARDENAS A HUIMANGUILLO |X|LUNES|x|x|x|x|x|DOMICILIO |3450|11350|X|X|X|2022-02-10|2022-02-17|x|x|x|x|x|QX002LYO9KVTQO|x|HOMBRE|X|14800|X|X|X|X|X|X|X|X|CARDENAS|X|X|X|X|FINAL</v>
      </c>
    </row>
    <row r="617" spans="1:82" x14ac:dyDescent="0.25">
      <c r="A617" t="s">
        <v>1336</v>
      </c>
      <c r="B617" t="s">
        <v>1337</v>
      </c>
      <c r="C617">
        <v>3</v>
      </c>
      <c r="D617" t="s">
        <v>14</v>
      </c>
      <c r="E617" t="s">
        <v>12</v>
      </c>
      <c r="F617" t="s">
        <v>0</v>
      </c>
      <c r="G617" t="s">
        <v>0</v>
      </c>
      <c r="H617" t="s">
        <v>1685</v>
      </c>
      <c r="I617">
        <v>12900</v>
      </c>
      <c r="J617">
        <v>0</v>
      </c>
      <c r="K617">
        <v>200</v>
      </c>
      <c r="L617">
        <v>50</v>
      </c>
      <c r="M617">
        <v>1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Y617">
        <v>0</v>
      </c>
      <c r="Z617">
        <v>0</v>
      </c>
      <c r="AA617">
        <v>0</v>
      </c>
      <c r="AB617" t="s">
        <v>1713</v>
      </c>
      <c r="AC617" t="s">
        <v>1919</v>
      </c>
      <c r="AD617" t="s">
        <v>2435</v>
      </c>
      <c r="AE617" t="s">
        <v>4</v>
      </c>
      <c r="AF617" t="s">
        <v>1</v>
      </c>
      <c r="AG617" t="s">
        <v>1</v>
      </c>
      <c r="AH617" t="s">
        <v>2961</v>
      </c>
      <c r="AI617" t="s">
        <v>3242</v>
      </c>
      <c r="AJ617" t="s">
        <v>1</v>
      </c>
      <c r="AK617">
        <v>9371321880</v>
      </c>
      <c r="AL617" t="s">
        <v>1</v>
      </c>
      <c r="AM617" t="s">
        <v>1</v>
      </c>
      <c r="AN617" t="s">
        <v>1</v>
      </c>
      <c r="AO617" t="s">
        <v>2961</v>
      </c>
      <c r="AP617" t="s">
        <v>1</v>
      </c>
      <c r="AQ617" t="s">
        <v>2</v>
      </c>
      <c r="AR617" t="s">
        <v>3</v>
      </c>
      <c r="AS617" t="s">
        <v>3</v>
      </c>
      <c r="AT617" t="s">
        <v>3</v>
      </c>
      <c r="AU617" t="s">
        <v>3</v>
      </c>
      <c r="AV617" t="s">
        <v>3</v>
      </c>
      <c r="AW617" t="s">
        <v>11</v>
      </c>
      <c r="AX617">
        <f>Tabla1[[#This Row],[precio del paquete]]-Tabla1[[#This Row],[Saldo_Deudor]]</f>
        <v>7600</v>
      </c>
      <c r="AY617">
        <v>5300</v>
      </c>
      <c r="AZ617" t="s">
        <v>1</v>
      </c>
      <c r="BA617" t="s">
        <v>1</v>
      </c>
      <c r="BB617" t="s">
        <v>1</v>
      </c>
      <c r="BC617" t="s">
        <v>1400</v>
      </c>
      <c r="BD617" t="s">
        <v>3277</v>
      </c>
      <c r="BE617" t="s">
        <v>3</v>
      </c>
      <c r="BF617" t="s">
        <v>3</v>
      </c>
      <c r="BG617" t="s">
        <v>3</v>
      </c>
      <c r="BH617" t="s">
        <v>3</v>
      </c>
      <c r="BI617" t="s">
        <v>3</v>
      </c>
      <c r="BJ617" t="s">
        <v>3362</v>
      </c>
      <c r="BK617" t="s">
        <v>3</v>
      </c>
      <c r="BL617" t="s">
        <v>132</v>
      </c>
      <c r="BM617" t="s">
        <v>1</v>
      </c>
      <c r="BN617">
        <f>Tabla1[[#This Row],[precio del paquete]]</f>
        <v>12900</v>
      </c>
      <c r="BO617" t="s">
        <v>1</v>
      </c>
      <c r="BP617" t="s">
        <v>1</v>
      </c>
      <c r="BQ617" t="s">
        <v>1</v>
      </c>
      <c r="BR617" t="s">
        <v>1</v>
      </c>
      <c r="BS617" t="s">
        <v>1</v>
      </c>
      <c r="BT617" t="s">
        <v>1</v>
      </c>
      <c r="BU617" t="s">
        <v>1</v>
      </c>
      <c r="BV617" t="s">
        <v>1</v>
      </c>
      <c r="BW617" t="s">
        <v>0</v>
      </c>
      <c r="BX617" t="s">
        <v>1</v>
      </c>
      <c r="BY617" t="s">
        <v>1</v>
      </c>
      <c r="BZ617" t="s">
        <v>1</v>
      </c>
      <c r="CA617" t="s">
        <v>1</v>
      </c>
      <c r="CB617" t="s">
        <v>3382</v>
      </c>
      <c r="CD617" t="str" cm="1">
        <f t="array" aca="1" ref="CD617" ca="1">eConcatenar(A617:CB617,"|")</f>
        <v>q4cc4tQE88iZGJay|CAR2019-3588|3|ECONOLINE |TABASCO |CARDENAS|CARDENAS|2019-12-03|12900|0|200|50|1|0|0|0|0|0|0|0|0|0|0||0|0|0|DE LA CRUZ|RAMIREZ|JOSE LUIS|SOLTERO|X|X|CALLE  EL RETEN |COLONIA MELCHOR OCAMPO |X|9371321880|X|X|X|CALLE  EL RETEN |X|LUNES|x|x|x|x|x|DOMICILIO |7600|5300|X|X|X|2022-02-10|2022-02-17|x|x|x|x|x|QX002LYO9KVTQO|x|HOMBRE|X|12900|X|X|X|X|X|X|X|X|CARDENAS|X|X|X|X|FINAL</v>
      </c>
    </row>
    <row r="618" spans="1:82" x14ac:dyDescent="0.25">
      <c r="A618" t="s">
        <v>1338</v>
      </c>
      <c r="B618" t="s">
        <v>1339</v>
      </c>
      <c r="C618">
        <v>3</v>
      </c>
      <c r="D618" t="s">
        <v>1369</v>
      </c>
      <c r="E618" t="s">
        <v>12</v>
      </c>
      <c r="F618" t="s">
        <v>0</v>
      </c>
      <c r="G618" t="s">
        <v>0</v>
      </c>
      <c r="H618" t="s">
        <v>1686</v>
      </c>
      <c r="I618">
        <v>14800</v>
      </c>
      <c r="J618">
        <v>0</v>
      </c>
      <c r="K618">
        <v>500</v>
      </c>
      <c r="L618">
        <v>50</v>
      </c>
      <c r="M618">
        <v>1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Y618">
        <v>0</v>
      </c>
      <c r="Z618">
        <v>0</v>
      </c>
      <c r="AA618">
        <v>0</v>
      </c>
      <c r="AB618" t="s">
        <v>2073</v>
      </c>
      <c r="AC618" t="s">
        <v>1864</v>
      </c>
      <c r="AD618" t="s">
        <v>2436</v>
      </c>
      <c r="AE618" t="s">
        <v>4</v>
      </c>
      <c r="AF618" t="s">
        <v>1</v>
      </c>
      <c r="AG618" t="s">
        <v>1</v>
      </c>
      <c r="AH618" t="s">
        <v>2962</v>
      </c>
      <c r="AI618" t="s">
        <v>3243</v>
      </c>
      <c r="AJ618" t="s">
        <v>1</v>
      </c>
      <c r="AK618">
        <v>9372702120</v>
      </c>
      <c r="AL618" t="s">
        <v>1</v>
      </c>
      <c r="AM618" t="s">
        <v>1</v>
      </c>
      <c r="AN618" t="s">
        <v>1</v>
      </c>
      <c r="AO618" t="s">
        <v>2962</v>
      </c>
      <c r="AP618" t="s">
        <v>1</v>
      </c>
      <c r="AQ618" t="s">
        <v>2</v>
      </c>
      <c r="AR618" t="s">
        <v>3</v>
      </c>
      <c r="AS618" t="s">
        <v>3</v>
      </c>
      <c r="AT618" t="s">
        <v>3</v>
      </c>
      <c r="AU618" t="s">
        <v>3</v>
      </c>
      <c r="AV618" t="s">
        <v>3</v>
      </c>
      <c r="AW618" t="s">
        <v>11</v>
      </c>
      <c r="AX618">
        <f>Tabla1[[#This Row],[precio del paquete]]-Tabla1[[#This Row],[Saldo_Deudor]]</f>
        <v>1050</v>
      </c>
      <c r="AY618">
        <v>13750</v>
      </c>
      <c r="AZ618" t="s">
        <v>1</v>
      </c>
      <c r="BA618" t="s">
        <v>1</v>
      </c>
      <c r="BB618" t="s">
        <v>1</v>
      </c>
      <c r="BC618" t="s">
        <v>1401</v>
      </c>
      <c r="BD618" t="s">
        <v>1406</v>
      </c>
      <c r="BE618" t="s">
        <v>3</v>
      </c>
      <c r="BF618" t="s">
        <v>3</v>
      </c>
      <c r="BG618" t="s">
        <v>3</v>
      </c>
      <c r="BH618" t="s">
        <v>3</v>
      </c>
      <c r="BI618" t="s">
        <v>3</v>
      </c>
      <c r="BJ618" t="s">
        <v>3362</v>
      </c>
      <c r="BK618" t="s">
        <v>3</v>
      </c>
      <c r="BL618" t="s">
        <v>132</v>
      </c>
      <c r="BM618" t="s">
        <v>1</v>
      </c>
      <c r="BN618">
        <f>Tabla1[[#This Row],[precio del paquete]]</f>
        <v>14800</v>
      </c>
      <c r="BO618" t="s">
        <v>1</v>
      </c>
      <c r="BP618" t="s">
        <v>1</v>
      </c>
      <c r="BQ618" t="s">
        <v>1</v>
      </c>
      <c r="BR618" t="s">
        <v>1</v>
      </c>
      <c r="BS618" t="s">
        <v>1</v>
      </c>
      <c r="BT618" t="s">
        <v>1</v>
      </c>
      <c r="BU618" t="s">
        <v>1</v>
      </c>
      <c r="BV618" t="s">
        <v>1</v>
      </c>
      <c r="BW618" t="s">
        <v>0</v>
      </c>
      <c r="BX618" t="s">
        <v>1</v>
      </c>
      <c r="BY618" t="s">
        <v>1</v>
      </c>
      <c r="BZ618" t="s">
        <v>1</v>
      </c>
      <c r="CA618" t="s">
        <v>1</v>
      </c>
      <c r="CB618" t="s">
        <v>3382</v>
      </c>
      <c r="CD618" t="str" cm="1">
        <f t="array" aca="1" ref="CD618" ca="1">eConcatenar(A618:CB618,"|")</f>
        <v>fXADJ6WZnQeXnRQF|CAR2021-3482|3|MEMORIAL|TABASCO |CARDENAS|CARDENAS|2021-07-14|14800|0|500|50|1|0|0|0|0|0|0|0|0|0|0||0|0|0|ALVAREZ|REYNA|OFELIA|SOLTERO|X|X|CALLE FELIPE |COLONIA FRANCISCO VILLA|X|9372702120|X|X|X|CALLE FELIPE |X|LUNES|x|x|x|x|x|DOMICILIO |1050|13750|X|X|X|2022-02-09|2022-02-16|x|x|x|x|x|QX002LYO9KVTQO|x|HOMBRE|X|14800|X|X|X|X|X|X|X|X|CARDENAS|X|X|X|X|FINAL</v>
      </c>
    </row>
    <row r="619" spans="1:82" x14ac:dyDescent="0.25">
      <c r="A619" t="s">
        <v>1340</v>
      </c>
      <c r="B619" t="s">
        <v>1341</v>
      </c>
      <c r="C619">
        <v>3</v>
      </c>
      <c r="D619" t="s">
        <v>121</v>
      </c>
      <c r="E619" t="s">
        <v>12</v>
      </c>
      <c r="F619" t="s">
        <v>0</v>
      </c>
      <c r="G619" t="s">
        <v>0</v>
      </c>
      <c r="H619" t="s">
        <v>1545</v>
      </c>
      <c r="I619">
        <v>12900</v>
      </c>
      <c r="J619">
        <v>0</v>
      </c>
      <c r="K619">
        <v>0</v>
      </c>
      <c r="L619">
        <v>50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Y619">
        <v>0</v>
      </c>
      <c r="Z619">
        <v>0</v>
      </c>
      <c r="AA619">
        <v>0</v>
      </c>
      <c r="AB619" t="s">
        <v>1769</v>
      </c>
      <c r="AC619" t="s">
        <v>1708</v>
      </c>
      <c r="AD619" t="s">
        <v>2437</v>
      </c>
      <c r="AE619" t="s">
        <v>4</v>
      </c>
      <c r="AF619" t="s">
        <v>1</v>
      </c>
      <c r="AG619" t="s">
        <v>1</v>
      </c>
      <c r="AH619" t="s">
        <v>2960</v>
      </c>
      <c r="AI619" t="s">
        <v>2705</v>
      </c>
      <c r="AJ619" t="s">
        <v>1</v>
      </c>
      <c r="AK619">
        <v>9371697290</v>
      </c>
      <c r="AL619" t="s">
        <v>1</v>
      </c>
      <c r="AM619" t="s">
        <v>1</v>
      </c>
      <c r="AN619" t="s">
        <v>1</v>
      </c>
      <c r="AO619" t="s">
        <v>2960</v>
      </c>
      <c r="AP619" t="s">
        <v>1</v>
      </c>
      <c r="AQ619" t="s">
        <v>2</v>
      </c>
      <c r="AR619" t="s">
        <v>3</v>
      </c>
      <c r="AS619" t="s">
        <v>3</v>
      </c>
      <c r="AT619" t="s">
        <v>3</v>
      </c>
      <c r="AU619" t="s">
        <v>3</v>
      </c>
      <c r="AV619" t="s">
        <v>3</v>
      </c>
      <c r="AW619" t="s">
        <v>11</v>
      </c>
      <c r="AX619">
        <f>Tabla1[[#This Row],[precio del paquete]]-Tabla1[[#This Row],[Saldo_Deudor]]</f>
        <v>3400</v>
      </c>
      <c r="AY619">
        <v>9500</v>
      </c>
      <c r="AZ619" t="s">
        <v>1</v>
      </c>
      <c r="BA619" t="s">
        <v>1</v>
      </c>
      <c r="BB619" t="s">
        <v>1</v>
      </c>
      <c r="BC619" t="s">
        <v>1401</v>
      </c>
      <c r="BD619" t="s">
        <v>1406</v>
      </c>
      <c r="BE619" t="s">
        <v>3</v>
      </c>
      <c r="BF619" t="s">
        <v>3</v>
      </c>
      <c r="BG619" t="s">
        <v>3</v>
      </c>
      <c r="BH619" t="s">
        <v>3</v>
      </c>
      <c r="BI619" t="s">
        <v>3</v>
      </c>
      <c r="BJ619" t="s">
        <v>3362</v>
      </c>
      <c r="BK619" t="s">
        <v>3</v>
      </c>
      <c r="BL619" t="s">
        <v>132</v>
      </c>
      <c r="BM619" t="s">
        <v>1</v>
      </c>
      <c r="BN619">
        <f>Tabla1[[#This Row],[precio del paquete]]</f>
        <v>12900</v>
      </c>
      <c r="BO619" t="s">
        <v>1</v>
      </c>
      <c r="BP619" t="s">
        <v>1</v>
      </c>
      <c r="BQ619" t="s">
        <v>1</v>
      </c>
      <c r="BR619" t="s">
        <v>1</v>
      </c>
      <c r="BS619" t="s">
        <v>1</v>
      </c>
      <c r="BT619" t="s">
        <v>1</v>
      </c>
      <c r="BU619" t="s">
        <v>1</v>
      </c>
      <c r="BV619" t="s">
        <v>1</v>
      </c>
      <c r="BW619" t="s">
        <v>0</v>
      </c>
      <c r="BX619" t="s">
        <v>1</v>
      </c>
      <c r="BY619" t="s">
        <v>1</v>
      </c>
      <c r="BZ619" t="s">
        <v>1</v>
      </c>
      <c r="CA619" t="s">
        <v>1</v>
      </c>
      <c r="CB619" t="s">
        <v>3382</v>
      </c>
      <c r="CD619" t="str" cm="1">
        <f t="array" aca="1" ref="CD619" ca="1">eConcatenar(A619:CB619,"|")</f>
        <v>htIN5N87MCMVRxl2|CAR2020-2009|3|IMPERIAL DE LUJO |TABASCO |CARDENAS|CARDENAS|2020-07-28|12900|0|0|50|1|0|0|0|0|0|0|0|0|0|0||0|0|0|TORRES||ALFREDO LINO|SOLTERO|X|X|ENTRADA LA VIA |RANCHERIA PASO Y PLAYA|X|9371697290|X|X|X|ENTRADA LA VIA |X|LUNES|x|x|x|x|x|DOMICILIO |3400|9500|X|X|X|2022-02-09|2022-02-16|x|x|x|x|x|QX002LYO9KVTQO|x|HOMBRE|X|12900|X|X|X|X|X|X|X|X|CARDENAS|X|X|X|X|FINAL</v>
      </c>
    </row>
    <row r="620" spans="1:82" x14ac:dyDescent="0.25">
      <c r="A620" t="s">
        <v>1342</v>
      </c>
      <c r="B620" t="s">
        <v>1343</v>
      </c>
      <c r="C620">
        <v>3</v>
      </c>
      <c r="D620" t="s">
        <v>1369</v>
      </c>
      <c r="E620" t="s">
        <v>12</v>
      </c>
      <c r="F620" t="s">
        <v>0</v>
      </c>
      <c r="G620" t="s">
        <v>0</v>
      </c>
      <c r="H620" t="s">
        <v>1515</v>
      </c>
      <c r="I620">
        <v>14800</v>
      </c>
      <c r="J620">
        <v>0</v>
      </c>
      <c r="K620">
        <v>50</v>
      </c>
      <c r="L620">
        <v>50</v>
      </c>
      <c r="M620">
        <v>1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Y620">
        <v>0</v>
      </c>
      <c r="Z620">
        <v>0</v>
      </c>
      <c r="AA620">
        <v>0</v>
      </c>
      <c r="AB620" t="s">
        <v>1719</v>
      </c>
      <c r="AC620" t="s">
        <v>1708</v>
      </c>
      <c r="AD620" t="s">
        <v>2438</v>
      </c>
      <c r="AE620" t="s">
        <v>4</v>
      </c>
      <c r="AF620" t="s">
        <v>1</v>
      </c>
      <c r="AG620" t="s">
        <v>1</v>
      </c>
      <c r="AH620" t="s">
        <v>2963</v>
      </c>
      <c r="AI620" t="s">
        <v>3129</v>
      </c>
      <c r="AJ620" t="s">
        <v>1</v>
      </c>
      <c r="AK620">
        <v>9371407439</v>
      </c>
      <c r="AL620" t="s">
        <v>1</v>
      </c>
      <c r="AM620" t="s">
        <v>1</v>
      </c>
      <c r="AN620" t="s">
        <v>1</v>
      </c>
      <c r="AO620" t="s">
        <v>2963</v>
      </c>
      <c r="AP620" t="s">
        <v>1</v>
      </c>
      <c r="AQ620" t="s">
        <v>2</v>
      </c>
      <c r="AR620" t="s">
        <v>3</v>
      </c>
      <c r="AS620" t="s">
        <v>3</v>
      </c>
      <c r="AT620" t="s">
        <v>3</v>
      </c>
      <c r="AU620" t="s">
        <v>3</v>
      </c>
      <c r="AV620" t="s">
        <v>3</v>
      </c>
      <c r="AW620" t="s">
        <v>11</v>
      </c>
      <c r="AX620">
        <f>Tabla1[[#This Row],[precio del paquete]]-Tabla1[[#This Row],[Saldo_Deudor]]</f>
        <v>650</v>
      </c>
      <c r="AY620">
        <v>14150</v>
      </c>
      <c r="AZ620" t="s">
        <v>1</v>
      </c>
      <c r="BA620" t="s">
        <v>1</v>
      </c>
      <c r="BB620" t="s">
        <v>1</v>
      </c>
      <c r="BC620" t="s">
        <v>1401</v>
      </c>
      <c r="BD620" t="s">
        <v>1406</v>
      </c>
      <c r="BE620" t="s">
        <v>3</v>
      </c>
      <c r="BF620" t="s">
        <v>3</v>
      </c>
      <c r="BG620" t="s">
        <v>3</v>
      </c>
      <c r="BH620" t="s">
        <v>3</v>
      </c>
      <c r="BI620" t="s">
        <v>3</v>
      </c>
      <c r="BJ620" t="s">
        <v>3362</v>
      </c>
      <c r="BK620" t="s">
        <v>3</v>
      </c>
      <c r="BL620" t="s">
        <v>132</v>
      </c>
      <c r="BM620" t="s">
        <v>1</v>
      </c>
      <c r="BN620">
        <f>Tabla1[[#This Row],[precio del paquete]]</f>
        <v>14800</v>
      </c>
      <c r="BO620" t="s">
        <v>1</v>
      </c>
      <c r="BP620" t="s">
        <v>1</v>
      </c>
      <c r="BQ620" t="s">
        <v>1</v>
      </c>
      <c r="BR620" t="s">
        <v>1</v>
      </c>
      <c r="BS620" t="s">
        <v>1</v>
      </c>
      <c r="BT620" t="s">
        <v>1</v>
      </c>
      <c r="BU620" t="s">
        <v>1</v>
      </c>
      <c r="BV620" t="s">
        <v>1</v>
      </c>
      <c r="BW620" t="s">
        <v>0</v>
      </c>
      <c r="BX620" t="s">
        <v>1</v>
      </c>
      <c r="BY620" t="s">
        <v>1</v>
      </c>
      <c r="BZ620" t="s">
        <v>1</v>
      </c>
      <c r="CA620" t="s">
        <v>1</v>
      </c>
      <c r="CB620" t="s">
        <v>3382</v>
      </c>
      <c r="CD620" t="str" cm="1">
        <f t="array" aca="1" ref="CD620" ca="1">eConcatenar(A620:CB620,"|")</f>
        <v>rpl4VQ5F6kH4hux6|CAR2021-7563|3|MEMORIAL|TABASCO |CARDENAS|CARDENAS|2021-12-15|14800|0|50|50|1|0|0|0|0|0|0|0|0|0|0||0|0|0|PALMA||LUCERO AQUINO|SOLTERO|X|X|CALLE JOSE MARIA MORELOS |COLONIA EMILIANO ZAPATA|X|9371407439|X|X|X|CALLE JOSE MARIA MORELOS |X|LUNES|x|x|x|x|x|DOMICILIO |650|14150|X|X|X|2022-02-09|2022-02-16|x|x|x|x|x|QX002LYO9KVTQO|x|HOMBRE|X|14800|X|X|X|X|X|X|X|X|CARDENAS|X|X|X|X|FINAL</v>
      </c>
    </row>
    <row r="621" spans="1:82" x14ac:dyDescent="0.25">
      <c r="A621" t="s">
        <v>1344</v>
      </c>
      <c r="B621" t="s">
        <v>1345</v>
      </c>
      <c r="C621">
        <v>3</v>
      </c>
      <c r="D621" t="s">
        <v>1373</v>
      </c>
      <c r="E621" t="s">
        <v>12</v>
      </c>
      <c r="F621" t="s">
        <v>0</v>
      </c>
      <c r="G621" t="s">
        <v>0</v>
      </c>
      <c r="H621" t="s">
        <v>1687</v>
      </c>
      <c r="I621">
        <v>19800</v>
      </c>
      <c r="J621">
        <v>0</v>
      </c>
      <c r="K621">
        <v>200</v>
      </c>
      <c r="L621">
        <v>50</v>
      </c>
      <c r="M621">
        <v>1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Y621">
        <v>0</v>
      </c>
      <c r="Z621">
        <v>0</v>
      </c>
      <c r="AA621">
        <v>0</v>
      </c>
      <c r="AB621" t="s">
        <v>1782</v>
      </c>
      <c r="AC621" t="s">
        <v>1708</v>
      </c>
      <c r="AD621" t="s">
        <v>2439</v>
      </c>
      <c r="AE621" t="s">
        <v>4</v>
      </c>
      <c r="AF621" t="s">
        <v>1</v>
      </c>
      <c r="AG621" t="s">
        <v>1</v>
      </c>
      <c r="AH621" t="s">
        <v>2964</v>
      </c>
      <c r="AI621" t="s">
        <v>3174</v>
      </c>
      <c r="AJ621" t="s">
        <v>1</v>
      </c>
      <c r="AK621">
        <v>9371033664</v>
      </c>
      <c r="AL621" t="s">
        <v>1</v>
      </c>
      <c r="AM621" t="s">
        <v>1</v>
      </c>
      <c r="AN621" t="s">
        <v>1</v>
      </c>
      <c r="AO621" t="s">
        <v>2964</v>
      </c>
      <c r="AP621" t="s">
        <v>1</v>
      </c>
      <c r="AQ621" t="s">
        <v>2</v>
      </c>
      <c r="AR621" t="s">
        <v>3</v>
      </c>
      <c r="AS621" t="s">
        <v>3</v>
      </c>
      <c r="AT621" t="s">
        <v>3</v>
      </c>
      <c r="AU621" t="s">
        <v>3</v>
      </c>
      <c r="AV621" t="s">
        <v>3</v>
      </c>
      <c r="AW621" t="s">
        <v>11</v>
      </c>
      <c r="AX621">
        <f>Tabla1[[#This Row],[precio del paquete]]-Tabla1[[#This Row],[Saldo_Deudor]]</f>
        <v>800</v>
      </c>
      <c r="AY621">
        <v>19000</v>
      </c>
      <c r="AZ621" t="s">
        <v>1</v>
      </c>
      <c r="BA621" t="s">
        <v>1</v>
      </c>
      <c r="BB621" t="s">
        <v>1</v>
      </c>
      <c r="BC621" t="s">
        <v>1401</v>
      </c>
      <c r="BD621" t="s">
        <v>1406</v>
      </c>
      <c r="BE621" t="s">
        <v>3</v>
      </c>
      <c r="BF621" t="s">
        <v>3</v>
      </c>
      <c r="BG621" t="s">
        <v>3</v>
      </c>
      <c r="BH621" t="s">
        <v>3</v>
      </c>
      <c r="BI621" t="s">
        <v>3</v>
      </c>
      <c r="BJ621" t="s">
        <v>3362</v>
      </c>
      <c r="BK621" t="s">
        <v>3</v>
      </c>
      <c r="BL621" t="s">
        <v>132</v>
      </c>
      <c r="BM621" t="s">
        <v>1</v>
      </c>
      <c r="BN621">
        <f>Tabla1[[#This Row],[precio del paquete]]</f>
        <v>19800</v>
      </c>
      <c r="BO621" t="s">
        <v>1</v>
      </c>
      <c r="BP621" t="s">
        <v>1</v>
      </c>
      <c r="BQ621" t="s">
        <v>1</v>
      </c>
      <c r="BR621" t="s">
        <v>1</v>
      </c>
      <c r="BS621" t="s">
        <v>1</v>
      </c>
      <c r="BT621" t="s">
        <v>1</v>
      </c>
      <c r="BU621" t="s">
        <v>1</v>
      </c>
      <c r="BV621" t="s">
        <v>1</v>
      </c>
      <c r="BW621" t="s">
        <v>0</v>
      </c>
      <c r="BX621" t="s">
        <v>1</v>
      </c>
      <c r="BY621" t="s">
        <v>1</v>
      </c>
      <c r="BZ621" t="s">
        <v>1</v>
      </c>
      <c r="CA621" t="s">
        <v>1</v>
      </c>
      <c r="CB621" t="s">
        <v>3382</v>
      </c>
      <c r="CD621" t="str" cm="1">
        <f t="array" aca="1" ref="CD621" ca="1">eConcatenar(A621:CB621,"|")</f>
        <v>qYXXnEsHySDy4U2r|CAR2019-3372|3|ZAFIRO|TABASCO |CARDENAS|CARDENAS|2019-11-07|19800|0|200|50|1|0|0|0|0|0|0|0|0|0|0||0|0|0|ANDRADE||SANTA TERESITA|SOLTERO|X|X|CALLE QUETZALES |FRACCIONAMIENTO EL ENCANTO|X|9371033664|X|X|X|CALLE QUETZALES |X|LUNES|x|x|x|x|x|DOMICILIO |800|19000|X|X|X|2022-02-09|2022-02-16|x|x|x|x|x|QX002LYO9KVTQO|x|HOMBRE|X|19800|X|X|X|X|X|X|X|X|CARDENAS|X|X|X|X|FINAL</v>
      </c>
    </row>
    <row r="622" spans="1:82" x14ac:dyDescent="0.25">
      <c r="A622" t="s">
        <v>1346</v>
      </c>
      <c r="B622" t="s">
        <v>1347</v>
      </c>
      <c r="C622">
        <v>3</v>
      </c>
      <c r="D622" t="s">
        <v>121</v>
      </c>
      <c r="E622" t="s">
        <v>12</v>
      </c>
      <c r="F622" t="s">
        <v>0</v>
      </c>
      <c r="G622" t="s">
        <v>0</v>
      </c>
      <c r="H622" t="s">
        <v>1651</v>
      </c>
      <c r="I622">
        <v>12900</v>
      </c>
      <c r="J622">
        <v>0</v>
      </c>
      <c r="K622">
        <v>0</v>
      </c>
      <c r="L622">
        <v>50</v>
      </c>
      <c r="M622">
        <v>1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Y622">
        <v>0</v>
      </c>
      <c r="Z622">
        <v>0</v>
      </c>
      <c r="AA622">
        <v>0</v>
      </c>
      <c r="AB622" t="s">
        <v>1750</v>
      </c>
      <c r="AC622" t="s">
        <v>1899</v>
      </c>
      <c r="AD622" t="s">
        <v>2440</v>
      </c>
      <c r="AE622" t="s">
        <v>4</v>
      </c>
      <c r="AF622" t="s">
        <v>1</v>
      </c>
      <c r="AG622" t="s">
        <v>1</v>
      </c>
      <c r="AH622" t="s">
        <v>2965</v>
      </c>
      <c r="AI622" t="s">
        <v>3244</v>
      </c>
      <c r="AJ622" t="s">
        <v>1</v>
      </c>
      <c r="AK622">
        <v>9141383821</v>
      </c>
      <c r="AL622" t="s">
        <v>1</v>
      </c>
      <c r="AM622" t="s">
        <v>1</v>
      </c>
      <c r="AN622" t="s">
        <v>1</v>
      </c>
      <c r="AO622" t="s">
        <v>2965</v>
      </c>
      <c r="AP622" t="s">
        <v>1</v>
      </c>
      <c r="AQ622" t="s">
        <v>2</v>
      </c>
      <c r="AR622" t="s">
        <v>3</v>
      </c>
      <c r="AS622" t="s">
        <v>3</v>
      </c>
      <c r="AT622" t="s">
        <v>3</v>
      </c>
      <c r="AU622" t="s">
        <v>3</v>
      </c>
      <c r="AV622" t="s">
        <v>3</v>
      </c>
      <c r="AW622" t="s">
        <v>11</v>
      </c>
      <c r="AX622">
        <f>Tabla1[[#This Row],[precio del paquete]]-Tabla1[[#This Row],[Saldo_Deudor]]</f>
        <v>5800</v>
      </c>
      <c r="AY622">
        <v>7100</v>
      </c>
      <c r="AZ622" t="s">
        <v>1</v>
      </c>
      <c r="BA622" t="s">
        <v>1</v>
      </c>
      <c r="BB622" t="s">
        <v>1</v>
      </c>
      <c r="BC622" t="s">
        <v>3306</v>
      </c>
      <c r="BD622" t="s">
        <v>3349</v>
      </c>
      <c r="BE622" t="s">
        <v>3</v>
      </c>
      <c r="BF622" t="s">
        <v>3</v>
      </c>
      <c r="BG622" t="s">
        <v>3</v>
      </c>
      <c r="BH622" t="s">
        <v>3</v>
      </c>
      <c r="BI622" t="s">
        <v>3</v>
      </c>
      <c r="BJ622" t="s">
        <v>3363</v>
      </c>
      <c r="BK622" t="s">
        <v>3</v>
      </c>
      <c r="BL622" t="s">
        <v>132</v>
      </c>
      <c r="BM622" t="s">
        <v>1</v>
      </c>
      <c r="BN622">
        <f>Tabla1[[#This Row],[precio del paquete]]</f>
        <v>12900</v>
      </c>
      <c r="BO622" t="s">
        <v>1</v>
      </c>
      <c r="BP622" t="s">
        <v>1</v>
      </c>
      <c r="BQ622" t="s">
        <v>1</v>
      </c>
      <c r="BR622" t="s">
        <v>1</v>
      </c>
      <c r="BS622" t="s">
        <v>1</v>
      </c>
      <c r="BT622" t="s">
        <v>1</v>
      </c>
      <c r="BU622" t="s">
        <v>1</v>
      </c>
      <c r="BV622" t="s">
        <v>1</v>
      </c>
      <c r="BW622" t="s">
        <v>0</v>
      </c>
      <c r="BX622" t="s">
        <v>1</v>
      </c>
      <c r="BY622" t="s">
        <v>1</v>
      </c>
      <c r="BZ622" t="s">
        <v>1</v>
      </c>
      <c r="CA622" t="s">
        <v>1</v>
      </c>
      <c r="CB622" t="s">
        <v>3382</v>
      </c>
      <c r="CD622" t="str" cm="1">
        <f t="array" aca="1" ref="CD622" ca="1">eConcatenar(A622:CB622,"|")</f>
        <v>1jD1XX3AMmuQp6i0|CAR2020-0686|3|IMPERIAL DE LUJO |TABASCO |CARDENAS|CARDENAS|2020-03-02|12900|0|0|50|1|0|0|0|0|0|0|0|0|0|0||0|0|0|IZQUIERDO|ESCOBAR|FELIPE DE JESUS|SOLTERO|X|X|EN LA CALLE DEL JUZGADO |EJIDO HUAPACAL PRIMERA SECCION |X|9141383821|X|X|X|EN LA CALLE DEL JUZGADO |X|LUNES|x|x|x|x|x|DOMICILIO |5800|7100|X|X|X|2021-02-01|2021-02-08|x|x|x|x|x|QX002LUS9KVTQO|x|HOMBRE|X|12900|X|X|X|X|X|X|X|X|CARDENAS|X|X|X|X|FINAL</v>
      </c>
    </row>
    <row r="623" spans="1:82" x14ac:dyDescent="0.25">
      <c r="A623" t="s">
        <v>1348</v>
      </c>
      <c r="B623" t="s">
        <v>1349</v>
      </c>
      <c r="C623">
        <v>3</v>
      </c>
      <c r="D623" t="s">
        <v>14</v>
      </c>
      <c r="E623" t="s">
        <v>12</v>
      </c>
      <c r="F623" t="s">
        <v>0</v>
      </c>
      <c r="G623" t="s">
        <v>0</v>
      </c>
      <c r="H623" t="s">
        <v>1688</v>
      </c>
      <c r="I623">
        <v>11500</v>
      </c>
      <c r="J623">
        <v>0</v>
      </c>
      <c r="K623">
        <v>0</v>
      </c>
      <c r="L623">
        <v>50</v>
      </c>
      <c r="M623">
        <v>1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Y623">
        <v>0</v>
      </c>
      <c r="Z623">
        <v>0</v>
      </c>
      <c r="AA623">
        <v>0</v>
      </c>
      <c r="AB623" t="s">
        <v>2394</v>
      </c>
      <c r="AC623" t="s">
        <v>1731</v>
      </c>
      <c r="AD623" t="s">
        <v>2441</v>
      </c>
      <c r="AE623" t="s">
        <v>4</v>
      </c>
      <c r="AF623" t="s">
        <v>1</v>
      </c>
      <c r="AG623" t="s">
        <v>1</v>
      </c>
      <c r="AH623" t="s">
        <v>2462</v>
      </c>
      <c r="AI623" t="s">
        <v>3245</v>
      </c>
      <c r="AJ623" t="s">
        <v>1</v>
      </c>
      <c r="AK623">
        <v>9371218031</v>
      </c>
      <c r="AL623" t="s">
        <v>1</v>
      </c>
      <c r="AM623" t="s">
        <v>1</v>
      </c>
      <c r="AN623" t="s">
        <v>1</v>
      </c>
      <c r="AO623" t="s">
        <v>2462</v>
      </c>
      <c r="AP623" t="s">
        <v>1</v>
      </c>
      <c r="AQ623" t="s">
        <v>2</v>
      </c>
      <c r="AR623" t="s">
        <v>3</v>
      </c>
      <c r="AS623" t="s">
        <v>3</v>
      </c>
      <c r="AT623" t="s">
        <v>3</v>
      </c>
      <c r="AU623" t="s">
        <v>3</v>
      </c>
      <c r="AV623" t="s">
        <v>3</v>
      </c>
      <c r="AW623" t="s">
        <v>11</v>
      </c>
      <c r="AX623">
        <f>Tabla1[[#This Row],[precio del paquete]]-Tabla1[[#This Row],[Saldo_Deudor]]</f>
        <v>8550</v>
      </c>
      <c r="AY623">
        <v>2950</v>
      </c>
      <c r="AZ623" t="s">
        <v>1</v>
      </c>
      <c r="BA623" t="s">
        <v>1</v>
      </c>
      <c r="BB623" t="s">
        <v>1</v>
      </c>
      <c r="BC623" t="s">
        <v>3273</v>
      </c>
      <c r="BD623" t="s">
        <v>3324</v>
      </c>
      <c r="BE623" t="s">
        <v>3</v>
      </c>
      <c r="BF623" t="s">
        <v>3</v>
      </c>
      <c r="BG623" t="s">
        <v>3</v>
      </c>
      <c r="BH623" t="s">
        <v>3</v>
      </c>
      <c r="BI623" t="s">
        <v>3</v>
      </c>
      <c r="BJ623" t="s">
        <v>3363</v>
      </c>
      <c r="BK623" t="s">
        <v>3</v>
      </c>
      <c r="BL623" t="s">
        <v>132</v>
      </c>
      <c r="BM623" t="s">
        <v>1</v>
      </c>
      <c r="BN623">
        <f>Tabla1[[#This Row],[precio del paquete]]</f>
        <v>11500</v>
      </c>
      <c r="BO623" t="s">
        <v>1</v>
      </c>
      <c r="BP623" t="s">
        <v>1</v>
      </c>
      <c r="BQ623" t="s">
        <v>1</v>
      </c>
      <c r="BR623" t="s">
        <v>1</v>
      </c>
      <c r="BS623" t="s">
        <v>1</v>
      </c>
      <c r="BT623" t="s">
        <v>1</v>
      </c>
      <c r="BU623" t="s">
        <v>1</v>
      </c>
      <c r="BV623" t="s">
        <v>1</v>
      </c>
      <c r="BW623" t="s">
        <v>0</v>
      </c>
      <c r="BX623" t="s">
        <v>1</v>
      </c>
      <c r="BY623" t="s">
        <v>1</v>
      </c>
      <c r="BZ623" t="s">
        <v>1</v>
      </c>
      <c r="CA623" t="s">
        <v>1</v>
      </c>
      <c r="CB623" t="s">
        <v>3382</v>
      </c>
      <c r="CD623" t="str" cm="1">
        <f t="array" aca="1" ref="CD623" ca="1">eConcatenar(A623:CB623,"|")</f>
        <v>zLTnmo5Sokhz4pns|CAR2017-4440|3|ECONOLINE |TABASCO |CARDENAS|CARDENAS|2017-12-22|11500|0|0|50|1|0|0|0|0|0|0|0|0|0|0||0|0|0|GIL|GARCIA|GERARDO|SOLTERO|X|X|CALLE PRINCIPAL |EJIDO EL BAJIO SEGUNDA SECCION |X|9371218031|X|X|X|CALLE PRINCIPAL |X|LUNES|x|x|x|x|x|DOMICILIO |8550|2950|X|X|X|2022-01-18|2022-01-25|x|x|x|x|x|QX002LUS9KVTQO|x|HOMBRE|X|11500|X|X|X|X|X|X|X|X|CARDENAS|X|X|X|X|FINAL</v>
      </c>
    </row>
    <row r="624" spans="1:82" x14ac:dyDescent="0.25">
      <c r="A624" t="s">
        <v>1350</v>
      </c>
      <c r="B624" t="s">
        <v>1351</v>
      </c>
      <c r="C624">
        <v>3</v>
      </c>
      <c r="D624" t="s">
        <v>121</v>
      </c>
      <c r="E624" t="s">
        <v>12</v>
      </c>
      <c r="F624" t="s">
        <v>0</v>
      </c>
      <c r="G624" t="s">
        <v>0</v>
      </c>
      <c r="H624" t="s">
        <v>1689</v>
      </c>
      <c r="I624">
        <v>12900</v>
      </c>
      <c r="J624">
        <v>0</v>
      </c>
      <c r="K624">
        <v>0</v>
      </c>
      <c r="L624">
        <v>50</v>
      </c>
      <c r="M624">
        <v>1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Y624">
        <v>0</v>
      </c>
      <c r="Z624">
        <v>0</v>
      </c>
      <c r="AA624">
        <v>0</v>
      </c>
      <c r="AB624" t="s">
        <v>1912</v>
      </c>
      <c r="AC624" t="s">
        <v>1708</v>
      </c>
      <c r="AD624" t="s">
        <v>2442</v>
      </c>
      <c r="AE624" t="s">
        <v>4</v>
      </c>
      <c r="AF624" t="s">
        <v>1</v>
      </c>
      <c r="AG624" t="s">
        <v>1</v>
      </c>
      <c r="AH624" t="s">
        <v>2966</v>
      </c>
      <c r="AI624" t="s">
        <v>3162</v>
      </c>
      <c r="AJ624" t="s">
        <v>1</v>
      </c>
      <c r="AK624">
        <v>9371107267</v>
      </c>
      <c r="AL624" t="s">
        <v>1</v>
      </c>
      <c r="AM624" t="s">
        <v>1</v>
      </c>
      <c r="AN624" t="s">
        <v>1</v>
      </c>
      <c r="AO624" t="s">
        <v>2966</v>
      </c>
      <c r="AP624" t="s">
        <v>1</v>
      </c>
      <c r="AQ624" t="s">
        <v>2</v>
      </c>
      <c r="AR624" t="s">
        <v>3</v>
      </c>
      <c r="AS624" t="s">
        <v>3</v>
      </c>
      <c r="AT624" t="s">
        <v>3</v>
      </c>
      <c r="AU624" t="s">
        <v>3</v>
      </c>
      <c r="AV624" t="s">
        <v>3</v>
      </c>
      <c r="AW624" t="s">
        <v>11</v>
      </c>
      <c r="AX624">
        <f>Tabla1[[#This Row],[precio del paquete]]-Tabla1[[#This Row],[Saldo_Deudor]]</f>
        <v>9400</v>
      </c>
      <c r="AY624">
        <v>3500</v>
      </c>
      <c r="AZ624" t="s">
        <v>1</v>
      </c>
      <c r="BA624" t="s">
        <v>1</v>
      </c>
      <c r="BB624" t="s">
        <v>1</v>
      </c>
      <c r="BC624" t="s">
        <v>1387</v>
      </c>
      <c r="BD624" t="s">
        <v>1397</v>
      </c>
      <c r="BE624" t="s">
        <v>3</v>
      </c>
      <c r="BF624" t="s">
        <v>3</v>
      </c>
      <c r="BG624" t="s">
        <v>3</v>
      </c>
      <c r="BH624" t="s">
        <v>3</v>
      </c>
      <c r="BI624" t="s">
        <v>3</v>
      </c>
      <c r="BJ624" t="s">
        <v>3363</v>
      </c>
      <c r="BK624" t="s">
        <v>3</v>
      </c>
      <c r="BL624" t="s">
        <v>132</v>
      </c>
      <c r="BM624" t="s">
        <v>1</v>
      </c>
      <c r="BN624">
        <f>Tabla1[[#This Row],[precio del paquete]]</f>
        <v>12900</v>
      </c>
      <c r="BO624" t="s">
        <v>1</v>
      </c>
      <c r="BP624" t="s">
        <v>1</v>
      </c>
      <c r="BQ624" t="s">
        <v>1</v>
      </c>
      <c r="BR624" t="s">
        <v>1</v>
      </c>
      <c r="BS624" t="s">
        <v>1</v>
      </c>
      <c r="BT624" t="s">
        <v>1</v>
      </c>
      <c r="BU624" t="s">
        <v>1</v>
      </c>
      <c r="BV624" t="s">
        <v>1</v>
      </c>
      <c r="BW624" t="s">
        <v>0</v>
      </c>
      <c r="BX624" t="s">
        <v>1</v>
      </c>
      <c r="BY624" t="s">
        <v>1</v>
      </c>
      <c r="BZ624" t="s">
        <v>1</v>
      </c>
      <c r="CA624" t="s">
        <v>1</v>
      </c>
      <c r="CB624" t="s">
        <v>3382</v>
      </c>
      <c r="CD624" t="str" cm="1">
        <f t="array" aca="1" ref="CD624" ca="1">eConcatenar(A624:CB624,"|")</f>
        <v>qd1Slt1d4TQnl1Pg|CAR2020-0444-1|3|IMPERIAL DE LUJO |TABASCO |CARDENAS|CARDENAS|2020-01-23|12900|0|0|50|1|0|0|0|0|0|0|0|0|0|0||0|0|0|VIDAL||ZURISARA OLAN|SOLTERO|X|X|CALLE NUMERO 1|POBLADO C-29 VICENTE GUERRERO|X|9371107267|X|X|X|CALLE NUMERO 1|X|LUNES|x|x|x|x|x|DOMICILIO |9400|3500|X|X|X|2022-01-31|2022-02-07|x|x|x|x|x|QX002LUS9KVTQO|x|HOMBRE|X|12900|X|X|X|X|X|X|X|X|CARDENAS|X|X|X|X|FINAL</v>
      </c>
    </row>
    <row r="625" spans="1:82" x14ac:dyDescent="0.25">
      <c r="A625" t="s">
        <v>1352</v>
      </c>
      <c r="B625" t="s">
        <v>1353</v>
      </c>
      <c r="C625">
        <v>3</v>
      </c>
      <c r="D625" t="s">
        <v>1369</v>
      </c>
      <c r="E625" t="s">
        <v>12</v>
      </c>
      <c r="F625" t="s">
        <v>0</v>
      </c>
      <c r="G625" t="s">
        <v>0</v>
      </c>
      <c r="H625" t="s">
        <v>1625</v>
      </c>
      <c r="I625">
        <v>14800</v>
      </c>
      <c r="J625">
        <v>0</v>
      </c>
      <c r="K625">
        <v>200</v>
      </c>
      <c r="L625">
        <v>50</v>
      </c>
      <c r="M625">
        <v>1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Y625">
        <v>0</v>
      </c>
      <c r="Z625">
        <v>0</v>
      </c>
      <c r="AA625">
        <v>0</v>
      </c>
      <c r="AB625" t="s">
        <v>7</v>
      </c>
      <c r="AC625" t="s">
        <v>1708</v>
      </c>
      <c r="AD625" t="s">
        <v>2443</v>
      </c>
      <c r="AE625" t="s">
        <v>4</v>
      </c>
      <c r="AF625" t="s">
        <v>1</v>
      </c>
      <c r="AG625" t="s">
        <v>1</v>
      </c>
      <c r="AH625" t="s">
        <v>2967</v>
      </c>
      <c r="AI625" t="s">
        <v>3246</v>
      </c>
      <c r="AJ625" t="s">
        <v>1</v>
      </c>
      <c r="AK625">
        <v>9512486131</v>
      </c>
      <c r="AL625" t="s">
        <v>1</v>
      </c>
      <c r="AM625" t="s">
        <v>1</v>
      </c>
      <c r="AN625" t="s">
        <v>1</v>
      </c>
      <c r="AO625" t="s">
        <v>2967</v>
      </c>
      <c r="AP625" t="s">
        <v>1</v>
      </c>
      <c r="AQ625" t="s">
        <v>2</v>
      </c>
      <c r="AR625" t="s">
        <v>3</v>
      </c>
      <c r="AS625" t="s">
        <v>3</v>
      </c>
      <c r="AT625" t="s">
        <v>3</v>
      </c>
      <c r="AU625" t="s">
        <v>3</v>
      </c>
      <c r="AV625" t="s">
        <v>3</v>
      </c>
      <c r="AW625" t="s">
        <v>11</v>
      </c>
      <c r="AX625">
        <f>Tabla1[[#This Row],[precio del paquete]]-Tabla1[[#This Row],[Saldo_Deudor]]</f>
        <v>1600</v>
      </c>
      <c r="AY625">
        <v>13200</v>
      </c>
      <c r="AZ625" t="s">
        <v>1</v>
      </c>
      <c r="BA625" t="s">
        <v>1</v>
      </c>
      <c r="BB625" t="s">
        <v>1</v>
      </c>
      <c r="BC625" t="s">
        <v>1387</v>
      </c>
      <c r="BD625" t="s">
        <v>1397</v>
      </c>
      <c r="BE625" t="s">
        <v>3</v>
      </c>
      <c r="BF625" t="s">
        <v>3</v>
      </c>
      <c r="BG625" t="s">
        <v>3</v>
      </c>
      <c r="BH625" t="s">
        <v>3</v>
      </c>
      <c r="BI625" t="s">
        <v>3</v>
      </c>
      <c r="BJ625" t="s">
        <v>3363</v>
      </c>
      <c r="BK625" t="s">
        <v>3</v>
      </c>
      <c r="BL625" t="s">
        <v>132</v>
      </c>
      <c r="BM625" t="s">
        <v>1</v>
      </c>
      <c r="BN625">
        <f>Tabla1[[#This Row],[precio del paquete]]</f>
        <v>14800</v>
      </c>
      <c r="BO625" t="s">
        <v>1</v>
      </c>
      <c r="BP625" t="s">
        <v>1</v>
      </c>
      <c r="BQ625" t="s">
        <v>1</v>
      </c>
      <c r="BR625" t="s">
        <v>1</v>
      </c>
      <c r="BS625" t="s">
        <v>1</v>
      </c>
      <c r="BT625" t="s">
        <v>1</v>
      </c>
      <c r="BU625" t="s">
        <v>1</v>
      </c>
      <c r="BV625" t="s">
        <v>1</v>
      </c>
      <c r="BW625" t="s">
        <v>0</v>
      </c>
      <c r="BX625" t="s">
        <v>1</v>
      </c>
      <c r="BY625" t="s">
        <v>1</v>
      </c>
      <c r="BZ625" t="s">
        <v>1</v>
      </c>
      <c r="CA625" t="s">
        <v>1</v>
      </c>
      <c r="CB625" t="s">
        <v>3382</v>
      </c>
      <c r="CD625" t="str" cm="1">
        <f t="array" aca="1" ref="CD625" ca="1">eConcatenar(A625:CB625,"|")</f>
        <v>jDVkWdVLbCU7PTWt|CAR2021-7006|3|MEMORIAL|TABASCO |CARDENAS|CARDENAS|2021-01-15|14800|0|200|50|1|0|0|0|0|0|0|0|0|0|0||0|0|0|LOPEZ||DANTE SUMANO|SOLTERO|X|X|CALLE NUMERO 5|POBLADO C-28 GREGORIO MENDEZ MAGAÃ‘A|X|9512486131|X|X|X|CALLE NUMERO 5|X|LUNES|x|x|x|x|x|DOMICILIO |1600|13200|X|X|X|2022-01-31|2022-02-07|x|x|x|x|x|QX002LUS9KVTQO|x|HOMBRE|X|14800|X|X|X|X|X|X|X|X|CARDENAS|X|X|X|X|FINAL</v>
      </c>
    </row>
    <row r="626" spans="1:82" x14ac:dyDescent="0.25">
      <c r="A626" t="s">
        <v>1354</v>
      </c>
      <c r="B626" t="s">
        <v>1355</v>
      </c>
      <c r="C626">
        <v>3</v>
      </c>
      <c r="D626" t="s">
        <v>1369</v>
      </c>
      <c r="E626" t="s">
        <v>12</v>
      </c>
      <c r="F626" t="s">
        <v>0</v>
      </c>
      <c r="G626" t="s">
        <v>0</v>
      </c>
      <c r="H626" t="s">
        <v>1423</v>
      </c>
      <c r="I626">
        <v>14800</v>
      </c>
      <c r="J626">
        <v>0</v>
      </c>
      <c r="K626">
        <v>100</v>
      </c>
      <c r="L626">
        <v>50</v>
      </c>
      <c r="M626">
        <v>1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Y626">
        <v>0</v>
      </c>
      <c r="Z626">
        <v>0</v>
      </c>
      <c r="AA626">
        <v>0</v>
      </c>
      <c r="AB626" t="s">
        <v>1769</v>
      </c>
      <c r="AC626" t="s">
        <v>1708</v>
      </c>
      <c r="AD626" t="s">
        <v>2444</v>
      </c>
      <c r="AE626" t="s">
        <v>4</v>
      </c>
      <c r="AF626" t="s">
        <v>1</v>
      </c>
      <c r="AG626" t="s">
        <v>1</v>
      </c>
      <c r="AH626" t="s">
        <v>2968</v>
      </c>
      <c r="AI626" t="s">
        <v>3160</v>
      </c>
      <c r="AJ626" t="s">
        <v>1</v>
      </c>
      <c r="AK626">
        <v>9371094644</v>
      </c>
      <c r="AL626" t="s">
        <v>1</v>
      </c>
      <c r="AM626" t="s">
        <v>1</v>
      </c>
      <c r="AN626" t="s">
        <v>1</v>
      </c>
      <c r="AO626" t="s">
        <v>2968</v>
      </c>
      <c r="AP626" t="s">
        <v>1</v>
      </c>
      <c r="AQ626" t="s">
        <v>2</v>
      </c>
      <c r="AR626" t="s">
        <v>3</v>
      </c>
      <c r="AS626" t="s">
        <v>3</v>
      </c>
      <c r="AT626" t="s">
        <v>3</v>
      </c>
      <c r="AU626" t="s">
        <v>3</v>
      </c>
      <c r="AV626" t="s">
        <v>3</v>
      </c>
      <c r="AW626" t="s">
        <v>11</v>
      </c>
      <c r="AX626">
        <f>Tabla1[[#This Row],[precio del paquete]]-Tabla1[[#This Row],[Saldo_Deudor]]</f>
        <v>2600</v>
      </c>
      <c r="AY626">
        <v>12200</v>
      </c>
      <c r="AZ626" t="s">
        <v>1</v>
      </c>
      <c r="BA626" t="s">
        <v>1</v>
      </c>
      <c r="BB626" t="s">
        <v>1</v>
      </c>
      <c r="BC626" t="s">
        <v>1389</v>
      </c>
      <c r="BD626" t="s">
        <v>1402</v>
      </c>
      <c r="BE626" t="s">
        <v>3</v>
      </c>
      <c r="BF626" t="s">
        <v>3</v>
      </c>
      <c r="BG626" t="s">
        <v>3</v>
      </c>
      <c r="BH626" t="s">
        <v>3</v>
      </c>
      <c r="BI626" t="s">
        <v>3</v>
      </c>
      <c r="BJ626" t="s">
        <v>3363</v>
      </c>
      <c r="BK626" t="s">
        <v>3</v>
      </c>
      <c r="BL626" t="s">
        <v>132</v>
      </c>
      <c r="BM626" t="s">
        <v>1</v>
      </c>
      <c r="BN626">
        <f>Tabla1[[#This Row],[precio del paquete]]</f>
        <v>14800</v>
      </c>
      <c r="BO626" t="s">
        <v>1</v>
      </c>
      <c r="BP626" t="s">
        <v>1</v>
      </c>
      <c r="BQ626" t="s">
        <v>1</v>
      </c>
      <c r="BR626" t="s">
        <v>1</v>
      </c>
      <c r="BS626" t="s">
        <v>1</v>
      </c>
      <c r="BT626" t="s">
        <v>1</v>
      </c>
      <c r="BU626" t="s">
        <v>1</v>
      </c>
      <c r="BV626" t="s">
        <v>1</v>
      </c>
      <c r="BW626" t="s">
        <v>0</v>
      </c>
      <c r="BX626" t="s">
        <v>1</v>
      </c>
      <c r="BY626" t="s">
        <v>1</v>
      </c>
      <c r="BZ626" t="s">
        <v>1</v>
      </c>
      <c r="CA626" t="s">
        <v>1</v>
      </c>
      <c r="CB626" t="s">
        <v>3382</v>
      </c>
      <c r="CD626" t="str" cm="1">
        <f t="array" aca="1" ref="CD626" ca="1">eConcatenar(A626:CB626,"|")</f>
        <v>q9VKmBdLe3FxPtwS|CAR2021-2472|3|MEMORIAL|TABASCO |CARDENAS|CARDENAS|2021-06-10|14800|0|100|50|1|0|0|0|0|0|0|0|0|0|0||0|0|0|TORRES||LETICIA MENDEZ|SOLTERO|X|X|CARRETERA AL POBLDO C 29|RANCHERIA ARROYO HONDO|X|9371094644|X|X|X|CARRETERA AL POBLDO C 29|X|LUNES|x|x|x|x|x|DOMICILIO |2600|12200|X|X|X|2022-02-01|2022-02-08|x|x|x|x|x|QX002LUS9KVTQO|x|HOMBRE|X|14800|X|X|X|X|X|X|X|X|CARDENAS|X|X|X|X|FINAL</v>
      </c>
    </row>
    <row r="627" spans="1:82" x14ac:dyDescent="0.25">
      <c r="A627" t="s">
        <v>1356</v>
      </c>
      <c r="B627" t="s">
        <v>1357</v>
      </c>
      <c r="C627">
        <v>3</v>
      </c>
      <c r="D627" t="s">
        <v>1369</v>
      </c>
      <c r="E627" t="s">
        <v>12</v>
      </c>
      <c r="F627" t="s">
        <v>10</v>
      </c>
      <c r="G627" t="s">
        <v>10</v>
      </c>
      <c r="H627" t="s">
        <v>1423</v>
      </c>
      <c r="I627">
        <v>14800</v>
      </c>
      <c r="J627">
        <v>0</v>
      </c>
      <c r="K627">
        <v>100</v>
      </c>
      <c r="L627">
        <v>50</v>
      </c>
      <c r="M627">
        <v>1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Y627">
        <v>0</v>
      </c>
      <c r="Z627">
        <v>0</v>
      </c>
      <c r="AA627">
        <v>0</v>
      </c>
      <c r="AB627" t="s">
        <v>1744</v>
      </c>
      <c r="AC627" t="s">
        <v>1708</v>
      </c>
      <c r="AD627" t="s">
        <v>2445</v>
      </c>
      <c r="AE627" t="s">
        <v>4</v>
      </c>
      <c r="AF627" t="s">
        <v>1</v>
      </c>
      <c r="AG627" t="s">
        <v>1</v>
      </c>
      <c r="AH627" t="s">
        <v>2969</v>
      </c>
      <c r="AI627" t="s">
        <v>3160</v>
      </c>
      <c r="AJ627" t="s">
        <v>1</v>
      </c>
      <c r="AK627">
        <v>9371052091</v>
      </c>
      <c r="AL627" t="s">
        <v>1</v>
      </c>
      <c r="AM627" t="s">
        <v>1</v>
      </c>
      <c r="AN627" t="s">
        <v>1</v>
      </c>
      <c r="AO627" t="s">
        <v>2969</v>
      </c>
      <c r="AP627" t="s">
        <v>1</v>
      </c>
      <c r="AQ627" t="s">
        <v>2</v>
      </c>
      <c r="AR627" t="s">
        <v>3</v>
      </c>
      <c r="AS627" t="s">
        <v>3</v>
      </c>
      <c r="AT627" t="s">
        <v>3</v>
      </c>
      <c r="AU627" t="s">
        <v>3</v>
      </c>
      <c r="AV627" t="s">
        <v>3</v>
      </c>
      <c r="AW627" t="s">
        <v>11</v>
      </c>
      <c r="AX627">
        <f>Tabla1[[#This Row],[precio del paquete]]-Tabla1[[#This Row],[Saldo_Deudor]]</f>
        <v>2820</v>
      </c>
      <c r="AY627">
        <v>11980</v>
      </c>
      <c r="AZ627" t="s">
        <v>1</v>
      </c>
      <c r="BA627" t="s">
        <v>1</v>
      </c>
      <c r="BB627" t="s">
        <v>1</v>
      </c>
      <c r="BC627" t="s">
        <v>3255</v>
      </c>
      <c r="BD627" t="s">
        <v>3256</v>
      </c>
      <c r="BE627" t="s">
        <v>3</v>
      </c>
      <c r="BF627" t="s">
        <v>3</v>
      </c>
      <c r="BG627" t="s">
        <v>3</v>
      </c>
      <c r="BH627" t="s">
        <v>3</v>
      </c>
      <c r="BI627" t="s">
        <v>3</v>
      </c>
      <c r="BJ627" t="s">
        <v>3363</v>
      </c>
      <c r="BK627" t="s">
        <v>3</v>
      </c>
      <c r="BL627" t="s">
        <v>132</v>
      </c>
      <c r="BM627" t="s">
        <v>1</v>
      </c>
      <c r="BN627">
        <f>Tabla1[[#This Row],[precio del paquete]]</f>
        <v>14800</v>
      </c>
      <c r="BO627" t="s">
        <v>1</v>
      </c>
      <c r="BP627" t="s">
        <v>1</v>
      </c>
      <c r="BQ627" t="s">
        <v>1</v>
      </c>
      <c r="BR627" t="s">
        <v>1</v>
      </c>
      <c r="BS627" t="s">
        <v>1</v>
      </c>
      <c r="BT627" t="s">
        <v>1</v>
      </c>
      <c r="BU627" t="s">
        <v>1</v>
      </c>
      <c r="BV627" t="s">
        <v>1</v>
      </c>
      <c r="BW627" t="s">
        <v>0</v>
      </c>
      <c r="BX627" t="s">
        <v>1</v>
      </c>
      <c r="BY627" t="s">
        <v>1</v>
      </c>
      <c r="BZ627" t="s">
        <v>1</v>
      </c>
      <c r="CA627" t="s">
        <v>1</v>
      </c>
      <c r="CB627" t="s">
        <v>3382</v>
      </c>
      <c r="CD627" t="str" cm="1">
        <f t="array" aca="1" ref="CD627" ca="1">eConcatenar(A627:CB627,"|")</f>
        <v>iEd5fshHwdyyuC4l|CAR2021-2463|3|MEMORIAL|TABASCO |CARDENAS |CARDENAS |2021-06-10|14800|0|100|50|1|0|0|0|0|0|0|0|0|0|0||0|0|0|PEREZ||LILLY JIMENEZ|SOLTERO|X|X|CARRETERA LA SEIS |RANCHERIA ARROYO HONDO|X|9371052091|X|X|X|CARRETERA LA SEIS |X|LUNES|x|x|x|x|x|DOMICILIO |2820|11980|X|X|X|2022-02-14|2022-02-21|x|x|x|x|x|QX002LUS9KVTQO|x|HOMBRE|X|14800|X|X|X|X|X|X|X|X|CARDENAS|X|X|X|X|FINAL</v>
      </c>
    </row>
    <row r="628" spans="1:82" x14ac:dyDescent="0.25">
      <c r="A628" t="s">
        <v>1358</v>
      </c>
      <c r="B628" t="s">
        <v>1359</v>
      </c>
      <c r="C628">
        <v>3</v>
      </c>
      <c r="D628" t="s">
        <v>1369</v>
      </c>
      <c r="E628" t="s">
        <v>12</v>
      </c>
      <c r="F628" t="s">
        <v>10</v>
      </c>
      <c r="G628" t="s">
        <v>10</v>
      </c>
      <c r="H628" t="s">
        <v>1690</v>
      </c>
      <c r="I628">
        <v>14800</v>
      </c>
      <c r="J628">
        <v>0</v>
      </c>
      <c r="K628">
        <v>0</v>
      </c>
      <c r="L628">
        <v>50</v>
      </c>
      <c r="M628">
        <v>1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Y628">
        <v>0</v>
      </c>
      <c r="Z628">
        <v>0</v>
      </c>
      <c r="AA628">
        <v>0</v>
      </c>
      <c r="AB628" t="s">
        <v>1919</v>
      </c>
      <c r="AC628" t="s">
        <v>1708</v>
      </c>
      <c r="AD628" t="s">
        <v>2446</v>
      </c>
      <c r="AE628" t="s">
        <v>4</v>
      </c>
      <c r="AF628" t="s">
        <v>1</v>
      </c>
      <c r="AG628" t="s">
        <v>1</v>
      </c>
      <c r="AH628" t="s">
        <v>2922</v>
      </c>
      <c r="AI628" t="s">
        <v>3247</v>
      </c>
      <c r="AJ628" t="s">
        <v>1</v>
      </c>
      <c r="AK628">
        <v>9371676030</v>
      </c>
      <c r="AL628" t="s">
        <v>1</v>
      </c>
      <c r="AM628" t="s">
        <v>1</v>
      </c>
      <c r="AN628" t="s">
        <v>1</v>
      </c>
      <c r="AO628" t="s">
        <v>2922</v>
      </c>
      <c r="AP628" t="s">
        <v>1</v>
      </c>
      <c r="AQ628" t="s">
        <v>2</v>
      </c>
      <c r="AR628" t="s">
        <v>3</v>
      </c>
      <c r="AS628" t="s">
        <v>3</v>
      </c>
      <c r="AT628" t="s">
        <v>3</v>
      </c>
      <c r="AU628" t="s">
        <v>3</v>
      </c>
      <c r="AV628" t="s">
        <v>3</v>
      </c>
      <c r="AW628" t="s">
        <v>11</v>
      </c>
      <c r="AX628">
        <f>Tabla1[[#This Row],[precio del paquete]]-Tabla1[[#This Row],[Saldo_Deudor]]</f>
        <v>3200</v>
      </c>
      <c r="AY628">
        <v>11600</v>
      </c>
      <c r="AZ628" t="s">
        <v>1</v>
      </c>
      <c r="BA628" t="s">
        <v>1</v>
      </c>
      <c r="BB628" t="s">
        <v>1</v>
      </c>
      <c r="BC628" t="s">
        <v>3255</v>
      </c>
      <c r="BD628" t="s">
        <v>3256</v>
      </c>
      <c r="BE628" t="s">
        <v>3</v>
      </c>
      <c r="BF628" t="s">
        <v>3</v>
      </c>
      <c r="BG628" t="s">
        <v>3</v>
      </c>
      <c r="BH628" t="s">
        <v>3</v>
      </c>
      <c r="BI628" t="s">
        <v>3</v>
      </c>
      <c r="BJ628" t="s">
        <v>3363</v>
      </c>
      <c r="BK628" t="s">
        <v>3</v>
      </c>
      <c r="BL628" t="s">
        <v>132</v>
      </c>
      <c r="BM628" t="s">
        <v>1</v>
      </c>
      <c r="BN628">
        <f>Tabla1[[#This Row],[precio del paquete]]</f>
        <v>14800</v>
      </c>
      <c r="BO628" t="s">
        <v>1</v>
      </c>
      <c r="BP628" t="s">
        <v>1</v>
      </c>
      <c r="BQ628" t="s">
        <v>1</v>
      </c>
      <c r="BR628" t="s">
        <v>1</v>
      </c>
      <c r="BS628" t="s">
        <v>1</v>
      </c>
      <c r="BT628" t="s">
        <v>1</v>
      </c>
      <c r="BU628" t="s">
        <v>1</v>
      </c>
      <c r="BV628" t="s">
        <v>1</v>
      </c>
      <c r="BW628" t="s">
        <v>0</v>
      </c>
      <c r="BX628" t="s">
        <v>1</v>
      </c>
      <c r="BY628" t="s">
        <v>1</v>
      </c>
      <c r="BZ628" t="s">
        <v>1</v>
      </c>
      <c r="CA628" t="s">
        <v>1</v>
      </c>
      <c r="CB628" t="s">
        <v>3382</v>
      </c>
      <c r="CD628" t="str" cm="1">
        <f t="array" aca="1" ref="CD628" ca="1">eConcatenar(A628:CB628,"|")</f>
        <v>XgCi5MBBKdb2ozjm|CAR2021-2423|3|MEMORIAL|TABASCO |CARDENAS |CARDENAS |2021-06-05|14800|0|0|50|1|0|0|0|0|0|0|0|0|0|0||0|0|0|RAMIREZ||GUMERCINDA ROMAN|SOLTERO|X|X|CALLE NUMERO 6|COLONIA C-34 LICENCIADO BENITO JUAREZ|X|9371676030|X|X|X|CALLE NUMERO 6|X|LUNES|x|x|x|x|x|DOMICILIO |3200|11600|X|X|X|2022-02-14|2022-02-21|x|x|x|x|x|QX002LUS9KVTQO|x|HOMBRE|X|14800|X|X|X|X|X|X|X|X|CARDENAS|X|X|X|X|FINAL</v>
      </c>
    </row>
    <row r="629" spans="1:82" x14ac:dyDescent="0.25">
      <c r="A629" t="s">
        <v>1360</v>
      </c>
      <c r="B629" t="s">
        <v>1361</v>
      </c>
      <c r="C629">
        <v>3</v>
      </c>
      <c r="D629" t="s">
        <v>1369</v>
      </c>
      <c r="E629" t="s">
        <v>12</v>
      </c>
      <c r="F629" t="s">
        <v>10</v>
      </c>
      <c r="G629" t="s">
        <v>10</v>
      </c>
      <c r="H629" t="s">
        <v>1499</v>
      </c>
      <c r="I629">
        <v>14800</v>
      </c>
      <c r="J629">
        <v>0</v>
      </c>
      <c r="K629">
        <v>50</v>
      </c>
      <c r="L629">
        <v>50</v>
      </c>
      <c r="M629">
        <v>1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Y629">
        <v>0</v>
      </c>
      <c r="Z629">
        <v>0</v>
      </c>
      <c r="AA629">
        <v>0</v>
      </c>
      <c r="AB629" t="s">
        <v>2196</v>
      </c>
      <c r="AC629" t="s">
        <v>2394</v>
      </c>
      <c r="AD629" t="s">
        <v>2447</v>
      </c>
      <c r="AE629" t="s">
        <v>4</v>
      </c>
      <c r="AF629" t="s">
        <v>1</v>
      </c>
      <c r="AG629" t="s">
        <v>1</v>
      </c>
      <c r="AH629" t="s">
        <v>2970</v>
      </c>
      <c r="AI629" t="s">
        <v>3248</v>
      </c>
      <c r="AJ629" t="s">
        <v>1</v>
      </c>
      <c r="AK629">
        <v>9372306671</v>
      </c>
      <c r="AL629" t="s">
        <v>1</v>
      </c>
      <c r="AM629" t="s">
        <v>1</v>
      </c>
      <c r="AN629" t="s">
        <v>1</v>
      </c>
      <c r="AO629" t="s">
        <v>2970</v>
      </c>
      <c r="AP629" t="s">
        <v>1</v>
      </c>
      <c r="AQ629" t="s">
        <v>2</v>
      </c>
      <c r="AR629" t="s">
        <v>3</v>
      </c>
      <c r="AS629" t="s">
        <v>3</v>
      </c>
      <c r="AT629" t="s">
        <v>3</v>
      </c>
      <c r="AU629" t="s">
        <v>3</v>
      </c>
      <c r="AV629" t="s">
        <v>3</v>
      </c>
      <c r="AW629" t="s">
        <v>11</v>
      </c>
      <c r="AX629">
        <f>Tabla1[[#This Row],[precio del paquete]]-Tabla1[[#This Row],[Saldo_Deudor]]</f>
        <v>250</v>
      </c>
      <c r="AY629">
        <v>14550</v>
      </c>
      <c r="AZ629" t="s">
        <v>1</v>
      </c>
      <c r="BA629" t="s">
        <v>1</v>
      </c>
      <c r="BB629" t="s">
        <v>1</v>
      </c>
      <c r="BC629" t="s">
        <v>3255</v>
      </c>
      <c r="BD629" t="s">
        <v>3256</v>
      </c>
      <c r="BE629" t="s">
        <v>3</v>
      </c>
      <c r="BF629" t="s">
        <v>3</v>
      </c>
      <c r="BG629" t="s">
        <v>3</v>
      </c>
      <c r="BH629" t="s">
        <v>3</v>
      </c>
      <c r="BI629" t="s">
        <v>3</v>
      </c>
      <c r="BJ629" t="s">
        <v>3363</v>
      </c>
      <c r="BK629" t="s">
        <v>3</v>
      </c>
      <c r="BL629" t="s">
        <v>132</v>
      </c>
      <c r="BM629" t="s">
        <v>1</v>
      </c>
      <c r="BN629">
        <f>Tabla1[[#This Row],[precio del paquete]]</f>
        <v>14800</v>
      </c>
      <c r="BO629" t="s">
        <v>1</v>
      </c>
      <c r="BP629" t="s">
        <v>1</v>
      </c>
      <c r="BQ629" t="s">
        <v>1</v>
      </c>
      <c r="BR629" t="s">
        <v>1</v>
      </c>
      <c r="BS629" t="s">
        <v>1</v>
      </c>
      <c r="BT629" t="s">
        <v>1</v>
      </c>
      <c r="BU629" t="s">
        <v>1</v>
      </c>
      <c r="BV629" t="s">
        <v>1</v>
      </c>
      <c r="BW629" t="s">
        <v>0</v>
      </c>
      <c r="BX629" t="s">
        <v>1</v>
      </c>
      <c r="BY629" t="s">
        <v>1</v>
      </c>
      <c r="BZ629" t="s">
        <v>1</v>
      </c>
      <c r="CA629" t="s">
        <v>1</v>
      </c>
      <c r="CB629" t="s">
        <v>3382</v>
      </c>
      <c r="CD629" t="str" cm="1">
        <f t="array" aca="1" ref="CD629" ca="1">eConcatenar(A629:CB629,"|")</f>
        <v>Wl3HbPi6tdICe5Ld|CAR2021-7641|3|MEMORIAL|TABASCO |CARDENAS |CARDENAS |2021-12-22|14800|0|50|50|1|0|0|0|0|0|0|0|0|0|0||0|0|0|CARRILLO|GIL|LARISA SULEIMA|SOLTERO|X|X|CALLE 10|POBLADO C-27 EDUARDO CHAVEZ RAMIREZ|X|9372306671|X|X|X|CALLE 10|X|LUNES|x|x|x|x|x|DOMICILIO |250|14550|X|X|X|2022-02-14|2022-02-21|x|x|x|x|x|QX002LUS9KVTQO|x|HOMBRE|X|14800|X|X|X|X|X|X|X|X|CARDENAS|X|X|X|X|FINAL</v>
      </c>
    </row>
    <row r="630" spans="1:82" x14ac:dyDescent="0.25">
      <c r="A630" t="s">
        <v>1362</v>
      </c>
      <c r="B630" t="s">
        <v>1363</v>
      </c>
      <c r="C630">
        <v>3</v>
      </c>
      <c r="D630" t="s">
        <v>1369</v>
      </c>
      <c r="E630" t="s">
        <v>12</v>
      </c>
      <c r="F630" t="s">
        <v>10</v>
      </c>
      <c r="G630" t="s">
        <v>10</v>
      </c>
      <c r="H630" t="s">
        <v>1660</v>
      </c>
      <c r="I630">
        <v>14800</v>
      </c>
      <c r="J630">
        <v>0</v>
      </c>
      <c r="K630">
        <v>100</v>
      </c>
      <c r="L630">
        <v>50</v>
      </c>
      <c r="M630">
        <v>1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Y630">
        <v>0</v>
      </c>
      <c r="Z630">
        <v>0</v>
      </c>
      <c r="AA630">
        <v>0</v>
      </c>
      <c r="AB630" t="s">
        <v>1812</v>
      </c>
      <c r="AC630" t="s">
        <v>7</v>
      </c>
      <c r="AD630" t="s">
        <v>2448</v>
      </c>
      <c r="AE630" t="s">
        <v>4</v>
      </c>
      <c r="AF630" t="s">
        <v>1</v>
      </c>
      <c r="AG630" t="s">
        <v>1</v>
      </c>
      <c r="AH630" t="s">
        <v>2603</v>
      </c>
      <c r="AI630" t="s">
        <v>3246</v>
      </c>
      <c r="AJ630" t="s">
        <v>1</v>
      </c>
      <c r="AK630">
        <v>9371622115</v>
      </c>
      <c r="AL630" t="s">
        <v>1</v>
      </c>
      <c r="AM630" t="s">
        <v>1</v>
      </c>
      <c r="AN630" t="s">
        <v>1</v>
      </c>
      <c r="AO630" t="s">
        <v>2603</v>
      </c>
      <c r="AP630" t="s">
        <v>1</v>
      </c>
      <c r="AQ630" t="s">
        <v>2</v>
      </c>
      <c r="AR630" t="s">
        <v>3</v>
      </c>
      <c r="AS630" t="s">
        <v>3</v>
      </c>
      <c r="AT630" t="s">
        <v>3</v>
      </c>
      <c r="AU630" t="s">
        <v>3</v>
      </c>
      <c r="AV630" t="s">
        <v>3</v>
      </c>
      <c r="AW630" t="s">
        <v>11</v>
      </c>
      <c r="AX630">
        <f>Tabla1[[#This Row],[precio del paquete]]-Tabla1[[#This Row],[Saldo_Deudor]]</f>
        <v>1500</v>
      </c>
      <c r="AY630">
        <v>13300</v>
      </c>
      <c r="AZ630" t="s">
        <v>1</v>
      </c>
      <c r="BA630" t="s">
        <v>1</v>
      </c>
      <c r="BB630" t="s">
        <v>1</v>
      </c>
      <c r="BC630" t="s">
        <v>1405</v>
      </c>
      <c r="BD630" t="s">
        <v>3251</v>
      </c>
      <c r="BE630" t="s">
        <v>3</v>
      </c>
      <c r="BF630" t="s">
        <v>3</v>
      </c>
      <c r="BG630" t="s">
        <v>3</v>
      </c>
      <c r="BH630" t="s">
        <v>3</v>
      </c>
      <c r="BI630" t="s">
        <v>3</v>
      </c>
      <c r="BJ630" t="s">
        <v>3363</v>
      </c>
      <c r="BK630" t="s">
        <v>3</v>
      </c>
      <c r="BL630" t="s">
        <v>132</v>
      </c>
      <c r="BM630" t="s">
        <v>1</v>
      </c>
      <c r="BN630">
        <f>Tabla1[[#This Row],[precio del paquete]]</f>
        <v>14800</v>
      </c>
      <c r="BO630" t="s">
        <v>1</v>
      </c>
      <c r="BP630" t="s">
        <v>1</v>
      </c>
      <c r="BQ630" t="s">
        <v>1</v>
      </c>
      <c r="BR630" t="s">
        <v>1</v>
      </c>
      <c r="BS630" t="s">
        <v>1</v>
      </c>
      <c r="BT630" t="s">
        <v>1</v>
      </c>
      <c r="BU630" t="s">
        <v>1</v>
      </c>
      <c r="BV630" t="s">
        <v>1</v>
      </c>
      <c r="BW630" t="s">
        <v>0</v>
      </c>
      <c r="BX630" t="s">
        <v>1</v>
      </c>
      <c r="BY630" t="s">
        <v>1</v>
      </c>
      <c r="BZ630" t="s">
        <v>1</v>
      </c>
      <c r="CA630" t="s">
        <v>1</v>
      </c>
      <c r="CB630" t="s">
        <v>3382</v>
      </c>
      <c r="CD630" t="str" cm="1">
        <f t="array" aca="1" ref="CD630" ca="1">eConcatenar(A630:CB630,"|")</f>
        <v>I71rHVS440Tu5psT|CAR2021-6059|3|MEMORIAL|TABASCO |CARDENAS |CARDENAS |2021-10-12|14800|0|100|50|1|0|0|0|0|0|0|0|0|0|0||0|0|0|SANCHEZ|LOPEZ|HECTOR DANIEL|SOLTERO|X|X|CARRETERA PRINCIPAL |POBLADO C-28 GREGORIO MENDEZ MAGAÃ‘A|X|9371622115|X|X|X|CARRETERA PRINCIPAL |X|LUNES|x|x|x|x|x|DOMICILIO |1500|13300|X|X|X|2022-02-15|2022-02-22|x|x|x|x|x|QX002LUS9KVTQO|x|HOMBRE|X|14800|X|X|X|X|X|X|X|X|CARDENAS|X|X|X|X|FINAL</v>
      </c>
    </row>
    <row r="631" spans="1:82" x14ac:dyDescent="0.25">
      <c r="A631" t="s">
        <v>1364</v>
      </c>
      <c r="B631" t="s">
        <v>1365</v>
      </c>
      <c r="C631">
        <v>3</v>
      </c>
      <c r="D631" t="s">
        <v>1369</v>
      </c>
      <c r="E631" t="s">
        <v>12</v>
      </c>
      <c r="F631" t="s">
        <v>10</v>
      </c>
      <c r="G631" t="s">
        <v>10</v>
      </c>
      <c r="H631" t="s">
        <v>1511</v>
      </c>
      <c r="I631">
        <v>24500</v>
      </c>
      <c r="J631">
        <v>0</v>
      </c>
      <c r="K631">
        <v>300</v>
      </c>
      <c r="L631">
        <v>50</v>
      </c>
      <c r="M631">
        <v>1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Y631">
        <v>0</v>
      </c>
      <c r="Z631">
        <v>0</v>
      </c>
      <c r="AA631">
        <v>0</v>
      </c>
      <c r="AB631" t="s">
        <v>7</v>
      </c>
      <c r="AC631" t="s">
        <v>1708</v>
      </c>
      <c r="AD631" t="s">
        <v>2449</v>
      </c>
      <c r="AE631" t="s">
        <v>4</v>
      </c>
      <c r="AF631" t="s">
        <v>1</v>
      </c>
      <c r="AG631" t="s">
        <v>1</v>
      </c>
      <c r="AH631" t="s">
        <v>2971</v>
      </c>
      <c r="AI631" t="s">
        <v>3235</v>
      </c>
      <c r="AJ631" t="s">
        <v>1</v>
      </c>
      <c r="AK631">
        <v>9371232463</v>
      </c>
      <c r="AL631" t="s">
        <v>1</v>
      </c>
      <c r="AM631" t="s">
        <v>1</v>
      </c>
      <c r="AN631" t="s">
        <v>1</v>
      </c>
      <c r="AO631" t="s">
        <v>2971</v>
      </c>
      <c r="AP631" t="s">
        <v>1</v>
      </c>
      <c r="AQ631" t="s">
        <v>2</v>
      </c>
      <c r="AR631" t="s">
        <v>3</v>
      </c>
      <c r="AS631" t="s">
        <v>3</v>
      </c>
      <c r="AT631" t="s">
        <v>3</v>
      </c>
      <c r="AU631" t="s">
        <v>3</v>
      </c>
      <c r="AV631" t="s">
        <v>3</v>
      </c>
      <c r="AW631" t="s">
        <v>11</v>
      </c>
      <c r="AX631">
        <f>Tabla1[[#This Row],[precio del paquete]]-Tabla1[[#This Row],[Saldo_Deudor]]</f>
        <v>900</v>
      </c>
      <c r="AY631">
        <v>23600</v>
      </c>
      <c r="AZ631" t="s">
        <v>1</v>
      </c>
      <c r="BA631" t="s">
        <v>1</v>
      </c>
      <c r="BB631" t="s">
        <v>1</v>
      </c>
      <c r="BC631" t="s">
        <v>3251</v>
      </c>
      <c r="BD631" t="s">
        <v>3309</v>
      </c>
      <c r="BE631" t="s">
        <v>3</v>
      </c>
      <c r="BF631" t="s">
        <v>3</v>
      </c>
      <c r="BG631" t="s">
        <v>3</v>
      </c>
      <c r="BH631" t="s">
        <v>3</v>
      </c>
      <c r="BI631" t="s">
        <v>3</v>
      </c>
      <c r="BJ631" t="s">
        <v>3363</v>
      </c>
      <c r="BK631" t="s">
        <v>3</v>
      </c>
      <c r="BL631" t="s">
        <v>132</v>
      </c>
      <c r="BM631" t="s">
        <v>1</v>
      </c>
      <c r="BN631">
        <f>Tabla1[[#This Row],[precio del paquete]]</f>
        <v>24500</v>
      </c>
      <c r="BO631" t="s">
        <v>1</v>
      </c>
      <c r="BP631" t="s">
        <v>1</v>
      </c>
      <c r="BQ631" t="s">
        <v>1</v>
      </c>
      <c r="BR631" t="s">
        <v>1</v>
      </c>
      <c r="BS631" t="s">
        <v>1</v>
      </c>
      <c r="BT631" t="s">
        <v>1</v>
      </c>
      <c r="BU631" t="s">
        <v>1</v>
      </c>
      <c r="BV631" t="s">
        <v>1</v>
      </c>
      <c r="BW631" t="s">
        <v>0</v>
      </c>
      <c r="BX631" t="s">
        <v>1</v>
      </c>
      <c r="BY631" t="s">
        <v>1</v>
      </c>
      <c r="BZ631" t="s">
        <v>1</v>
      </c>
      <c r="CA631" t="s">
        <v>1</v>
      </c>
      <c r="CB631" t="s">
        <v>3382</v>
      </c>
      <c r="CD631" t="str" cm="1">
        <f t="array" aca="1" ref="CD631" ca="1">eConcatenar(A631:CB631,"|")</f>
        <v>pf1O5R8ae80lPZs1|CAR2021-5448|3|MEMORIAL|TABASCO |CARDENAS |CARDENAS |2021-09-18|24500|0|300|50|1|0|0|0|0|0|0|0|0|0|0||0|0|0|LOPEZ||ALEJANDRA GERONIMO|SOLTERO|X|X|CALLE MIGUEL NOVEROLA |COLONIA INFONAVIT LOMA BONITA|X|9371232463|X|X|X|CALLE MIGUEL NOVEROLA |X|LUNES|x|x|x|x|x|DOMICILIO |900|23600|X|X|X|2022-02-22|2022-03-01|x|x|x|x|x|QX002LUS9KVTQO|x|HOMBRE|X|24500|X|X|X|X|X|X|X|X|CARDENAS|X|X|X|X|FINAL</v>
      </c>
    </row>
    <row r="632" spans="1:82" x14ac:dyDescent="0.25">
      <c r="A632" t="s">
        <v>1366</v>
      </c>
      <c r="B632" t="s">
        <v>1367</v>
      </c>
      <c r="C632">
        <v>3</v>
      </c>
      <c r="D632" t="s">
        <v>1369</v>
      </c>
      <c r="E632" t="s">
        <v>12</v>
      </c>
      <c r="F632" t="s">
        <v>10</v>
      </c>
      <c r="G632" t="s">
        <v>10</v>
      </c>
      <c r="H632" t="s">
        <v>1691</v>
      </c>
      <c r="I632">
        <v>14800</v>
      </c>
      <c r="J632">
        <v>0</v>
      </c>
      <c r="K632">
        <v>100</v>
      </c>
      <c r="L632">
        <v>50</v>
      </c>
      <c r="M632">
        <v>1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">
        <v>1711</v>
      </c>
      <c r="AC632" t="s">
        <v>1708</v>
      </c>
      <c r="AD632" t="s">
        <v>2450</v>
      </c>
      <c r="AE632" t="s">
        <v>4</v>
      </c>
      <c r="AF632" t="s">
        <v>1</v>
      </c>
      <c r="AG632" t="s">
        <v>1</v>
      </c>
      <c r="AH632" t="s">
        <v>2972</v>
      </c>
      <c r="AI632" t="s">
        <v>3249</v>
      </c>
      <c r="AJ632" t="s">
        <v>1</v>
      </c>
      <c r="AK632">
        <v>9371211758</v>
      </c>
      <c r="AL632" t="s">
        <v>1</v>
      </c>
      <c r="AM632" t="s">
        <v>1</v>
      </c>
      <c r="AN632" t="s">
        <v>1</v>
      </c>
      <c r="AO632" t="s">
        <v>2972</v>
      </c>
      <c r="AP632" t="s">
        <v>1</v>
      </c>
      <c r="AQ632" t="s">
        <v>2</v>
      </c>
      <c r="AR632" t="s">
        <v>3</v>
      </c>
      <c r="AS632" t="s">
        <v>3</v>
      </c>
      <c r="AT632" t="s">
        <v>3</v>
      </c>
      <c r="AU632" t="s">
        <v>3</v>
      </c>
      <c r="AV632" t="s">
        <v>3</v>
      </c>
      <c r="AW632" t="s">
        <v>11</v>
      </c>
      <c r="AX632">
        <f>Tabla1[[#This Row],[precio del paquete]]-Tabla1[[#This Row],[Saldo_Deudor]]</f>
        <v>2800</v>
      </c>
      <c r="AY632">
        <v>12000</v>
      </c>
      <c r="AZ632" t="s">
        <v>1</v>
      </c>
      <c r="BA632" t="s">
        <v>1</v>
      </c>
      <c r="BB632" t="s">
        <v>1</v>
      </c>
      <c r="BC632" t="s">
        <v>3251</v>
      </c>
      <c r="BD632" t="s">
        <v>3309</v>
      </c>
      <c r="BE632" t="s">
        <v>3</v>
      </c>
      <c r="BF632" t="s">
        <v>3</v>
      </c>
      <c r="BG632" t="s">
        <v>3</v>
      </c>
      <c r="BH632" t="s">
        <v>3</v>
      </c>
      <c r="BI632" t="s">
        <v>3</v>
      </c>
      <c r="BJ632" t="s">
        <v>3363</v>
      </c>
      <c r="BK632" t="s">
        <v>3</v>
      </c>
      <c r="BL632" t="s">
        <v>132</v>
      </c>
      <c r="BM632" t="s">
        <v>1</v>
      </c>
      <c r="BN632">
        <f>Tabla1[[#This Row],[precio del paquete]]</f>
        <v>14800</v>
      </c>
      <c r="BO632" t="s">
        <v>1</v>
      </c>
      <c r="BP632" t="s">
        <v>1</v>
      </c>
      <c r="BQ632" t="s">
        <v>1</v>
      </c>
      <c r="BR632" t="s">
        <v>1</v>
      </c>
      <c r="BS632" t="s">
        <v>1</v>
      </c>
      <c r="BT632" t="s">
        <v>1</v>
      </c>
      <c r="BU632" t="s">
        <v>1</v>
      </c>
      <c r="BV632" t="s">
        <v>1</v>
      </c>
      <c r="BW632" t="s">
        <v>0</v>
      </c>
      <c r="BX632" t="s">
        <v>1</v>
      </c>
      <c r="BY632" t="s">
        <v>1</v>
      </c>
      <c r="BZ632" t="s">
        <v>1</v>
      </c>
      <c r="CA632" t="s">
        <v>1</v>
      </c>
      <c r="CB632" t="s">
        <v>3382</v>
      </c>
      <c r="CD632" t="str" cm="1">
        <f t="array" aca="1" ref="CD632" ca="1">eConcatenar(A632:CB632,"|")</f>
        <v>fFKNG3lqxEclLMw9|CAR2021-4895|3|MEMORIAL|TABASCO |CARDENAS |CARDENAS |2021-08-28|14800|0|100|50|1|0|0|0|0|0|0|0|0|0|0|0|0|0|0|HERNANDEZ||DEYANIRA HERNANDEZ|SOLTERO|X|X|CALLE LA FLORIDA |EJIDO EL BAJIO PRIMERO SECCION |X|9371211758|X|X|X|CALLE LA FLORIDA |X|LUNES|x|x|x|x|x|DOMICILIO |2800|12000|X|X|X|2022-02-22|2022-03-01|x|x|x|x|x|QX002LUS9KVTQO|x|HOMBRE|X|14800|X|X|X|X|X|X|X|X|CARDENAS|X|X|X|X|FINAL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2022-02-28T18:32:48Z</dcterms:modified>
</cp:coreProperties>
</file>
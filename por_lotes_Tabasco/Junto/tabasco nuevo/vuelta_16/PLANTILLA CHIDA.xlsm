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6\"/>
    </mc:Choice>
  </mc:AlternateContent>
  <xr:revisionPtr revIDLastSave="0" documentId="13_ncr:1_{AD3BB6A8-795C-4003-B86B-7BE31DCE0654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14" i="1" l="1" a="1"/>
  <c r="CD30" i="1" a="1"/>
  <c r="CD42" i="1" a="1"/>
  <c r="CD50" i="1" a="1"/>
  <c r="CD62" i="1" a="1"/>
  <c r="CD70" i="1" a="1"/>
  <c r="CD78" i="1" a="1"/>
  <c r="CD86" i="1" a="1"/>
  <c r="CD94" i="1" a="1"/>
  <c r="CD106" i="1" a="1"/>
  <c r="CD114" i="1" a="1"/>
  <c r="CD122" i="1" a="1"/>
  <c r="CD130" i="1" a="1"/>
  <c r="CD138" i="1" a="1"/>
  <c r="CD150" i="1" a="1"/>
  <c r="CD158" i="1" a="1"/>
  <c r="CD166" i="1" a="1"/>
  <c r="CD174" i="1" a="1"/>
  <c r="CD151" i="1" a="1"/>
  <c r="CD171" i="1" a="1"/>
  <c r="CD19" i="1" a="1"/>
  <c r="CD43" i="1" a="1"/>
  <c r="CD51" i="1" a="1"/>
  <c r="CD59" i="1" a="1"/>
  <c r="CD67" i="1" a="1"/>
  <c r="CD75" i="1" a="1"/>
  <c r="CD83" i="1" a="1"/>
  <c r="CD91" i="1" a="1"/>
  <c r="CD99" i="1" a="1"/>
  <c r="CD107" i="1" a="1"/>
  <c r="CD115" i="1" a="1"/>
  <c r="CD123" i="1" a="1"/>
  <c r="CD131" i="1" a="1"/>
  <c r="CD143" i="1" a="1"/>
  <c r="CD159" i="1" a="1"/>
  <c r="CD175" i="1" a="1"/>
  <c r="CD11" i="1" a="1"/>
  <c r="CD15" i="1" a="1"/>
  <c r="CD23" i="1" a="1"/>
  <c r="CD27" i="1" a="1"/>
  <c r="CD31" i="1" a="1"/>
  <c r="CD35" i="1" a="1"/>
  <c r="CD39" i="1" a="1"/>
  <c r="CD47" i="1" a="1"/>
  <c r="CD55" i="1" a="1"/>
  <c r="CD63" i="1" a="1"/>
  <c r="CD71" i="1" a="1"/>
  <c r="CD79" i="1" a="1"/>
  <c r="CD87" i="1" a="1"/>
  <c r="CD95" i="1" a="1"/>
  <c r="CD103" i="1" a="1"/>
  <c r="CD111" i="1" a="1"/>
  <c r="CD119" i="1" a="1"/>
  <c r="CD127" i="1" a="1"/>
  <c r="CD135" i="1" a="1"/>
  <c r="CD147" i="1" a="1"/>
  <c r="CD163" i="1" a="1"/>
  <c r="CD12" i="1" a="1"/>
  <c r="CD20" i="1" a="1"/>
  <c r="CD24" i="1" a="1"/>
  <c r="CD28" i="1" a="1"/>
  <c r="CD36" i="1" a="1"/>
  <c r="CD40" i="1" a="1"/>
  <c r="CD48" i="1" a="1"/>
  <c r="CD56" i="1" a="1"/>
  <c r="CD64" i="1" a="1"/>
  <c r="CD68" i="1" a="1"/>
  <c r="CD76" i="1" a="1"/>
  <c r="CD84" i="1" a="1"/>
  <c r="CD92" i="1" a="1"/>
  <c r="CD100" i="1" a="1"/>
  <c r="CD104" i="1" a="1"/>
  <c r="CD112" i="1" a="1"/>
  <c r="CD120" i="1" a="1"/>
  <c r="CD128" i="1" a="1"/>
  <c r="CD136" i="1" a="1"/>
  <c r="CD144" i="1" a="1"/>
  <c r="CD152" i="1" a="1"/>
  <c r="CD156" i="1" a="1"/>
  <c r="CD164" i="1" a="1"/>
  <c r="CD172" i="1" a="1"/>
  <c r="CD141" i="1" a="1"/>
  <c r="CD157" i="1" a="1"/>
  <c r="CD173" i="1" a="1"/>
  <c r="CD16" i="1" a="1"/>
  <c r="CD32" i="1" a="1"/>
  <c r="CD44" i="1" a="1"/>
  <c r="CD52" i="1" a="1"/>
  <c r="CD60" i="1" a="1"/>
  <c r="CD72" i="1" a="1"/>
  <c r="CD80" i="1" a="1"/>
  <c r="CD88" i="1" a="1"/>
  <c r="CD96" i="1" a="1"/>
  <c r="CD108" i="1" a="1"/>
  <c r="CD116" i="1" a="1"/>
  <c r="CD124" i="1" a="1"/>
  <c r="CD132" i="1" a="1"/>
  <c r="CD140" i="1" a="1"/>
  <c r="CD148" i="1" a="1"/>
  <c r="CD160" i="1" a="1"/>
  <c r="CD168" i="1" a="1"/>
  <c r="CD176" i="1" a="1"/>
  <c r="CD153" i="1" a="1"/>
  <c r="CD169" i="1" a="1"/>
  <c r="CD21" i="1" a="1"/>
  <c r="CD45" i="1" a="1"/>
  <c r="CD53" i="1" a="1"/>
  <c r="CD61" i="1" a="1"/>
  <c r="CD69" i="1" a="1"/>
  <c r="CD77" i="1" a="1"/>
  <c r="CD85" i="1" a="1"/>
  <c r="CD93" i="1" a="1"/>
  <c r="CD101" i="1" a="1"/>
  <c r="CD109" i="1" a="1"/>
  <c r="CD117" i="1" a="1"/>
  <c r="CD125" i="1" a="1"/>
  <c r="CD133" i="1" a="1"/>
  <c r="CD145" i="1" a="1"/>
  <c r="CD161" i="1" a="1"/>
  <c r="CD177" i="1" a="1"/>
  <c r="CD13" i="1" a="1"/>
  <c r="CD17" i="1" a="1"/>
  <c r="CD25" i="1" a="1"/>
  <c r="CD29" i="1" a="1"/>
  <c r="CD33" i="1" a="1"/>
  <c r="CD37" i="1" a="1"/>
  <c r="CD41" i="1" a="1"/>
  <c r="CD49" i="1" a="1"/>
  <c r="CD57" i="1" a="1"/>
  <c r="CD65" i="1" a="1"/>
  <c r="CD73" i="1" a="1"/>
  <c r="CD81" i="1" a="1"/>
  <c r="CD89" i="1" a="1"/>
  <c r="CD97" i="1" a="1"/>
  <c r="CD105" i="1" a="1"/>
  <c r="CD113" i="1" a="1"/>
  <c r="CD121" i="1" a="1"/>
  <c r="CD129" i="1" a="1"/>
  <c r="CD137" i="1" a="1"/>
  <c r="CD149" i="1" a="1"/>
  <c r="CD165" i="1" a="1"/>
  <c r="CD10" i="1" a="1"/>
  <c r="CD18" i="1" a="1"/>
  <c r="CD22" i="1" a="1"/>
  <c r="CD26" i="1" a="1"/>
  <c r="CD34" i="1" a="1"/>
  <c r="CD38" i="1" a="1"/>
  <c r="CD46" i="1" a="1"/>
  <c r="CD54" i="1" a="1"/>
  <c r="CD58" i="1" a="1"/>
  <c r="CD66" i="1" a="1"/>
  <c r="CD74" i="1" a="1"/>
  <c r="CD82" i="1" a="1"/>
  <c r="CD90" i="1" a="1"/>
  <c r="CD98" i="1" a="1"/>
  <c r="CD102" i="1" a="1"/>
  <c r="CD110" i="1" a="1"/>
  <c r="CD118" i="1" a="1"/>
  <c r="CD126" i="1" a="1"/>
  <c r="CD134" i="1" a="1"/>
  <c r="CD142" i="1" a="1"/>
  <c r="CD146" i="1" a="1"/>
  <c r="CD154" i="1" a="1"/>
  <c r="CD162" i="1" a="1"/>
  <c r="CD170" i="1" a="1"/>
  <c r="CD139" i="1" a="1"/>
  <c r="CD155" i="1" a="1"/>
  <c r="CD167" i="1" a="1"/>
  <c r="CD167" i="1" l="1"/>
  <c r="CD155" i="1"/>
  <c r="CD139" i="1"/>
  <c r="CD170" i="1"/>
  <c r="CD162" i="1"/>
  <c r="CD154" i="1"/>
  <c r="CD146" i="1"/>
  <c r="CD142" i="1"/>
  <c r="CD134" i="1"/>
  <c r="CD126" i="1"/>
  <c r="CD118" i="1"/>
  <c r="CD110" i="1"/>
  <c r="CD102" i="1"/>
  <c r="CD98" i="1"/>
  <c r="CD90" i="1"/>
  <c r="CD82" i="1"/>
  <c r="CD74" i="1"/>
  <c r="CD66" i="1"/>
  <c r="CD58" i="1"/>
  <c r="CD54" i="1"/>
  <c r="CD46" i="1"/>
  <c r="CD38" i="1"/>
  <c r="CD34" i="1"/>
  <c r="CD26" i="1"/>
  <c r="CD22" i="1"/>
  <c r="CD18" i="1"/>
  <c r="CD10" i="1"/>
  <c r="CD165" i="1"/>
  <c r="CD149" i="1"/>
  <c r="CD137" i="1"/>
  <c r="CD129" i="1"/>
  <c r="CD121" i="1"/>
  <c r="CD113" i="1"/>
  <c r="CD105" i="1"/>
  <c r="CD97" i="1"/>
  <c r="CD89" i="1"/>
  <c r="CD81" i="1"/>
  <c r="CD73" i="1"/>
  <c r="CD65" i="1"/>
  <c r="CD57" i="1"/>
  <c r="CD49" i="1"/>
  <c r="CD41" i="1"/>
  <c r="CD37" i="1"/>
  <c r="CD33" i="1"/>
  <c r="CD29" i="1"/>
  <c r="CD25" i="1"/>
  <c r="CD17" i="1"/>
  <c r="CD13" i="1"/>
  <c r="CD177" i="1"/>
  <c r="CD161" i="1"/>
  <c r="CD145" i="1"/>
  <c r="CD133" i="1"/>
  <c r="CD125" i="1"/>
  <c r="CD117" i="1"/>
  <c r="CD109" i="1"/>
  <c r="CD101" i="1"/>
  <c r="CD93" i="1"/>
  <c r="CD85" i="1"/>
  <c r="CD77" i="1"/>
  <c r="CD69" i="1"/>
  <c r="CD61" i="1"/>
  <c r="CD53" i="1"/>
  <c r="CD45" i="1"/>
  <c r="CD21" i="1"/>
  <c r="CD169" i="1"/>
  <c r="CD153" i="1"/>
  <c r="CD176" i="1"/>
  <c r="CD168" i="1"/>
  <c r="CD160" i="1"/>
  <c r="CD148" i="1"/>
  <c r="CD140" i="1"/>
  <c r="CD132" i="1"/>
  <c r="CD124" i="1"/>
  <c r="CD116" i="1"/>
  <c r="CD108" i="1"/>
  <c r="CD96" i="1"/>
  <c r="CD88" i="1"/>
  <c r="CD80" i="1"/>
  <c r="CD72" i="1"/>
  <c r="CD60" i="1"/>
  <c r="CD52" i="1"/>
  <c r="CD44" i="1"/>
  <c r="CD32" i="1"/>
  <c r="CD16" i="1"/>
  <c r="CD173" i="1"/>
  <c r="CD157" i="1"/>
  <c r="CD141" i="1"/>
  <c r="CD172" i="1"/>
  <c r="CD164" i="1"/>
  <c r="CD156" i="1"/>
  <c r="CD152" i="1"/>
  <c r="CD144" i="1"/>
  <c r="CD136" i="1"/>
  <c r="CD128" i="1"/>
  <c r="CD120" i="1"/>
  <c r="CD112" i="1"/>
  <c r="CD104" i="1"/>
  <c r="CD100" i="1"/>
  <c r="CD92" i="1"/>
  <c r="CD84" i="1"/>
  <c r="CD76" i="1"/>
  <c r="CD68" i="1"/>
  <c r="CD64" i="1"/>
  <c r="CD56" i="1"/>
  <c r="CD48" i="1"/>
  <c r="CD40" i="1"/>
  <c r="CD36" i="1"/>
  <c r="CD28" i="1"/>
  <c r="CD24" i="1"/>
  <c r="CD20" i="1"/>
  <c r="CD12" i="1"/>
  <c r="CD163" i="1"/>
  <c r="CD147" i="1"/>
  <c r="CD135" i="1"/>
  <c r="CD127" i="1"/>
  <c r="CD119" i="1"/>
  <c r="CD111" i="1"/>
  <c r="CD103" i="1"/>
  <c r="CD95" i="1"/>
  <c r="CD87" i="1"/>
  <c r="CD79" i="1"/>
  <c r="CD71" i="1"/>
  <c r="CD63" i="1"/>
  <c r="CD55" i="1"/>
  <c r="CD47" i="1"/>
  <c r="CD39" i="1"/>
  <c r="CD35" i="1"/>
  <c r="CD31" i="1"/>
  <c r="CD27" i="1"/>
  <c r="CD23" i="1"/>
  <c r="CD15" i="1"/>
  <c r="CD11" i="1"/>
  <c r="CD175" i="1"/>
  <c r="CD159" i="1"/>
  <c r="CD143" i="1"/>
  <c r="CD131" i="1"/>
  <c r="CD123" i="1"/>
  <c r="CD115" i="1"/>
  <c r="CD107" i="1"/>
  <c r="CD99" i="1"/>
  <c r="CD91" i="1"/>
  <c r="CD83" i="1"/>
  <c r="CD75" i="1"/>
  <c r="CD67" i="1"/>
  <c r="CD59" i="1"/>
  <c r="CD51" i="1"/>
  <c r="CD43" i="1"/>
  <c r="CD19" i="1"/>
  <c r="CD171" i="1"/>
  <c r="CD151" i="1"/>
  <c r="CD174" i="1"/>
  <c r="CD166" i="1"/>
  <c r="CD158" i="1"/>
  <c r="CD150" i="1"/>
  <c r="CD138" i="1"/>
  <c r="CD130" i="1"/>
  <c r="CD122" i="1"/>
  <c r="CD114" i="1"/>
  <c r="CD106" i="1"/>
  <c r="CD94" i="1"/>
  <c r="CD86" i="1"/>
  <c r="CD78" i="1"/>
  <c r="CD70" i="1"/>
  <c r="CD62" i="1"/>
  <c r="CD50" i="1"/>
  <c r="CD42" i="1"/>
  <c r="CD30" i="1"/>
  <c r="CD14" i="1"/>
  <c r="AX10" i="1" l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M569" i="1" l="1" a="1"/>
  <c r="M569" i="1" s="1"/>
  <c r="M568" i="1" a="1"/>
  <c r="M568" i="1" s="1"/>
  <c r="M567" i="1" a="1"/>
  <c r="M567" i="1" s="1"/>
  <c r="M566" i="1" a="1"/>
  <c r="M566" i="1" s="1"/>
  <c r="M565" i="1" a="1"/>
  <c r="M565" i="1" s="1"/>
  <c r="M564" i="1" a="1"/>
  <c r="M564" i="1" s="1"/>
  <c r="M563" i="1" a="1"/>
  <c r="M563" i="1" s="1"/>
  <c r="M562" i="1" a="1"/>
  <c r="M562" i="1" s="1"/>
  <c r="M561" i="1" a="1"/>
  <c r="M561" i="1" s="1"/>
  <c r="M560" i="1" a="1"/>
  <c r="M560" i="1" s="1"/>
  <c r="M559" i="1" a="1"/>
  <c r="M559" i="1" s="1"/>
  <c r="M558" i="1" a="1"/>
  <c r="M558" i="1" s="1"/>
  <c r="M557" i="1" a="1"/>
  <c r="M557" i="1" s="1"/>
  <c r="M556" i="1" a="1"/>
  <c r="M556" i="1" s="1"/>
  <c r="M555" i="1" a="1"/>
  <c r="M555" i="1" s="1"/>
  <c r="M554" i="1" a="1"/>
  <c r="M554" i="1" s="1"/>
  <c r="M553" i="1" a="1"/>
  <c r="M553" i="1" s="1"/>
  <c r="M552" i="1" a="1"/>
  <c r="M552" i="1" s="1"/>
  <c r="M551" i="1" a="1"/>
  <c r="M551" i="1" s="1"/>
  <c r="M550" i="1" a="1"/>
  <c r="M550" i="1" s="1"/>
  <c r="M549" i="1" a="1"/>
  <c r="M549" i="1" s="1"/>
  <c r="M548" i="1" a="1"/>
  <c r="M548" i="1" s="1"/>
  <c r="M547" i="1" a="1"/>
  <c r="M547" i="1" s="1"/>
  <c r="M546" i="1" a="1"/>
  <c r="M546" i="1" s="1"/>
  <c r="M545" i="1" a="1"/>
  <c r="M545" i="1" s="1"/>
  <c r="M544" i="1" a="1"/>
  <c r="M544" i="1" s="1"/>
  <c r="M543" i="1" a="1"/>
  <c r="M543" i="1" s="1"/>
  <c r="M542" i="1" a="1"/>
  <c r="M542" i="1" s="1"/>
  <c r="M541" i="1" a="1"/>
  <c r="M541" i="1" s="1"/>
  <c r="M540" i="1" a="1"/>
  <c r="M540" i="1" s="1"/>
  <c r="M539" i="1" a="1"/>
  <c r="M539" i="1" s="1"/>
  <c r="M538" i="1" a="1"/>
  <c r="M538" i="1" s="1"/>
  <c r="M537" i="1" a="1"/>
  <c r="M537" i="1" s="1"/>
  <c r="M536" i="1" a="1"/>
  <c r="M536" i="1" s="1"/>
  <c r="M535" i="1" a="1"/>
  <c r="M535" i="1" s="1"/>
  <c r="M534" i="1" a="1"/>
  <c r="M534" i="1" s="1"/>
  <c r="M533" i="1" a="1"/>
  <c r="M533" i="1" s="1"/>
  <c r="M532" i="1" a="1"/>
  <c r="M532" i="1" s="1"/>
  <c r="M531" i="1" a="1"/>
  <c r="M531" i="1" s="1"/>
  <c r="M530" i="1" a="1"/>
  <c r="M530" i="1" s="1"/>
  <c r="M529" i="1" a="1"/>
  <c r="M529" i="1" s="1"/>
  <c r="M528" i="1" a="1"/>
  <c r="M528" i="1" s="1"/>
  <c r="M527" i="1" a="1"/>
  <c r="M527" i="1" s="1"/>
  <c r="M526" i="1" a="1"/>
  <c r="M526" i="1" s="1"/>
  <c r="M525" i="1" a="1"/>
  <c r="M525" i="1" s="1"/>
  <c r="M524" i="1" a="1"/>
  <c r="M524" i="1" s="1"/>
  <c r="M523" i="1" a="1"/>
  <c r="M523" i="1" s="1"/>
  <c r="M522" i="1" a="1"/>
  <c r="M522" i="1" s="1"/>
  <c r="M521" i="1" a="1"/>
  <c r="M521" i="1" s="1"/>
  <c r="M520" i="1" a="1"/>
  <c r="M520" i="1" s="1"/>
  <c r="M519" i="1" a="1"/>
  <c r="M519" i="1" s="1"/>
  <c r="M518" i="1" a="1"/>
  <c r="M518" i="1" s="1"/>
  <c r="M517" i="1" a="1"/>
  <c r="M517" i="1" s="1"/>
  <c r="M516" i="1" a="1"/>
  <c r="M516" i="1" s="1"/>
  <c r="M515" i="1" a="1"/>
  <c r="M515" i="1" s="1"/>
  <c r="M514" i="1" a="1"/>
  <c r="M514" i="1" s="1"/>
  <c r="M513" i="1" a="1"/>
  <c r="M513" i="1" s="1"/>
  <c r="M512" i="1" a="1"/>
  <c r="M512" i="1" s="1"/>
  <c r="M511" i="1" a="1"/>
  <c r="M511" i="1" s="1"/>
  <c r="M510" i="1" a="1"/>
  <c r="M510" i="1" s="1"/>
  <c r="M509" i="1" a="1"/>
  <c r="M509" i="1" s="1"/>
  <c r="M508" i="1" a="1"/>
  <c r="M508" i="1" s="1"/>
  <c r="M507" i="1" a="1"/>
  <c r="M507" i="1" s="1"/>
  <c r="M506" i="1" a="1"/>
  <c r="M506" i="1" s="1"/>
  <c r="M505" i="1" a="1"/>
  <c r="M505" i="1" s="1"/>
  <c r="M504" i="1" a="1"/>
  <c r="M504" i="1" s="1"/>
  <c r="M503" i="1" a="1"/>
  <c r="M503" i="1" s="1"/>
  <c r="M502" i="1" a="1"/>
  <c r="M502" i="1" s="1"/>
  <c r="M501" i="1" a="1"/>
  <c r="M501" i="1" s="1"/>
  <c r="M500" i="1" a="1"/>
  <c r="M500" i="1" s="1"/>
  <c r="M499" i="1" a="1"/>
  <c r="M499" i="1" s="1"/>
  <c r="M498" i="1" a="1"/>
  <c r="M498" i="1" s="1"/>
  <c r="M497" i="1" a="1"/>
  <c r="M497" i="1" s="1"/>
  <c r="M496" i="1" a="1"/>
  <c r="M496" i="1" s="1"/>
  <c r="M495" i="1" a="1"/>
  <c r="M495" i="1" s="1"/>
  <c r="M494" i="1" a="1"/>
  <c r="M494" i="1" s="1"/>
  <c r="M493" i="1" a="1"/>
  <c r="M493" i="1" s="1"/>
  <c r="M492" i="1" a="1"/>
  <c r="M492" i="1" s="1"/>
  <c r="M491" i="1" a="1"/>
  <c r="M491" i="1" s="1"/>
  <c r="M490" i="1" a="1"/>
  <c r="M490" i="1" s="1"/>
  <c r="M489" i="1" a="1"/>
  <c r="M489" i="1" s="1"/>
  <c r="M488" i="1" a="1"/>
  <c r="M488" i="1" s="1"/>
  <c r="M487" i="1" a="1"/>
  <c r="M487" i="1" s="1"/>
  <c r="M486" i="1" a="1"/>
  <c r="M486" i="1" s="1"/>
  <c r="M485" i="1" a="1"/>
  <c r="M485" i="1" s="1"/>
  <c r="M484" i="1" a="1"/>
  <c r="M484" i="1" s="1"/>
  <c r="M483" i="1" a="1"/>
  <c r="M483" i="1" s="1"/>
  <c r="M482" i="1" a="1"/>
  <c r="M482" i="1" s="1"/>
  <c r="M481" i="1" a="1"/>
  <c r="M481" i="1" s="1"/>
  <c r="M480" i="1" a="1"/>
  <c r="M480" i="1" s="1"/>
  <c r="M479" i="1" a="1"/>
  <c r="M479" i="1" s="1"/>
  <c r="M478" i="1" a="1"/>
  <c r="M478" i="1" s="1"/>
  <c r="M477" i="1" a="1"/>
  <c r="M477" i="1" s="1"/>
  <c r="M476" i="1" a="1"/>
  <c r="M476" i="1" s="1"/>
  <c r="M475" i="1" a="1"/>
  <c r="M475" i="1" s="1"/>
  <c r="M474" i="1" a="1"/>
  <c r="M474" i="1" s="1"/>
  <c r="M473" i="1" a="1"/>
  <c r="M473" i="1" s="1"/>
  <c r="M472" i="1" a="1"/>
  <c r="M472" i="1" s="1"/>
  <c r="M471" i="1" a="1"/>
  <c r="M471" i="1" s="1"/>
  <c r="M470" i="1" a="1"/>
  <c r="M470" i="1" s="1"/>
  <c r="M469" i="1" a="1"/>
  <c r="M469" i="1" s="1"/>
  <c r="M468" i="1" a="1"/>
  <c r="M468" i="1" s="1"/>
  <c r="M467" i="1" a="1"/>
  <c r="M467" i="1" s="1"/>
  <c r="M466" i="1" a="1"/>
  <c r="M466" i="1" s="1"/>
  <c r="M465" i="1" a="1"/>
  <c r="M465" i="1" s="1"/>
  <c r="M464" i="1" a="1"/>
  <c r="M464" i="1" s="1"/>
  <c r="M463" i="1" a="1"/>
  <c r="M463" i="1" s="1"/>
  <c r="M462" i="1" a="1"/>
  <c r="M462" i="1" s="1"/>
  <c r="M461" i="1" a="1"/>
  <c r="M461" i="1" s="1"/>
  <c r="M460" i="1" a="1"/>
  <c r="M460" i="1" s="1"/>
  <c r="M459" i="1" a="1"/>
  <c r="M459" i="1" s="1"/>
  <c r="M458" i="1" a="1"/>
  <c r="M458" i="1" s="1"/>
  <c r="M457" i="1" a="1"/>
  <c r="M457" i="1" s="1"/>
  <c r="M456" i="1" a="1"/>
  <c r="M456" i="1" s="1"/>
  <c r="M455" i="1" a="1"/>
  <c r="M455" i="1" s="1"/>
  <c r="M454" i="1" a="1"/>
  <c r="M454" i="1" s="1"/>
  <c r="M453" i="1" a="1"/>
  <c r="M453" i="1" s="1"/>
  <c r="M452" i="1" a="1"/>
  <c r="M452" i="1" s="1"/>
  <c r="M451" i="1" a="1"/>
  <c r="M451" i="1" s="1"/>
  <c r="M450" i="1" a="1"/>
  <c r="M450" i="1" s="1"/>
  <c r="M449" i="1" a="1"/>
  <c r="M449" i="1" s="1"/>
  <c r="M448" i="1" a="1"/>
  <c r="M448" i="1" s="1"/>
  <c r="M447" i="1" a="1"/>
  <c r="M447" i="1" s="1"/>
  <c r="M446" i="1" a="1"/>
  <c r="M446" i="1" s="1"/>
  <c r="M445" i="1" a="1"/>
  <c r="M445" i="1" s="1"/>
  <c r="M444" i="1" a="1"/>
  <c r="M444" i="1" s="1"/>
  <c r="M443" i="1" a="1"/>
  <c r="M443" i="1" s="1"/>
  <c r="M442" i="1" a="1"/>
  <c r="M442" i="1" s="1"/>
  <c r="M441" i="1" a="1"/>
  <c r="M441" i="1" s="1"/>
  <c r="M440" i="1" a="1"/>
  <c r="M440" i="1" s="1"/>
  <c r="M439" i="1" a="1"/>
  <c r="M439" i="1" s="1"/>
  <c r="M438" i="1" a="1"/>
  <c r="M438" i="1" s="1"/>
  <c r="M437" i="1" a="1"/>
  <c r="M437" i="1" s="1"/>
  <c r="M436" i="1" a="1"/>
  <c r="M436" i="1" s="1"/>
  <c r="M435" i="1" a="1"/>
  <c r="M435" i="1" s="1"/>
  <c r="M434" i="1" a="1"/>
  <c r="M434" i="1" s="1"/>
  <c r="M433" i="1" a="1"/>
  <c r="M433" i="1" s="1"/>
  <c r="M432" i="1" a="1"/>
  <c r="M432" i="1" s="1"/>
  <c r="M431" i="1" a="1"/>
  <c r="M431" i="1" s="1"/>
  <c r="M430" i="1" a="1"/>
  <c r="M430" i="1" s="1"/>
  <c r="M429" i="1" a="1"/>
  <c r="M429" i="1" s="1"/>
  <c r="M428" i="1" a="1"/>
  <c r="M428" i="1" s="1"/>
  <c r="M427" i="1" a="1"/>
  <c r="M427" i="1" s="1"/>
  <c r="M426" i="1" a="1"/>
  <c r="M426" i="1" s="1"/>
  <c r="M425" i="1" a="1"/>
  <c r="M425" i="1" s="1"/>
  <c r="M424" i="1" a="1"/>
  <c r="M424" i="1" s="1"/>
  <c r="M423" i="1" a="1"/>
  <c r="M423" i="1" s="1"/>
  <c r="M422" i="1" a="1"/>
  <c r="M422" i="1" s="1"/>
  <c r="M421" i="1" a="1"/>
  <c r="M421" i="1" s="1"/>
  <c r="M420" i="1" a="1"/>
  <c r="M420" i="1" s="1"/>
  <c r="M419" i="1" a="1"/>
  <c r="M419" i="1" s="1"/>
  <c r="M418" i="1" a="1"/>
  <c r="M418" i="1" s="1"/>
  <c r="M417" i="1" a="1"/>
  <c r="M417" i="1" s="1"/>
  <c r="M416" i="1" a="1"/>
  <c r="M416" i="1" s="1"/>
  <c r="M415" i="1" a="1"/>
  <c r="M415" i="1" s="1"/>
  <c r="M414" i="1" a="1"/>
  <c r="M414" i="1" s="1"/>
  <c r="M413" i="1" a="1"/>
  <c r="M413" i="1" s="1"/>
  <c r="M412" i="1" a="1"/>
  <c r="M412" i="1" s="1"/>
  <c r="M411" i="1" a="1"/>
  <c r="M411" i="1" s="1"/>
  <c r="M410" i="1" a="1"/>
  <c r="M410" i="1" s="1"/>
  <c r="M409" i="1" a="1"/>
  <c r="M409" i="1" s="1"/>
  <c r="M408" i="1" a="1"/>
  <c r="M408" i="1" s="1"/>
  <c r="M407" i="1" a="1"/>
  <c r="M407" i="1" s="1"/>
  <c r="M406" i="1" a="1"/>
  <c r="M406" i="1" s="1"/>
  <c r="M405" i="1" a="1"/>
  <c r="M405" i="1" s="1"/>
  <c r="M404" i="1" a="1"/>
  <c r="M404" i="1" s="1"/>
  <c r="M403" i="1" a="1"/>
  <c r="M403" i="1" s="1"/>
  <c r="M402" i="1" a="1"/>
  <c r="M402" i="1" s="1"/>
  <c r="M401" i="1" a="1"/>
  <c r="M401" i="1" s="1"/>
  <c r="M400" i="1" a="1"/>
  <c r="M400" i="1" s="1"/>
  <c r="M399" i="1" a="1"/>
  <c r="M399" i="1" s="1"/>
  <c r="M398" i="1" a="1"/>
  <c r="M398" i="1" s="1"/>
  <c r="M397" i="1" a="1"/>
  <c r="M397" i="1" s="1"/>
  <c r="M396" i="1" a="1"/>
  <c r="M396" i="1" s="1"/>
  <c r="M395" i="1" a="1"/>
  <c r="M395" i="1" s="1"/>
  <c r="M394" i="1" a="1"/>
  <c r="M394" i="1" s="1"/>
  <c r="M393" i="1" a="1"/>
  <c r="M393" i="1" s="1"/>
  <c r="M392" i="1" a="1"/>
  <c r="M392" i="1" s="1"/>
  <c r="M391" i="1" a="1"/>
  <c r="M391" i="1" s="1"/>
  <c r="M390" i="1" a="1"/>
  <c r="M390" i="1" s="1"/>
  <c r="M389" i="1" a="1"/>
  <c r="M389" i="1" s="1"/>
  <c r="M388" i="1" a="1"/>
  <c r="M388" i="1" s="1"/>
  <c r="M387" i="1" a="1"/>
  <c r="M387" i="1" s="1"/>
  <c r="M386" i="1" a="1"/>
  <c r="M386" i="1" s="1"/>
  <c r="M385" i="1" a="1"/>
  <c r="M385" i="1" s="1"/>
  <c r="M384" i="1" a="1"/>
  <c r="M384" i="1" s="1"/>
  <c r="M383" i="1" a="1"/>
  <c r="M383" i="1" s="1"/>
  <c r="M382" i="1" a="1"/>
  <c r="M382" i="1" s="1"/>
  <c r="M381" i="1" a="1"/>
  <c r="M381" i="1" s="1"/>
  <c r="M380" i="1" a="1"/>
  <c r="M380" i="1" s="1"/>
  <c r="M379" i="1" a="1"/>
  <c r="M379" i="1" s="1"/>
  <c r="M378" i="1" a="1"/>
  <c r="M378" i="1" s="1"/>
  <c r="M377" i="1" a="1"/>
  <c r="M377" i="1" s="1"/>
  <c r="M376" i="1" a="1"/>
  <c r="M376" i="1" s="1"/>
  <c r="M375" i="1" a="1"/>
  <c r="M375" i="1" s="1"/>
  <c r="M374" i="1" a="1"/>
  <c r="M374" i="1" s="1"/>
  <c r="M373" i="1" a="1"/>
  <c r="M373" i="1" s="1"/>
  <c r="M372" i="1" a="1"/>
  <c r="M372" i="1" s="1"/>
  <c r="M371" i="1" a="1"/>
  <c r="M371" i="1" s="1"/>
  <c r="M370" i="1" a="1"/>
  <c r="M370" i="1" s="1"/>
  <c r="M369" i="1" a="1"/>
  <c r="M369" i="1" s="1"/>
  <c r="M368" i="1" a="1"/>
  <c r="M368" i="1" s="1"/>
  <c r="M367" i="1" a="1"/>
  <c r="M367" i="1" s="1"/>
  <c r="M366" i="1" a="1"/>
  <c r="M366" i="1" s="1"/>
  <c r="M365" i="1" a="1"/>
  <c r="M365" i="1" s="1"/>
  <c r="M364" i="1" a="1"/>
  <c r="M364" i="1" s="1"/>
  <c r="M363" i="1" a="1"/>
  <c r="M363" i="1" s="1"/>
  <c r="M362" i="1" a="1"/>
  <c r="M362" i="1" s="1"/>
  <c r="M361" i="1" a="1"/>
  <c r="M361" i="1" s="1"/>
  <c r="M360" i="1" a="1"/>
  <c r="M360" i="1" s="1"/>
  <c r="M359" i="1" a="1"/>
  <c r="M359" i="1" s="1"/>
  <c r="M358" i="1" a="1"/>
  <c r="M358" i="1" s="1"/>
  <c r="M357" i="1" a="1"/>
  <c r="M357" i="1" s="1"/>
  <c r="M356" i="1" a="1"/>
  <c r="M356" i="1" s="1"/>
  <c r="M355" i="1" a="1"/>
  <c r="M355" i="1" s="1"/>
  <c r="M354" i="1" a="1"/>
  <c r="M354" i="1" s="1"/>
  <c r="M353" i="1" a="1"/>
  <c r="M353" i="1" s="1"/>
  <c r="M352" i="1" a="1"/>
  <c r="M352" i="1" s="1"/>
  <c r="M351" i="1" a="1"/>
  <c r="M351" i="1" s="1"/>
  <c r="M350" i="1" a="1"/>
  <c r="M350" i="1" s="1"/>
  <c r="M349" i="1" a="1"/>
  <c r="M349" i="1" s="1"/>
  <c r="M348" i="1" a="1"/>
  <c r="M348" i="1" s="1"/>
  <c r="M347" i="1" a="1"/>
  <c r="M347" i="1" s="1"/>
  <c r="M346" i="1" a="1"/>
  <c r="M346" i="1" s="1"/>
  <c r="M345" i="1" a="1"/>
  <c r="M345" i="1" s="1"/>
  <c r="M344" i="1" a="1"/>
  <c r="M344" i="1" s="1"/>
  <c r="M343" i="1" a="1"/>
  <c r="M343" i="1" s="1"/>
  <c r="M342" i="1" a="1"/>
  <c r="M342" i="1" s="1"/>
  <c r="M341" i="1" a="1"/>
  <c r="M341" i="1" s="1"/>
  <c r="M340" i="1" a="1"/>
  <c r="M340" i="1" s="1"/>
  <c r="M339" i="1" a="1"/>
  <c r="M339" i="1" s="1"/>
  <c r="M338" i="1" a="1"/>
  <c r="M338" i="1" s="1"/>
  <c r="M337" i="1" a="1"/>
  <c r="M337" i="1" s="1"/>
  <c r="M336" i="1" a="1"/>
  <c r="M336" i="1" s="1"/>
  <c r="M335" i="1" a="1"/>
  <c r="M335" i="1" s="1"/>
  <c r="M334" i="1" a="1"/>
  <c r="M334" i="1" s="1"/>
  <c r="M333" i="1" a="1"/>
  <c r="M333" i="1" s="1"/>
  <c r="M332" i="1" a="1"/>
  <c r="M332" i="1" s="1"/>
  <c r="M331" i="1" a="1"/>
  <c r="M331" i="1" s="1"/>
  <c r="M330" i="1" a="1"/>
  <c r="M330" i="1" s="1"/>
  <c r="M329" i="1" a="1"/>
  <c r="M329" i="1" s="1"/>
  <c r="M328" i="1" a="1"/>
  <c r="M328" i="1" s="1"/>
  <c r="M327" i="1" a="1"/>
  <c r="M327" i="1" s="1"/>
  <c r="M326" i="1" a="1"/>
  <c r="M326" i="1" s="1"/>
  <c r="M325" i="1" a="1"/>
  <c r="M325" i="1" s="1"/>
  <c r="M324" i="1" a="1"/>
  <c r="M324" i="1" s="1"/>
  <c r="M323" i="1" a="1"/>
  <c r="M323" i="1" s="1"/>
  <c r="M322" i="1" a="1"/>
  <c r="M322" i="1" s="1"/>
  <c r="M321" i="1" a="1"/>
  <c r="M321" i="1" s="1"/>
  <c r="M320" i="1" a="1"/>
  <c r="M320" i="1" s="1"/>
  <c r="M319" i="1" a="1"/>
  <c r="M319" i="1" s="1"/>
  <c r="M318" i="1" a="1"/>
  <c r="M318" i="1" s="1"/>
  <c r="M317" i="1" a="1"/>
  <c r="M317" i="1" s="1"/>
  <c r="M316" i="1" a="1"/>
  <c r="M316" i="1" s="1"/>
  <c r="M315" i="1" a="1"/>
  <c r="M315" i="1" s="1"/>
  <c r="M314" i="1" a="1"/>
  <c r="M314" i="1" s="1"/>
  <c r="M313" i="1" a="1"/>
  <c r="M313" i="1" s="1"/>
  <c r="M312" i="1" a="1"/>
  <c r="M312" i="1" s="1"/>
  <c r="M311" i="1" a="1"/>
  <c r="M311" i="1" s="1"/>
  <c r="M310" i="1" a="1"/>
  <c r="M310" i="1" s="1"/>
  <c r="M309" i="1" a="1"/>
  <c r="M309" i="1" s="1"/>
  <c r="M308" i="1" a="1"/>
  <c r="M308" i="1" s="1"/>
  <c r="M307" i="1" a="1"/>
  <c r="M307" i="1" s="1"/>
  <c r="M306" i="1" a="1"/>
  <c r="M306" i="1" s="1"/>
  <c r="M305" i="1" a="1"/>
  <c r="M305" i="1" s="1"/>
  <c r="M304" i="1" a="1"/>
  <c r="M304" i="1" s="1"/>
  <c r="M303" i="1" a="1"/>
  <c r="M303" i="1" s="1"/>
  <c r="M302" i="1" a="1"/>
  <c r="M302" i="1" s="1"/>
  <c r="M301" i="1" a="1"/>
  <c r="M301" i="1" s="1"/>
  <c r="M300" i="1" a="1"/>
  <c r="M300" i="1" s="1"/>
  <c r="M299" i="1" a="1"/>
  <c r="M299" i="1" s="1"/>
  <c r="M298" i="1" a="1"/>
  <c r="M298" i="1" s="1"/>
  <c r="M297" i="1" a="1"/>
  <c r="M297" i="1" s="1"/>
  <c r="M296" i="1" a="1"/>
  <c r="M296" i="1" s="1"/>
  <c r="M295" i="1" a="1"/>
  <c r="M295" i="1" s="1"/>
  <c r="M294" i="1" a="1"/>
  <c r="M294" i="1" s="1"/>
  <c r="M293" i="1" a="1"/>
  <c r="M293" i="1" s="1"/>
  <c r="M292" i="1" a="1"/>
  <c r="M292" i="1" s="1"/>
  <c r="M291" i="1" a="1"/>
  <c r="M291" i="1" s="1"/>
  <c r="M290" i="1" a="1"/>
  <c r="M290" i="1" s="1"/>
  <c r="M289" i="1" a="1"/>
  <c r="M289" i="1" s="1"/>
  <c r="CD9" i="1" a="1"/>
  <c r="CD8" i="1" a="1"/>
  <c r="CD7" i="1" a="1"/>
  <c r="CD6" i="1" a="1"/>
  <c r="CD9" i="1" l="1"/>
  <c r="CD8" i="1"/>
  <c r="CD7" i="1"/>
  <c r="CD6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<sst xmlns="http://schemas.openxmlformats.org/spreadsheetml/2006/main" count="9766" uniqueCount="1161">
  <si>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</si>
  <si>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</si>
  <si>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</si>
  <si>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</si>
  <si>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</si>
  <si>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</si>
  <si>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</si>
  <si>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</si>
  <si>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</si>
  <si>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</si>
  <si>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</si>
  <si>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</si>
  <si>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</si>
  <si>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</si>
  <si>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</si>
  <si>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</si>
  <si>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</si>
  <si>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</si>
  <si>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</si>
  <si>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</si>
  <si>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</si>
  <si>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</si>
  <si>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</si>
  <si>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</si>
  <si>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</si>
  <si>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</si>
  <si>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</si>
  <si>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</si>
  <si>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</si>
  <si>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</si>
  <si>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</si>
  <si>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</si>
  <si>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</si>
  <si>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</si>
  <si>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</si>
  <si>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</si>
  <si>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</si>
  <si>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</si>
  <si>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</si>
  <si>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</si>
  <si>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</si>
  <si>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</si>
  <si>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</si>
  <si>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</si>
  <si>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</si>
  <si>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</si>
  <si>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</si>
  <si>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</si>
  <si>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</si>
  <si>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</si>
  <si>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</si>
  <si>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</si>
  <si>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</si>
  <si>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</si>
  <si>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</si>
  <si>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</si>
  <si>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</si>
  <si>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</si>
  <si>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</si>
  <si>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</si>
  <si>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</si>
  <si>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</si>
  <si>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</si>
  <si>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</si>
  <si>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</si>
  <si>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</si>
  <si>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</si>
  <si>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</si>
  <si>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</si>
  <si>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</si>
  <si>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</si>
  <si>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</si>
  <si>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</si>
  <si>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</si>
  <si>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</si>
  <si>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</si>
  <si>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</si>
  <si>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</si>
  <si>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</si>
  <si>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</si>
  <si>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</si>
  <si>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</si>
  <si>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</si>
  <si>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</si>
  <si>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</si>
  <si>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</si>
  <si>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</si>
  <si>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</si>
  <si>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</si>
  <si>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</si>
  <si>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</si>
  <si>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</si>
  <si>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</si>
  <si>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</si>
  <si>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</si>
  <si>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</si>
  <si>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</si>
  <si>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</si>
  <si>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</si>
  <si>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</si>
  <si>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</si>
  <si>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</si>
  <si>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</si>
  <si>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</si>
  <si>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</si>
  <si>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</si>
  <si>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</si>
  <si>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</si>
  <si>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</si>
  <si>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</si>
  <si>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</si>
  <si>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</si>
  <si>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</si>
  <si>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</si>
  <si>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</si>
  <si>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</si>
  <si>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</si>
  <si>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</si>
  <si>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</si>
  <si>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</si>
  <si>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</si>
  <si>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</si>
  <si>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</si>
  <si>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</si>
  <si>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</si>
  <si>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</si>
  <si>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</si>
  <si>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</si>
  <si>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</si>
  <si>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</si>
  <si>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</si>
  <si>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</si>
  <si>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</si>
  <si>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</si>
  <si>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</si>
  <si>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</si>
  <si>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</si>
  <si>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</si>
  <si>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</si>
  <si>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</si>
  <si>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</si>
  <si>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</si>
  <si>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</si>
  <si>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</si>
  <si>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IMPERIAL DE LUJO</t>
  </si>
  <si>
    <t>MEMORIAL</t>
  </si>
  <si>
    <t>DELUX</t>
  </si>
  <si>
    <t>ECONOLINE</t>
  </si>
  <si>
    <t>DIGNITY</t>
  </si>
  <si>
    <t>ZAFIRO</t>
  </si>
  <si>
    <t>TABASCO</t>
  </si>
  <si>
    <t>PARAISO</t>
  </si>
  <si>
    <t>CUNDUACAN</t>
  </si>
  <si>
    <t>COMALCALCO</t>
  </si>
  <si>
    <t>HUIMANGUILLO</t>
  </si>
  <si>
    <t>CENTLA</t>
  </si>
  <si>
    <t>2021-01-19</t>
  </si>
  <si>
    <t>2022-02-16</t>
  </si>
  <si>
    <t>2022-01-13</t>
  </si>
  <si>
    <t>2022-02-10</t>
  </si>
  <si>
    <t>2021-11-01</t>
  </si>
  <si>
    <t>2021-11-29</t>
  </si>
  <si>
    <t>2021-06-03</t>
  </si>
  <si>
    <t>2021-12-16</t>
  </si>
  <si>
    <t>2021-11-23</t>
  </si>
  <si>
    <t>2021-10-12</t>
  </si>
  <si>
    <t>2020-10-27</t>
  </si>
  <si>
    <t>2021-11-22</t>
  </si>
  <si>
    <t>2021-01-26</t>
  </si>
  <si>
    <t>2022-02-13</t>
  </si>
  <si>
    <t>2022-02-11</t>
  </si>
  <si>
    <t>2021-03-23</t>
  </si>
  <si>
    <t>2022-02-02</t>
  </si>
  <si>
    <t>2022-02-03</t>
  </si>
  <si>
    <t>2021-12-18</t>
  </si>
  <si>
    <t>2021-11-13</t>
  </si>
  <si>
    <t>2022-02-22</t>
  </si>
  <si>
    <t>2022-02-15</t>
  </si>
  <si>
    <t>2022-01-31</t>
  </si>
  <si>
    <t>2022-02-14</t>
  </si>
  <si>
    <t>2021-05-10</t>
  </si>
  <si>
    <t>2021-10-25</t>
  </si>
  <si>
    <t>2021-11-16</t>
  </si>
  <si>
    <t>2022-01-03</t>
  </si>
  <si>
    <t>2021-01-11</t>
  </si>
  <si>
    <t>2021-11-12</t>
  </si>
  <si>
    <t>PEDRO</t>
  </si>
  <si>
    <t>MARCO ANTONIO</t>
  </si>
  <si>
    <t>RAUL</t>
  </si>
  <si>
    <t>LORENA</t>
  </si>
  <si>
    <t>JOSE LUIS</t>
  </si>
  <si>
    <t>MARIA DEL CARMEN</t>
  </si>
  <si>
    <t>JANET</t>
  </si>
  <si>
    <t>MARIA JESUS</t>
  </si>
  <si>
    <t>MIGUEL</t>
  </si>
  <si>
    <t>MARIA DEL ROSARIO</t>
  </si>
  <si>
    <t>JOSE MANUEL</t>
  </si>
  <si>
    <t>ELIZABETH</t>
  </si>
  <si>
    <t>JOSEFA</t>
  </si>
  <si>
    <t>JAVIER</t>
  </si>
  <si>
    <t>ALEJANDRO</t>
  </si>
  <si>
    <t>ESTEBAN</t>
  </si>
  <si>
    <t>CRUZ</t>
  </si>
  <si>
    <t>GARCIA</t>
  </si>
  <si>
    <t>DIAZ</t>
  </si>
  <si>
    <t>HERNANDEZ</t>
  </si>
  <si>
    <t>RODRIGUEZ</t>
  </si>
  <si>
    <t>ARIAS</t>
  </si>
  <si>
    <t>MARTINEZ</t>
  </si>
  <si>
    <t>CORDOVA</t>
  </si>
  <si>
    <t>DE LA CRUZ</t>
  </si>
  <si>
    <t>LANDERO</t>
  </si>
  <si>
    <t>DOMINGUEZ</t>
  </si>
  <si>
    <t>OLAN</t>
  </si>
  <si>
    <t>PEREZ</t>
  </si>
  <si>
    <t>SANCHEZ</t>
  </si>
  <si>
    <t>CHABLE</t>
  </si>
  <si>
    <t>MENDEZ</t>
  </si>
  <si>
    <t>JIMENEZ</t>
  </si>
  <si>
    <t>OVANDO</t>
  </si>
  <si>
    <t>DE LA O</t>
  </si>
  <si>
    <t>HERRERA</t>
  </si>
  <si>
    <t>RAMIREZ</t>
  </si>
  <si>
    <t>GONZALEZ</t>
  </si>
  <si>
    <t>TORREZ</t>
  </si>
  <si>
    <t>AVALOS</t>
  </si>
  <si>
    <t>SARABIA</t>
  </si>
  <si>
    <t>MONTEJO</t>
  </si>
  <si>
    <t>FLORES</t>
  </si>
  <si>
    <t>RAMOS</t>
  </si>
  <si>
    <t>MORALES</t>
  </si>
  <si>
    <t>GALLEGOS</t>
  </si>
  <si>
    <t>GAMAS</t>
  </si>
  <si>
    <t>DE LOS SANTOS</t>
  </si>
  <si>
    <t>AGUILAR</t>
  </si>
  <si>
    <t>MARIN</t>
  </si>
  <si>
    <t>LIGONIO</t>
  </si>
  <si>
    <t>CARRETERA PRINCIPAL SIN NUMERO</t>
  </si>
  <si>
    <t>CARRETERA A CHILTEPEC SIN NUMERO</t>
  </si>
  <si>
    <t>FRACCIONAMIENTO LAS ROSAS</t>
  </si>
  <si>
    <t>CALLE EMILIANO ZAPATA</t>
  </si>
  <si>
    <t>CARRETERA PRINCIPAL</t>
  </si>
  <si>
    <t>CALLE PRINCIPAL</t>
  </si>
  <si>
    <t>COLONIA NUEVO PROGRESO</t>
  </si>
  <si>
    <t>RANCHERIA JALAPITA</t>
  </si>
  <si>
    <t>RANCHERIA LIBERTAD SEGUNDA SECCION</t>
  </si>
  <si>
    <t>RANCHERIA ORIENTE PRIMERA SECCION</t>
  </si>
  <si>
    <t>EJIDO SAN FERNANDO</t>
  </si>
  <si>
    <t>RANCHERIA ZAPOTAL PRIMERA SECCION</t>
  </si>
  <si>
    <t>COLONIA CARDENAS CENTRO</t>
  </si>
  <si>
    <t>COLONIA JACINTO LOPEZ</t>
  </si>
  <si>
    <t>COLONIA OBRERA</t>
  </si>
  <si>
    <t>COLONIA PUEBLO NUEVO</t>
  </si>
  <si>
    <t>COLONIA QUINTIN ARAUZ</t>
  </si>
  <si>
    <t>RANCHERIA NICOLAS BRAVO TERCERA SECCION</t>
  </si>
  <si>
    <t>2022-03-01</t>
  </si>
  <si>
    <t>2022-03-02</t>
  </si>
  <si>
    <t>2022-07-03</t>
  </si>
  <si>
    <t>2022-02-21</t>
  </si>
  <si>
    <t>2022-03-03</t>
  </si>
  <si>
    <t>2022-01-06</t>
  </si>
  <si>
    <t>2022-02-23</t>
  </si>
  <si>
    <t>2022-02-24</t>
  </si>
  <si>
    <t>2022-02-17</t>
  </si>
  <si>
    <t>2022-03-09</t>
  </si>
  <si>
    <t>2022-07-10</t>
  </si>
  <si>
    <t>2022-02-28</t>
  </si>
  <si>
    <t>2022-02-07</t>
  </si>
  <si>
    <t>QWZHGJ0U9KVTQO</t>
  </si>
  <si>
    <t>QX002MIY9KVTQO</t>
  </si>
  <si>
    <t>QWZHGIJM9KVTQO</t>
  </si>
  <si>
    <t>KYMDH4NUTCJVUQD</t>
  </si>
  <si>
    <t>QX002L6W9KVTQO</t>
  </si>
  <si>
    <t>ZCEYT2126ZYSJM7</t>
  </si>
  <si>
    <t>QWZBUBTG9KVTQO</t>
  </si>
  <si>
    <t>QWZBUE029KVTQO</t>
  </si>
  <si>
    <t>XJ7NCYLLDZFLMWF</t>
  </si>
  <si>
    <t>FINAL</t>
  </si>
  <si>
    <t>|</t>
  </si>
  <si>
    <t>WydAmwTsRBspNJ0M</t>
  </si>
  <si>
    <t>CAR2021-0091</t>
  </si>
  <si>
    <t>ALEJANDRA</t>
  </si>
  <si>
    <t>CALLE MIGUEL ORRICO DE LOS LLANOS</t>
  </si>
  <si>
    <t>RANCHERIA RIO SECO PRIMERA SECCION</t>
  </si>
  <si>
    <t>ZzlisPjZ1JRduZrT</t>
  </si>
  <si>
    <t>PAR2022-0355</t>
  </si>
  <si>
    <t>CARRASCO</t>
  </si>
  <si>
    <t>JESUS</t>
  </si>
  <si>
    <t>FRENTE AL TEMPLO DE DIOS ES AMOR</t>
  </si>
  <si>
    <t>RANCHERIA INDEPENDENCIA</t>
  </si>
  <si>
    <t>YMZHNpa8d8ZpCBwV</t>
  </si>
  <si>
    <t>PAR2022-0535</t>
  </si>
  <si>
    <t>DALIA</t>
  </si>
  <si>
    <t>CARRETERA A NICOLAS BRAVO SIN NUMERO</t>
  </si>
  <si>
    <t>Y8JlS210y7JR9hBJ</t>
  </si>
  <si>
    <t>PAR2021-0190</t>
  </si>
  <si>
    <t>ANGULO</t>
  </si>
  <si>
    <t>JORGE HUMBERTO</t>
  </si>
  <si>
    <t>PASANDO EL DEPOSITO DE CORONA, ALADO</t>
  </si>
  <si>
    <t>8N5XIzorJnHSS2ts</t>
  </si>
  <si>
    <t>PAR2022-0380</t>
  </si>
  <si>
    <t>HILDA</t>
  </si>
  <si>
    <t>CALLE JOSE MARIA MORELOS NUMERO 701-B</t>
  </si>
  <si>
    <t>CARDENAS COLONIA CENTRO</t>
  </si>
  <si>
    <t>iwvp4wVF7qHUfuEP</t>
  </si>
  <si>
    <t>PAR2022-0507</t>
  </si>
  <si>
    <t>MARIA DE LOS ANGELES</t>
  </si>
  <si>
    <t>ENTRADA A LA ISLA CALLE AL KINAL CASA</t>
  </si>
  <si>
    <t>RANCHERIA NORTE TERCERA SECCION</t>
  </si>
  <si>
    <t>ChP9YDnxuRbwcRAE</t>
  </si>
  <si>
    <t>PAR2021-2125</t>
  </si>
  <si>
    <t>VALENCIA</t>
  </si>
  <si>
    <t>MARIA EDICA</t>
  </si>
  <si>
    <t>CARRETERA AL CHIVERO SIN NUMERO</t>
  </si>
  <si>
    <t>pMZ3QHO3aBd1ffqA</t>
  </si>
  <si>
    <t>PAR2020-1568</t>
  </si>
  <si>
    <t>CHAPUZ</t>
  </si>
  <si>
    <t>ENTRADA POCHIMOVILES CASA COLOR AZUL</t>
  </si>
  <si>
    <t>RANCHERIA ORIENTE SEGUNDA SECCION</t>
  </si>
  <si>
    <t>NH0RmKyzhcePaaXT</t>
  </si>
  <si>
    <t>PAR2020-1164</t>
  </si>
  <si>
    <t>CASTELLANOS</t>
  </si>
  <si>
    <t>KARLA ALEJANDRA</t>
  </si>
  <si>
    <t>ARREGLSN TELEVISIONES</t>
  </si>
  <si>
    <t>RANCHERIA EL ESCRIBANO</t>
  </si>
  <si>
    <t>Dn15774xMOTWP2LY</t>
  </si>
  <si>
    <t>CAR2021-1118</t>
  </si>
  <si>
    <t>PERETA</t>
  </si>
  <si>
    <t xml:space="preserve">RANCHERIA GREGORIO MENDEZ PRIMERA SECCION </t>
  </si>
  <si>
    <t>8KYWRhxsxJJlJ4bc</t>
  </si>
  <si>
    <t>PAR2021-3527</t>
  </si>
  <si>
    <t>RABANALES</t>
  </si>
  <si>
    <t>ROSA MARIA</t>
  </si>
  <si>
    <t xml:space="preserve">RANCHERIA ZAPOTAL PRIMERA SECCION </t>
  </si>
  <si>
    <t>L1vtxXcPffxM8NvP</t>
  </si>
  <si>
    <t>PAR2021-3574</t>
  </si>
  <si>
    <t>SEBASTIANA</t>
  </si>
  <si>
    <t xml:space="preserve">CARRETERA VECINAL PARAISO COMALCALCO FRENTE A PESCADERIA EL CAPITAN </t>
  </si>
  <si>
    <t xml:space="preserve">FRANCISCO I MADERO </t>
  </si>
  <si>
    <t>h8ywwWnZYuh2WiST</t>
  </si>
  <si>
    <t>CAR2020-1606</t>
  </si>
  <si>
    <t>ALEJANDRO SANCHEZ</t>
  </si>
  <si>
    <t>CALLE MIGUEL HIDALGO SIN NUMERO</t>
  </si>
  <si>
    <t>COLONIA 11 DE FEBRERO</t>
  </si>
  <si>
    <t>F7xqOySTIMyuT6cx</t>
  </si>
  <si>
    <t>CAR2021-6028-1</t>
  </si>
  <si>
    <t>MADRIGAL</t>
  </si>
  <si>
    <t>DOLORES</t>
  </si>
  <si>
    <t xml:space="preserve">CALLE SANTIAGO DE LA CRUZ CASRAÑEDA CASA 14 </t>
  </si>
  <si>
    <t>LA PLAYITA</t>
  </si>
  <si>
    <t>JAb9SyUfs1xtAlWd</t>
  </si>
  <si>
    <t>CAR2021-6480</t>
  </si>
  <si>
    <t>MARTHA</t>
  </si>
  <si>
    <t xml:space="preserve">CARRETERA A LA VIA ENTRADA EL CARMEN SIN NUMERO </t>
  </si>
  <si>
    <t>RANCHERIA RIO SECO TIERRA Y LIBERTAD</t>
  </si>
  <si>
    <t>jjQ6r6eqY9F5eJx9</t>
  </si>
  <si>
    <t>CAR2020-1623</t>
  </si>
  <si>
    <t>CRISTOBAL</t>
  </si>
  <si>
    <t>ORAC</t>
  </si>
  <si>
    <t>MARIA DE LOS SANTOS</t>
  </si>
  <si>
    <t>CARRETERA RIO SECO TULIPAN</t>
  </si>
  <si>
    <t xml:space="preserve">EN SANTA ROSALIA </t>
  </si>
  <si>
    <t>c5Q6B08R5KeiCwXx</t>
  </si>
  <si>
    <t>CAR2020-1628</t>
  </si>
  <si>
    <t>CALLE 6 SIN NUMERO ENTRADA DE LA BLOQUERA</t>
  </si>
  <si>
    <t>COLONIA EL PORVENIR</t>
  </si>
  <si>
    <t>TNWcR33lpbHXhBcN</t>
  </si>
  <si>
    <t>CAR2020-5008</t>
  </si>
  <si>
    <t>TORRES</t>
  </si>
  <si>
    <t>SASTRE</t>
  </si>
  <si>
    <t>DANIELA</t>
  </si>
  <si>
    <t>EJIDO TIERRA Y LIBETAD</t>
  </si>
  <si>
    <t>Z1EnxbdotsJ5ZNRS</t>
  </si>
  <si>
    <t>CAR2021-5428</t>
  </si>
  <si>
    <t>ORDOÑEZ</t>
  </si>
  <si>
    <t>PATRICIO</t>
  </si>
  <si>
    <t>EN LA ENTRADA A 100 METROS DE DEPOSITO NORA</t>
  </si>
  <si>
    <t>sq3VsUFw13Fb719B</t>
  </si>
  <si>
    <t>CAR2021-7269</t>
  </si>
  <si>
    <t>MEM0RIAL</t>
  </si>
  <si>
    <t>DALILA</t>
  </si>
  <si>
    <t>CALLE 14 MANZANA 42 LOTE 7</t>
  </si>
  <si>
    <t>FRACCIONAMIENTO CAÑALES TERCERA ETAPA</t>
  </si>
  <si>
    <t>UIG4hox4dYapZNRu</t>
  </si>
  <si>
    <t>CAR2021-7265</t>
  </si>
  <si>
    <t>OBET</t>
  </si>
  <si>
    <t>CALLE 11 LADO SUR SIN NUMERO</t>
  </si>
  <si>
    <t>scLqxzhFtPtYxSXu</t>
  </si>
  <si>
    <t xml:space="preserve"> CAR2018-1298</t>
  </si>
  <si>
    <t>TEJEDA</t>
  </si>
  <si>
    <t>VELAZQUEZ</t>
  </si>
  <si>
    <t>CALLE 5 MANZANA 4 LOTE 6</t>
  </si>
  <si>
    <t>FRACCIONAMIENTO CAÑALES SEGUNDA ETAPA</t>
  </si>
  <si>
    <t>opK9i1Spkn1DnFH8</t>
  </si>
  <si>
    <t>CAR2021-7253</t>
  </si>
  <si>
    <t>PERALTA</t>
  </si>
  <si>
    <t>ANASTACIA</t>
  </si>
  <si>
    <t>CALLE MESOAMERICANA</t>
  </si>
  <si>
    <t>a8f5mPRPjlEVbVDY</t>
  </si>
  <si>
    <t>CAR2020-2812</t>
  </si>
  <si>
    <t>ADRIANA</t>
  </si>
  <si>
    <t>CALLE DE PIZZERIA</t>
  </si>
  <si>
    <t>POBLADO MIGUEL HIDALGO</t>
  </si>
  <si>
    <t>JPmB4LPSG0zmr4xc</t>
  </si>
  <si>
    <t>PAR2021-1347</t>
  </si>
  <si>
    <t>CABRERA</t>
  </si>
  <si>
    <t>LUZ</t>
  </si>
  <si>
    <t>CALLE ALFREDO RODRIGUEZ SANTOS</t>
  </si>
  <si>
    <t>RANCHERIA QUINTIN ARAUZ</t>
  </si>
  <si>
    <t>ZgtwsQ797oUN8DEs</t>
  </si>
  <si>
    <t>PAR2021-3310</t>
  </si>
  <si>
    <t>ROSSANA</t>
  </si>
  <si>
    <t>RANCHERIA MONTE ADENTRO</t>
  </si>
  <si>
    <t>ikgs4IVeIQXkTjOj</t>
  </si>
  <si>
    <t>PAR2021-3190</t>
  </si>
  <si>
    <t>VERONICA</t>
  </si>
  <si>
    <t>TRIDA</t>
  </si>
  <si>
    <t>CALLE RAMON PEREZ GALMICHA SIN NUMERO</t>
  </si>
  <si>
    <t>P9Bc8xmwFOPfYs81</t>
  </si>
  <si>
    <t>PAR2021-1168</t>
  </si>
  <si>
    <t>VILLANUEVA</t>
  </si>
  <si>
    <t>ENTRADA EL GUENAL</t>
  </si>
  <si>
    <t>POBLADO NICOLAS BRAVO</t>
  </si>
  <si>
    <t>tYImo38VtFNX3rmn</t>
  </si>
  <si>
    <t>PAR2021-1902</t>
  </si>
  <si>
    <t>SANTIAGO</t>
  </si>
  <si>
    <t>RANCHERIA NICOLAS BRAVO SEGUNDA SECCION</t>
  </si>
  <si>
    <t>7msk4EyEaPhKF25x</t>
  </si>
  <si>
    <t>PAR2019-0505</t>
  </si>
  <si>
    <t>REYES</t>
  </si>
  <si>
    <t>ROMAN</t>
  </si>
  <si>
    <t>JOSEFINA</t>
  </si>
  <si>
    <t>CALLE NIÑOS HEORES SIN NUMERO</t>
  </si>
  <si>
    <t>VILLA CHICHICAPA</t>
  </si>
  <si>
    <t>oyGweZCND5xg2YMn</t>
  </si>
  <si>
    <t>PAR2021-1509</t>
  </si>
  <si>
    <t>MARQUEZ</t>
  </si>
  <si>
    <t>EDUARDO</t>
  </si>
  <si>
    <t>6heYMUEJEDvPIr87</t>
  </si>
  <si>
    <t>PAR2021-2783</t>
  </si>
  <si>
    <t>FELIPE ANGEL</t>
  </si>
  <si>
    <t>RANCHERIA SUR PRIMERA SECCION</t>
  </si>
  <si>
    <t>qYCwXVufKlAYOWKA</t>
  </si>
  <si>
    <t>PAR2021-2780</t>
  </si>
  <si>
    <t>ZACARIAS</t>
  </si>
  <si>
    <t>COLONIA SANTA AMALIA</t>
  </si>
  <si>
    <t>tuh4rL0z3pqJXKat</t>
  </si>
  <si>
    <t>PAR2021-3981</t>
  </si>
  <si>
    <t>KRISTEL</t>
  </si>
  <si>
    <t>SANDY</t>
  </si>
  <si>
    <t>CALLE MORELOS</t>
  </si>
  <si>
    <t>pnqkeYDxSBec5MWl</t>
  </si>
  <si>
    <t>PAR2021-3758</t>
  </si>
  <si>
    <t>GERARDO</t>
  </si>
  <si>
    <t>OPauUnf7rPIgT9Ie</t>
  </si>
  <si>
    <t>PAR2019-1403</t>
  </si>
  <si>
    <t>JOSE GUADALUPE</t>
  </si>
  <si>
    <t>ORIENTE SEXTA</t>
  </si>
  <si>
    <t>RANCHERIA ORIENTE SEXTA SECCION</t>
  </si>
  <si>
    <t>KhIVYd4qLq7Qrg0f</t>
  </si>
  <si>
    <t>PAR2021-6632</t>
  </si>
  <si>
    <t>TIQUET</t>
  </si>
  <si>
    <t>YARETH</t>
  </si>
  <si>
    <t>CARRETERA CARDENAS-COMALCALCO</t>
  </si>
  <si>
    <t>pD2SlpqzlVvBlXkP</t>
  </si>
  <si>
    <t>PAR2019-0522</t>
  </si>
  <si>
    <t>ESCALANTE</t>
  </si>
  <si>
    <t>DAGNOLIA</t>
  </si>
  <si>
    <t>PASANDO ENTRADA LA PALMA</t>
  </si>
  <si>
    <t>i7vjrzKEa7Ev1uW5</t>
  </si>
  <si>
    <t>COM2021-3964</t>
  </si>
  <si>
    <t>ARZAT</t>
  </si>
  <si>
    <t>EJIDO EL ANGEL</t>
  </si>
  <si>
    <t>qg77WhNV0EOc7kbo</t>
  </si>
  <si>
    <t>PAR2020-3137</t>
  </si>
  <si>
    <t>LUNA</t>
  </si>
  <si>
    <t>BLANCA ESTELA</t>
  </si>
  <si>
    <t>ENTRADA CAMINO AGRARIO</t>
  </si>
  <si>
    <t>RANCHERIA SUR CUARTA SECCION</t>
  </si>
  <si>
    <t>bERuAoyDl0uF1zOS</t>
  </si>
  <si>
    <t>PAR2019-2662</t>
  </si>
  <si>
    <t>PORFIRIO</t>
  </si>
  <si>
    <t xml:space="preserve">ENTRADA LAS FLORES </t>
  </si>
  <si>
    <t>vZQVpQqHWilntMkN</t>
  </si>
  <si>
    <t>PAR2019-2843</t>
  </si>
  <si>
    <t>CASTILLO</t>
  </si>
  <si>
    <t>JOSRGE</t>
  </si>
  <si>
    <t>CARRETERA A TULIPAN</t>
  </si>
  <si>
    <t>RANCHERIA NICOLAS BRAVO CUARTA SECCION</t>
  </si>
  <si>
    <t>4MO6Wk2BFYueykEF</t>
  </si>
  <si>
    <t>PAR2019-0768</t>
  </si>
  <si>
    <t>CARRETERA A JESUS CARRANZA</t>
  </si>
  <si>
    <t>lbpjJO9oBuqb3911</t>
  </si>
  <si>
    <t>COM2020-3126</t>
  </si>
  <si>
    <t>ROSA LILIA</t>
  </si>
  <si>
    <t>ENTRADA AL FRACCIONAMIENTO DEL TORO</t>
  </si>
  <si>
    <t>vlbBnU8Lwpj42DkL</t>
  </si>
  <si>
    <t>CAR2021-7045</t>
  </si>
  <si>
    <t>HUIAMGUILLO</t>
  </si>
  <si>
    <t>ARELLANO</t>
  </si>
  <si>
    <t>ALEJO</t>
  </si>
  <si>
    <t>ANA GABRIELA</t>
  </si>
  <si>
    <t>CALLE 14 MANZANA 23 DEPARTAMENTO 1 MODULO 1</t>
  </si>
  <si>
    <t>FRACCIONAMIENTO POMOCA</t>
  </si>
  <si>
    <t>klSZ0n91UBG5mTlE</t>
  </si>
  <si>
    <t>CAR2020-4414</t>
  </si>
  <si>
    <t>BURGOS</t>
  </si>
  <si>
    <t>GUZMAN</t>
  </si>
  <si>
    <t>YOLANDA MERARI</t>
  </si>
  <si>
    <t>CALLE ESQUINA RUMANIA</t>
  </si>
  <si>
    <t>OyrZFfR2Cx3fNaV7</t>
  </si>
  <si>
    <t>CAR2021-0893</t>
  </si>
  <si>
    <t>LARA</t>
  </si>
  <si>
    <t>NATIVIVDAD</t>
  </si>
  <si>
    <t>CARRETERA CARDENAS HUIMANGUILLO SIN NUMERO</t>
  </si>
  <si>
    <t>RANCHERIA PASO Y PLAYA</t>
  </si>
  <si>
    <t>GnzVGxTQaVzzbvx4</t>
  </si>
  <si>
    <t>CAR2021-7077</t>
  </si>
  <si>
    <t>JUAREZ</t>
  </si>
  <si>
    <t>CALLE EMILIANO ZAPATA FRENTE AL TEMPLO MONTE HERMON</t>
  </si>
  <si>
    <t>EJIDO LA PENINSULA</t>
  </si>
  <si>
    <t>ZhGgNQPKYE9vvt5y</t>
  </si>
  <si>
    <t>CAR2021-7263</t>
  </si>
  <si>
    <t>VALENZUELA</t>
  </si>
  <si>
    <t>ALVARADO</t>
  </si>
  <si>
    <t>YOLIDABET</t>
  </si>
  <si>
    <t>CARRETERA HUIMAGUILLO-CARDENAS</t>
  </si>
  <si>
    <t>PRC06J5a4O5XJNBO</t>
  </si>
  <si>
    <t>CAR2020-3235</t>
  </si>
  <si>
    <t>LEYDI PATRICIA</t>
  </si>
  <si>
    <t>CALLE FRANCISCO I MADERO NUMERO 11</t>
  </si>
  <si>
    <t>mDRb7mLU3UXRUFNX</t>
  </si>
  <si>
    <t>CAR2020-3856</t>
  </si>
  <si>
    <t>PONZ</t>
  </si>
  <si>
    <t>CARRETERA CARDENAS-HUIMANGUILLO</t>
  </si>
  <si>
    <t>ECUX5bLyLe86sGCc</t>
  </si>
  <si>
    <t>CAR2021-0269</t>
  </si>
  <si>
    <t>ESTRADA</t>
  </si>
  <si>
    <t>DE DIOS</t>
  </si>
  <si>
    <t>JULIAN</t>
  </si>
  <si>
    <t>CALLE ERNESTO AGUIRRE COLORADO</t>
  </si>
  <si>
    <t>q0KcGECtwazTBQQD</t>
  </si>
  <si>
    <t>CAR2021-0229</t>
  </si>
  <si>
    <t>ARACELI</t>
  </si>
  <si>
    <t>CALLE AURELIO SOSA TORRES NUMERO 114</t>
  </si>
  <si>
    <t>iKsk7x3hD4VhlC9T</t>
  </si>
  <si>
    <t>CAR2021-7567</t>
  </si>
  <si>
    <t>GLORIA GARCIA</t>
  </si>
  <si>
    <t>CALLE GUADALUPE SIN NUMERO</t>
  </si>
  <si>
    <t>COLONIA SANTA CATALINA</t>
  </si>
  <si>
    <t>3xX9ho7XAYE9v6WZ</t>
  </si>
  <si>
    <t>CAR2021-5210</t>
  </si>
  <si>
    <t>GEORGINA</t>
  </si>
  <si>
    <t>LA MARGARITA PROLONGACION 27 DE FEBRERO NUMERO 150</t>
  </si>
  <si>
    <t>w6FU2N1I0h2DOljW</t>
  </si>
  <si>
    <t>CAR2021-7225</t>
  </si>
  <si>
    <t>SERVIN</t>
  </si>
  <si>
    <t>MERIDA</t>
  </si>
  <si>
    <t>CALLE DIABLO TERCERA SIN NUMERO</t>
  </si>
  <si>
    <t>rVh8wcLWMh4KKYlV</t>
  </si>
  <si>
    <t>CAR2021-7087</t>
  </si>
  <si>
    <t>BARRIOS</t>
  </si>
  <si>
    <t>RUEDA</t>
  </si>
  <si>
    <t>ANGELICA</t>
  </si>
  <si>
    <t>CALLE ARABIA 1</t>
  </si>
  <si>
    <t>FkrOMMFpx6qhjS9g</t>
  </si>
  <si>
    <t>CAR2021-0426</t>
  </si>
  <si>
    <t>BARTOLA</t>
  </si>
  <si>
    <t>FRACCIONAMIENTO INDEPENDENCIA</t>
  </si>
  <si>
    <t>LIzqoYeSQTyiGtlj</t>
  </si>
  <si>
    <t>CAR2021-0027</t>
  </si>
  <si>
    <t>XACHAUSTEGUI</t>
  </si>
  <si>
    <t>JOSE RAMON</t>
  </si>
  <si>
    <t>CALLE REFORMA</t>
  </si>
  <si>
    <t>WWnK082OuJqfuGpK</t>
  </si>
  <si>
    <t>CAR2021-0200</t>
  </si>
  <si>
    <t>GUILLEN</t>
  </si>
  <si>
    <t>ANA YARITZI</t>
  </si>
  <si>
    <t>CERRADA 5-13-1</t>
  </si>
  <si>
    <t>DzH9gRrge49rTpgo</t>
  </si>
  <si>
    <t>CAR2021-1480</t>
  </si>
  <si>
    <t>ACUÑA</t>
  </si>
  <si>
    <t>CARRETERA A LAS GALAXIAS SIN NUMERO</t>
  </si>
  <si>
    <t>RANCHERIA RIO SECO Y MONTAÑA SEGUNDA SECCION</t>
  </si>
  <si>
    <t>VTBrgy8q8XdY6YBB</t>
  </si>
  <si>
    <t>CAR2022-0025</t>
  </si>
  <si>
    <t>RAMON</t>
  </si>
  <si>
    <t>MARTHA PATRICIA</t>
  </si>
  <si>
    <t>PRIVADA MANGOS CASA NUMERO 108</t>
  </si>
  <si>
    <t>FRACCIONAMIENTO EL ENCANTO</t>
  </si>
  <si>
    <t>pM76xbTWoNo9HQZr</t>
  </si>
  <si>
    <t>CAR2021-7619</t>
  </si>
  <si>
    <t>NOELIA</t>
  </si>
  <si>
    <t>CALLE GUAYACANES SIN NUMERO</t>
  </si>
  <si>
    <t>COLONIA ADA ISABEL</t>
  </si>
  <si>
    <t>hu4mLtK6Fu2ctHEh</t>
  </si>
  <si>
    <t>CAR2021-7618</t>
  </si>
  <si>
    <t>ROSALINO</t>
  </si>
  <si>
    <t>CALLE FRAMBOYANES SIN NUMERO</t>
  </si>
  <si>
    <t>ssMpeUmvHnLbtbWV</t>
  </si>
  <si>
    <t>PAR2021-0381</t>
  </si>
  <si>
    <t>MATILDE</t>
  </si>
  <si>
    <t>ZnoZ9T6In7sfEvxL</t>
  </si>
  <si>
    <t>PAR2021-0361</t>
  </si>
  <si>
    <t xml:space="preserve">MIGUEL </t>
  </si>
  <si>
    <t>CALLE DEL HOSPITAL REGIONAL CALLEJON ANTES DE PRIVADA BETO BRIZANTE</t>
  </si>
  <si>
    <t>uPorr5GFKj8AOFsc</t>
  </si>
  <si>
    <t>PAR2022-0501</t>
  </si>
  <si>
    <t>NOTARIO</t>
  </si>
  <si>
    <t>JULIO CESAR</t>
  </si>
  <si>
    <t>CALLE NUEVO LEON MANZANA 4 LOTE 17</t>
  </si>
  <si>
    <t>COLONIA CONTINUIDAD</t>
  </si>
  <si>
    <t>J4lErVJp5IiNbVau</t>
  </si>
  <si>
    <t>PAR2018-2771</t>
  </si>
  <si>
    <t>JUAN</t>
  </si>
  <si>
    <t>CALLE PRIMERO DE JUNIO</t>
  </si>
  <si>
    <t>PUERTO CEIBA</t>
  </si>
  <si>
    <t>knD8086UkaTxRTtY</t>
  </si>
  <si>
    <t>PAR2021-1354</t>
  </si>
  <si>
    <t>CANDELERO</t>
  </si>
  <si>
    <t>CALLE D12 DE OCTUBRE</t>
  </si>
  <si>
    <t>bGOUSM9wNs5KEvOG</t>
  </si>
  <si>
    <t>PAR2021-0386</t>
  </si>
  <si>
    <t>RAMIRO</t>
  </si>
  <si>
    <t>CALLE CARACOL</t>
  </si>
  <si>
    <t>COLONIA NUEVO TORNO LARGO</t>
  </si>
  <si>
    <t>yzKMAvegSIcY8U0A</t>
  </si>
  <si>
    <t>PAR2021-0153</t>
  </si>
  <si>
    <t>DOMINGO</t>
  </si>
  <si>
    <t>ENTRADA DEL PANTEON</t>
  </si>
  <si>
    <t>COLONIA EL BELLOTE</t>
  </si>
  <si>
    <t>E2IfrtqCb6qkMmiv</t>
  </si>
  <si>
    <t>PAR2022-0135</t>
  </si>
  <si>
    <t>ERMELITA</t>
  </si>
  <si>
    <t>CARRETERA A JALAPITA SIN NUMERO</t>
  </si>
  <si>
    <t>EJIDO AQUILES SERDAN</t>
  </si>
  <si>
    <t>CUKr5lFjUcEu9KBP</t>
  </si>
  <si>
    <t>PAR2021-0302</t>
  </si>
  <si>
    <t xml:space="preserve">CARRETERA A JALAPITA </t>
  </si>
  <si>
    <t>dSLmlQovv5sUuUSx</t>
  </si>
  <si>
    <t>CAR2021-2924</t>
  </si>
  <si>
    <t>GALMICHE</t>
  </si>
  <si>
    <t>CAROLINA</t>
  </si>
  <si>
    <t>ENTRADA EL MORRAL</t>
  </si>
  <si>
    <t>lBQRdng6mag02zl0</t>
  </si>
  <si>
    <t>PAR2022-0514</t>
  </si>
  <si>
    <t>DIONISIO</t>
  </si>
  <si>
    <t>MARIA</t>
  </si>
  <si>
    <t>AQUILES SERDAN SIN NOMBRE</t>
  </si>
  <si>
    <t>VKvptL6X5QBt6Anj</t>
  </si>
  <si>
    <t>PAR2022-0522</t>
  </si>
  <si>
    <t>ELMER</t>
  </si>
  <si>
    <t>CALLE PRIMERO DE JUNIO SIN NUMERO</t>
  </si>
  <si>
    <t>jDGQxRi9lD8xs3Xt</t>
  </si>
  <si>
    <t>PAR2021-0520</t>
  </si>
  <si>
    <t>COLONIA GUANAJAY</t>
  </si>
  <si>
    <t>biSZ93TZlkuTP8aU</t>
  </si>
  <si>
    <t>PAR2021-1184</t>
  </si>
  <si>
    <t>JULIA</t>
  </si>
  <si>
    <t>CALLE LERDO DE TEJEDA</t>
  </si>
  <si>
    <t>COLONIA CENTRO PARAISO</t>
  </si>
  <si>
    <t>gNOZDr4o7dqEHIV1</t>
  </si>
  <si>
    <t>PAR2021-0549</t>
  </si>
  <si>
    <t>RUIZ</t>
  </si>
  <si>
    <t>SANTOS</t>
  </si>
  <si>
    <t>MARITZA</t>
  </si>
  <si>
    <t>CALLE GREGORIO MENDEZ</t>
  </si>
  <si>
    <t>7r28YEp5so4NjmGv</t>
  </si>
  <si>
    <t>PAR2021-1321</t>
  </si>
  <si>
    <t>VERA</t>
  </si>
  <si>
    <t>CERRADA MELCHOR OCAMPO</t>
  </si>
  <si>
    <t>COLONIA LINIANTO</t>
  </si>
  <si>
    <t>8NjsUru6d18BLJCi</t>
  </si>
  <si>
    <t>PAR2021-0982</t>
  </si>
  <si>
    <t>MENDOZA</t>
  </si>
  <si>
    <t>JESUS MANUEL</t>
  </si>
  <si>
    <t>CARRETERA A DOS BOCAS</t>
  </si>
  <si>
    <t>XqwX9jD8Ec8oBRP7</t>
  </si>
  <si>
    <t>COM2019-2646</t>
  </si>
  <si>
    <t>CALLE BENITO JUAREZ CERCA DE LA SUCURSAL DE COMALCALCO</t>
  </si>
  <si>
    <t>COLONIA CENTRO COMALCALCO</t>
  </si>
  <si>
    <t>vXTZb0UtBOKsLLL5</t>
  </si>
  <si>
    <t>PAR2021-0347</t>
  </si>
  <si>
    <t>CALLADO</t>
  </si>
  <si>
    <t>FULI</t>
  </si>
  <si>
    <t>PROLONGACION 5 DE MAYO</t>
  </si>
  <si>
    <t>ng2HmDpmGeac1uO9</t>
  </si>
  <si>
    <t>PAR2021-0948</t>
  </si>
  <si>
    <t>YARA</t>
  </si>
  <si>
    <t>CERRADA LAZARO CARDENAS EN LA CALLE 5 DE MAYO</t>
  </si>
  <si>
    <t>n9Sf6Xt9HF8YPOMS</t>
  </si>
  <si>
    <t>PAR2021-0946</t>
  </si>
  <si>
    <t>IMELDA</t>
  </si>
  <si>
    <t>CALLE IGNACIO RAMIREZ</t>
  </si>
  <si>
    <t>hzfuM3PQIRHbod8e</t>
  </si>
  <si>
    <t>PAR2021-1382</t>
  </si>
  <si>
    <t>HEDDY</t>
  </si>
  <si>
    <t>PUERTO CEIBA CARRIZAL</t>
  </si>
  <si>
    <t>EJIDO PUERTO CEIBA CARRIZAL</t>
  </si>
  <si>
    <t>mwC2p2PukGdscAl0</t>
  </si>
  <si>
    <t>PAR2021-1325</t>
  </si>
  <si>
    <t>ALMICHE</t>
  </si>
  <si>
    <t>LUIS RAMON</t>
  </si>
  <si>
    <t>CALLE 8 DE OCTUBRE</t>
  </si>
  <si>
    <t>hkrjETTFSZpSaQYe</t>
  </si>
  <si>
    <t>PAR2021-0514</t>
  </si>
  <si>
    <t>CERRADA LIMON  A DOS BOCAS</t>
  </si>
  <si>
    <t>COLONIA VERACRUZ SEGUNDA</t>
  </si>
  <si>
    <t>Kf3Gy1xdkMRinneP</t>
  </si>
  <si>
    <t>CAR2022-0516</t>
  </si>
  <si>
    <t>DAVID GASPAR</t>
  </si>
  <si>
    <t>LOCALIDAD JALAPITA SIN NUMERO</t>
  </si>
  <si>
    <t>0aSM4wrtGZdaAT1L</t>
  </si>
  <si>
    <t>PAR2021-1134</t>
  </si>
  <si>
    <t>CREMACION</t>
  </si>
  <si>
    <t>VICENTE</t>
  </si>
  <si>
    <t>MARCELINO</t>
  </si>
  <si>
    <t>SECCION BANCO CHILTEPEC</t>
  </si>
  <si>
    <t>RANCHERIA CHILTEPEC SECCION BANCO</t>
  </si>
  <si>
    <t>bB54H6253kR4uZoR</t>
  </si>
  <si>
    <t>CAR2021-3740</t>
  </si>
  <si>
    <t>MAGAÑA</t>
  </si>
  <si>
    <t>GUADALUPE</t>
  </si>
  <si>
    <t>CARRETERA EL MORRAL</t>
  </si>
  <si>
    <t>as4vOUBOGA2GnwbE</t>
  </si>
  <si>
    <t>CAR2021-3129</t>
  </si>
  <si>
    <t>JOSE ALFREDO</t>
  </si>
  <si>
    <t>PScPK7mjINAXFRN4</t>
  </si>
  <si>
    <t>COM2021-2780</t>
  </si>
  <si>
    <t>CALLE EMILIANO ZAPATA NUMERO 733</t>
  </si>
  <si>
    <t>TezUMX8d049VLkLV</t>
  </si>
  <si>
    <t>COM2021-2783</t>
  </si>
  <si>
    <t>CORODVA</t>
  </si>
  <si>
    <t>SUR CUARTA SECCION</t>
  </si>
  <si>
    <t>rueocExIvsqqRtIq</t>
  </si>
  <si>
    <t>ENTRADA POR  EL FRACCIONAMIENTO DEL TORO</t>
  </si>
  <si>
    <t>i14NPrfnA3nBN01D</t>
  </si>
  <si>
    <t>COM2019-0768</t>
  </si>
  <si>
    <t>dO3QJLPXgnPjVMmN</t>
  </si>
  <si>
    <t>COM2021-3981</t>
  </si>
  <si>
    <t>ed7YsALA0ixr8IN5</t>
  </si>
  <si>
    <t>COM2021-1509</t>
  </si>
  <si>
    <t>COBRAR EN CARRETERA HACIA SUR PRIMERA SECCION TALLER FRENTE A ALIMENTOS PIERNA</t>
  </si>
  <si>
    <t>r4gSB9S1tA576wua</t>
  </si>
  <si>
    <t>COM2019-0948</t>
  </si>
  <si>
    <t>DELTONIRA</t>
  </si>
  <si>
    <t>CARRETERA A CHILTEPEC</t>
  </si>
  <si>
    <t>gI6niisIoLpDc8GM</t>
  </si>
  <si>
    <t>COM2021-3758</t>
  </si>
  <si>
    <t>zYEFsozUbCFry8H1</t>
  </si>
  <si>
    <t>COM2019-0996</t>
  </si>
  <si>
    <t>VAZQUEZ</t>
  </si>
  <si>
    <t>MAY</t>
  </si>
  <si>
    <t>CLAUDIA DARDONIA</t>
  </si>
  <si>
    <t>VILLA DE ORIENTE</t>
  </si>
  <si>
    <t>VILLA ORIENTE</t>
  </si>
  <si>
    <t>kaBT0vD83qPjq11Y</t>
  </si>
  <si>
    <t>COM2021-2759</t>
  </si>
  <si>
    <t>BAUTISTA</t>
  </si>
  <si>
    <t>RENE</t>
  </si>
  <si>
    <t>GREGORIO MENDEZ PRIMERA SECCION SIN NUMERO</t>
  </si>
  <si>
    <t>RANCHERIA GREGORIO MENDEZ PRIMERA SECCION</t>
  </si>
  <si>
    <t>QX002L4E9KVTQO</t>
  </si>
  <si>
    <t>e6n82hiAnjdroiFw</t>
  </si>
  <si>
    <t>COM2021-2745</t>
  </si>
  <si>
    <t>CARRTERA PRINCIPAL SIN NUMERO</t>
  </si>
  <si>
    <t>RANCHERIA GREGORIO MENDEZ SEGUNDA SECCION</t>
  </si>
  <si>
    <t>CCOFG8ZOK3o9nBNi</t>
  </si>
  <si>
    <t>COM2020-1982</t>
  </si>
  <si>
    <t>CALLE FRANCISCO PERALTA</t>
  </si>
  <si>
    <t>CIUDAD TECOLUTILLA</t>
  </si>
  <si>
    <t>AYwHLnoX403X5Wi1</t>
  </si>
  <si>
    <t>COM2020-2310</t>
  </si>
  <si>
    <t>TRUJILLO</t>
  </si>
  <si>
    <t>VERGAS</t>
  </si>
  <si>
    <t>CANDELARIA</t>
  </si>
  <si>
    <t>CARRETERA A PARAISO</t>
  </si>
  <si>
    <t>RANCHERIA POTRERITOS</t>
  </si>
  <si>
    <t>lAgD0pxGuqja6wTA</t>
  </si>
  <si>
    <t>COM2020-2157</t>
  </si>
  <si>
    <t>DAN</t>
  </si>
  <si>
    <t>GLADIS</t>
  </si>
  <si>
    <t>CARRETERA TECOLUTILLA</t>
  </si>
  <si>
    <t>RANCHERIA REYES HERNANDEZ PRIMERA SECCION</t>
  </si>
  <si>
    <t>yCMZ3S6Q5uqZyw4W</t>
  </si>
  <si>
    <t>EJIDO 11 DE FEBRERO</t>
  </si>
  <si>
    <t>Qa8CblBRFGjXvmtS</t>
  </si>
  <si>
    <t>CARRETERA A LA VIA ENTRADA EL CARMEN SIN NUMERO</t>
  </si>
  <si>
    <t>v3VWR4CojrzftEiy</t>
  </si>
  <si>
    <t>ENTRADA LA A 100 METROS DEL DEPOSITO</t>
  </si>
  <si>
    <t>COLONIA PLAYITA</t>
  </si>
  <si>
    <t>tRpLVbmyi4Fzbmks</t>
  </si>
  <si>
    <t>CAR2020-1469</t>
  </si>
  <si>
    <t>CERON</t>
  </si>
  <si>
    <t>BRITO</t>
  </si>
  <si>
    <t>CERRADA DE SANTO DOMINGO</t>
  </si>
  <si>
    <t>COLONIA NUEVA ESPERANZA</t>
  </si>
  <si>
    <t>ESenG8AJl1W7CGgG</t>
  </si>
  <si>
    <t>CAR2021-7624</t>
  </si>
  <si>
    <t>SALAYA</t>
  </si>
  <si>
    <t>CARMEN MANUEL</t>
  </si>
  <si>
    <t>CALLE NUMERO 4 SIN NUMERO</t>
  </si>
  <si>
    <t>POBLADO C-28 GREGORIO MENDEZ</t>
  </si>
  <si>
    <t>bxiwAAw7mAsJEjHa</t>
  </si>
  <si>
    <t>CAR2020-1689</t>
  </si>
  <si>
    <t>RIVERA</t>
  </si>
  <si>
    <t>LEON</t>
  </si>
  <si>
    <t>AMADA</t>
  </si>
  <si>
    <t>CALLE ANDADOR GUARGUAO</t>
  </si>
  <si>
    <t>UNIDAD HABITACIONAL INFONAVIT DEPORTIVA</t>
  </si>
  <si>
    <t>QGPWBMYW5sx8lZG3</t>
  </si>
  <si>
    <t>CAR2021-7066</t>
  </si>
  <si>
    <t>MARIA DE LA LUZ</t>
  </si>
  <si>
    <t>CALLE REPUBLICA DE ARGENTINA</t>
  </si>
  <si>
    <t>COLONIA EL PALMAR</t>
  </si>
  <si>
    <t>ATNiHdKb6AIEOnGZ</t>
  </si>
  <si>
    <t>CAR2021-6898</t>
  </si>
  <si>
    <t>BROCA</t>
  </si>
  <si>
    <t>CALLE SECTOR SAN ANTONIO NUMERO 27</t>
  </si>
  <si>
    <t>COLONIA SAN ANTONIO</t>
  </si>
  <si>
    <t>tRa2J1hkc4tfdK42</t>
  </si>
  <si>
    <t>COM2021-7551</t>
  </si>
  <si>
    <t>ESPINOZA</t>
  </si>
  <si>
    <t>COLONA CALZADA</t>
  </si>
  <si>
    <t>O9AWy53BeyZxpsBQ</t>
  </si>
  <si>
    <t>CAR2021-6843</t>
  </si>
  <si>
    <t>COLONIA CALZADA</t>
  </si>
  <si>
    <t>HWxgLzIcncPy0RXO</t>
  </si>
  <si>
    <t>CAR2021-1870</t>
  </si>
  <si>
    <t>ALMA NELLY</t>
  </si>
  <si>
    <t>CFsnGNmxidDjqklA</t>
  </si>
  <si>
    <t>CAR2021-6450</t>
  </si>
  <si>
    <t>ROSA DEL CARMEN</t>
  </si>
  <si>
    <t>Hsb3EhT06VPtzfRH</t>
  </si>
  <si>
    <t>CAR2020-3017</t>
  </si>
  <si>
    <t>XICONTENCATL</t>
  </si>
  <si>
    <t>COLONIA LAZARO CARDENAS</t>
  </si>
  <si>
    <t>otGbm8crfrfyslnQ</t>
  </si>
  <si>
    <t>CAR2021-6427</t>
  </si>
  <si>
    <t>YASMIN</t>
  </si>
  <si>
    <t>NAYVI MARIA</t>
  </si>
  <si>
    <t>COLONIA MELCHOR OCAMPO</t>
  </si>
  <si>
    <t>ovgxLp9MD7jqEH5o</t>
  </si>
  <si>
    <t>CAR2021-6430</t>
  </si>
  <si>
    <t>ACEVEDO</t>
  </si>
  <si>
    <t>DOMINGEZ</t>
  </si>
  <si>
    <t>MARIA GABRIELA</t>
  </si>
  <si>
    <t>vj3Eh29sfASoYr1C</t>
  </si>
  <si>
    <t>Q2BdwhY48oGV4D8f</t>
  </si>
  <si>
    <t>DELUXE</t>
  </si>
  <si>
    <t>ix33mpucxXBNAUUH</t>
  </si>
  <si>
    <t>erNoFCuQmBzlxpZR</t>
  </si>
  <si>
    <t>9OxCtvEXKzLx3ejm</t>
  </si>
  <si>
    <t>AmVK6PWD4GxbmdzD</t>
  </si>
  <si>
    <t>AVENIDA EL RETEN 224 INTERIOR</t>
  </si>
  <si>
    <t>8TLw2P1TpTqrhnC8</t>
  </si>
  <si>
    <t>CAR2020-2468</t>
  </si>
  <si>
    <t>YOLANDA GUARDA</t>
  </si>
  <si>
    <t>CALLE NUMERO 10 LOTE 45</t>
  </si>
  <si>
    <t>FRACCIONAMIENTO CAÑALES III</t>
  </si>
  <si>
    <t>tvE8SjCFGa9s8DlY</t>
  </si>
  <si>
    <t>CAR2020-4651</t>
  </si>
  <si>
    <t>ULLOA</t>
  </si>
  <si>
    <t>NOEMI</t>
  </si>
  <si>
    <t>CALLE NUMERO 4</t>
  </si>
  <si>
    <t xml:space="preserve">FRACCIONAMIENTO CAÑALES II   </t>
  </si>
  <si>
    <t>IL2r9mk0TnIbCdQH</t>
  </si>
  <si>
    <t>CAR2020-3071</t>
  </si>
  <si>
    <t>CARRETERA VECINAL A TULIPAN</t>
  </si>
  <si>
    <t>SANTA ROSA</t>
  </si>
  <si>
    <t>C7hUAGtN2fi8bIkK</t>
  </si>
  <si>
    <t>CAR2020-3028</t>
  </si>
  <si>
    <t>CORA</t>
  </si>
  <si>
    <t>CARRETERA FEDERAL A CARDENAS</t>
  </si>
  <si>
    <t>zIHOQUw60S3i9AWH</t>
  </si>
  <si>
    <t>CAR2018-1446</t>
  </si>
  <si>
    <t>MARIO RIVERA</t>
  </si>
  <si>
    <t xml:space="preserve">CARRETERA A CARDENAS ENTRADA AL DESHUESADERO </t>
  </si>
  <si>
    <t>COLONIA MIGUEL HIDALGO</t>
  </si>
  <si>
    <t>68AXWUCjiHvk4Mby</t>
  </si>
  <si>
    <t>CAR2018-1443</t>
  </si>
  <si>
    <t>CAMINO VECINAL A CARDENAS</t>
  </si>
  <si>
    <t>COLONIA LOS SANTOS</t>
  </si>
  <si>
    <t>xo4MqYI0q1CYMLb1</t>
  </si>
  <si>
    <t>CAR2020-4215</t>
  </si>
  <si>
    <t>MINERVA</t>
  </si>
  <si>
    <t>CALLE JOSEFA ORTIZ DE DOMINGUEZ CERRADA DEL MACUILI</t>
  </si>
  <si>
    <t>COLONIA LAZARO CARDENAS DEL RIO</t>
  </si>
  <si>
    <t>OOhE9woNaFU2CubU</t>
  </si>
  <si>
    <t>CAR2020-6427</t>
  </si>
  <si>
    <t>CASTRO</t>
  </si>
  <si>
    <t>NAYVI MARIAYAZMIN</t>
  </si>
  <si>
    <t>CARRETERA CARDENAS COMALCALCO</t>
  </si>
  <si>
    <t>h96hkjJkiIciWZvC</t>
  </si>
  <si>
    <t>CAR2021-6429</t>
  </si>
  <si>
    <t>JAIME CARLOS</t>
  </si>
  <si>
    <t>WNzaeNSW2YO07RZy</t>
  </si>
  <si>
    <t>CAR2021-1862</t>
  </si>
  <si>
    <t>PEREGRINO</t>
  </si>
  <si>
    <t>MIRELLA</t>
  </si>
  <si>
    <t xml:space="preserve">CALLE ANTONIO ORTIZ </t>
  </si>
  <si>
    <t>cKXMyDyf0ucRsOqj</t>
  </si>
  <si>
    <t>CAR2021-6058</t>
  </si>
  <si>
    <t>ORTIZ</t>
  </si>
  <si>
    <t>CARLOS</t>
  </si>
  <si>
    <t>CALLE LUIS DONALDO COLOSIO SIN NUMERO</t>
  </si>
  <si>
    <t>hQzxuQ683qoVilQx</t>
  </si>
  <si>
    <t>CAR2020-4026</t>
  </si>
  <si>
    <t>LUCIANO</t>
  </si>
  <si>
    <t>ANGELA</t>
  </si>
  <si>
    <t>CALLE MENDEZ NUMERO 146</t>
  </si>
  <si>
    <t>kk6C2wE5M6yvd3zy</t>
  </si>
  <si>
    <t>CAR2020-6450</t>
  </si>
  <si>
    <t>CALLE NARCISO MENDOZA NUMERO 126</t>
  </si>
  <si>
    <t>O8QRerEm0BGTSJEN</t>
  </si>
  <si>
    <t>CAR2019-1085</t>
  </si>
  <si>
    <t>CERINO</t>
  </si>
  <si>
    <t>LETICIA DEL CARMEN</t>
  </si>
  <si>
    <t>CERRADA DE ALTAMIRANO NUMERO 410</t>
  </si>
  <si>
    <t>RQlA7H2jji9NPImb</t>
  </si>
  <si>
    <t>CAR2020-3453</t>
  </si>
  <si>
    <t>CASANGO</t>
  </si>
  <si>
    <t>ESMERALDA</t>
  </si>
  <si>
    <t xml:space="preserve">CALLEJON DE LA IGLESIA </t>
  </si>
  <si>
    <t>RANCHERIA ARROYO HONDO PRIMERA SECCION</t>
  </si>
  <si>
    <t>MCwjlhb4MM2RBDAF</t>
  </si>
  <si>
    <t>CAR2020-3454</t>
  </si>
  <si>
    <t>CORONEL</t>
  </si>
  <si>
    <t>INGRID VIANEY</t>
  </si>
  <si>
    <t>ARROYO HONDO SANRA TERESA</t>
  </si>
  <si>
    <t>FsZYnY0b4J2IpZoY</t>
  </si>
  <si>
    <t>CAR2021-7551</t>
  </si>
  <si>
    <t>AVEIDA EL RETEN NUMERO 163</t>
  </si>
  <si>
    <t>ITFbRH38yAQJ5iEJ</t>
  </si>
  <si>
    <t>CAR2018-1488</t>
  </si>
  <si>
    <t>1PQotBMVkKs7F5ek</t>
  </si>
  <si>
    <t>CAR2021-6849</t>
  </si>
  <si>
    <t>AVENIDA EL RETEN NUMERO 163</t>
  </si>
  <si>
    <t xml:space="preserve">COLONIA CALZADA PRIMERA SECCION </t>
  </si>
  <si>
    <t>qKpNUK0K1NFKI8a3</t>
  </si>
  <si>
    <t>CAR2021-6848</t>
  </si>
  <si>
    <t>XOCHILT</t>
  </si>
  <si>
    <t>ENTRADA EL RETEN</t>
  </si>
  <si>
    <t>P5wIjSM5OoN5JQDT</t>
  </si>
  <si>
    <t>CAR2021-6867</t>
  </si>
  <si>
    <t>LUCIA</t>
  </si>
  <si>
    <t>CERRADA CARRETERA CARDENAS COMALCALCO NUMERO 1023</t>
  </si>
  <si>
    <t>soPixQoVa8Mcnn0A</t>
  </si>
  <si>
    <t>CAR2021-7593</t>
  </si>
  <si>
    <t>YANET</t>
  </si>
  <si>
    <t>ENTRADA MONTE VERDE ENFRENTE AL HOTEL LAS CARRETAS</t>
  </si>
  <si>
    <t>RANCHERIA RIO SECO PRIMERS SECCION</t>
  </si>
  <si>
    <t>2UBgWS5wDYrxfgUM</t>
  </si>
  <si>
    <t>CAR2021-7473</t>
  </si>
  <si>
    <t>JOSE JUAN</t>
  </si>
  <si>
    <t xml:space="preserve">CALLE VENGALA NUMERO 36 LOTE 25 </t>
  </si>
  <si>
    <t>iyoyQiu9rg6MKs2F</t>
  </si>
  <si>
    <t>CAR2021-5888</t>
  </si>
  <si>
    <t>CELIA</t>
  </si>
  <si>
    <t xml:space="preserve">ANDADOR CAÑA MANZANA 2 LOTE 18 </t>
  </si>
  <si>
    <t>FRACCIONAMIENTO CAÑALES 1 NORTE</t>
  </si>
  <si>
    <t>Y2y3gie4o0AQ3CMo</t>
  </si>
  <si>
    <t>CAR2021-7474</t>
  </si>
  <si>
    <t>CEJA</t>
  </si>
  <si>
    <t>BRABATA</t>
  </si>
  <si>
    <t>ANDADOR CANABAL NUEMRO 18</t>
  </si>
  <si>
    <t xml:space="preserve">CAÑALES PRIMERA SECCION </t>
  </si>
  <si>
    <t>xtQuB6MRMrvSJhiV</t>
  </si>
  <si>
    <t>PAR2021-0405</t>
  </si>
  <si>
    <t>CARRETERA FEDERAL PARAISO-COMALCALCO</t>
  </si>
  <si>
    <t>KhagHsSW4gLSWeM9</t>
  </si>
  <si>
    <t>PAR2021-0368</t>
  </si>
  <si>
    <t>CUPIL</t>
  </si>
  <si>
    <t>IRMA</t>
  </si>
  <si>
    <t>CALLE BUGAMBULIAS</t>
  </si>
  <si>
    <t>COLONIA LOS MANGOS</t>
  </si>
  <si>
    <t>zstAG9UAQRNQTvwW</t>
  </si>
  <si>
    <t>PAR2021-3347</t>
  </si>
  <si>
    <t>HERGANZO</t>
  </si>
  <si>
    <t>SECCION MONTAÑA SIN NUMERO</t>
  </si>
  <si>
    <t>EJIDO PUERTO CEIBA</t>
  </si>
  <si>
    <t>tpDOI0aeSJg0GS4x</t>
  </si>
  <si>
    <t>PAR2021-7020</t>
  </si>
  <si>
    <t>s3gDW3ddMIK9EHKe</t>
  </si>
  <si>
    <t>PAR2021-3358</t>
  </si>
  <si>
    <t>tWGYRwHeGakXborK</t>
  </si>
  <si>
    <t>PAR2021-0506</t>
  </si>
  <si>
    <t>DEL CARMEN</t>
  </si>
  <si>
    <t>FATIMA</t>
  </si>
  <si>
    <t>CALLE 20 DE NOVIEMBRE</t>
  </si>
  <si>
    <t>4AWzRLkxUoXPwwNI</t>
  </si>
  <si>
    <t>PAR2021-0342</t>
  </si>
  <si>
    <t>ELSA</t>
  </si>
  <si>
    <t>CALLE 16 DE SEPTIEMBRE NUMERO 145</t>
  </si>
  <si>
    <t>VILLA PUERTO CEIBA</t>
  </si>
  <si>
    <t>tTbmuqLM9aPvG7Wj</t>
  </si>
  <si>
    <t>PAR2021-3389</t>
  </si>
  <si>
    <t>MARIA CRISTINA</t>
  </si>
  <si>
    <t>CALLE DEL PANTEON SIN NUMERO</t>
  </si>
  <si>
    <t>EJIDO EL CHILTEPEC</t>
  </si>
  <si>
    <t>kUAGYr4ot0GsnTQw</t>
  </si>
  <si>
    <t>PAR2022-0518</t>
  </si>
  <si>
    <t>FELIX</t>
  </si>
  <si>
    <t>CALLE EL AGUILAR SIN NUMERO</t>
  </si>
  <si>
    <t>S0M34G8XenrRjh9C</t>
  </si>
  <si>
    <t>PAR2021-3231</t>
  </si>
  <si>
    <t>ANGDA</t>
  </si>
  <si>
    <t>ENTRADA EL MARCEL CASA FRENTE A DEPOSITO</t>
  </si>
  <si>
    <t>6pVGD1gvVqavqSyY</t>
  </si>
  <si>
    <t>PAR2021-3730</t>
  </si>
  <si>
    <t>JUSTO</t>
  </si>
  <si>
    <t>CALLE DEL MORRAL SIN NUMERO</t>
  </si>
  <si>
    <t>mwppi3muJoLQaj6Y</t>
  </si>
  <si>
    <t>PAR2021-3726</t>
  </si>
  <si>
    <t>CEREFINO</t>
  </si>
  <si>
    <t>JUANA</t>
  </si>
  <si>
    <t>DESPUES DE LA TIENDA DICONSA A LA PURIFICADORA</t>
  </si>
  <si>
    <t>knr6BXVfwPJIW3NY</t>
  </si>
  <si>
    <t>PAR2021-3734</t>
  </si>
  <si>
    <t>ABARROTES RODRIGUEZ CASA COLOR BLANCO</t>
  </si>
  <si>
    <t>pWtYerusJ1jWcyw1</t>
  </si>
  <si>
    <t>PAR2022-0517</t>
  </si>
  <si>
    <t>ZALETA</t>
  </si>
  <si>
    <t>OLGA</t>
  </si>
  <si>
    <t>CALLE PRINCIPAL SIN NUMERO</t>
  </si>
  <si>
    <t>qyMRCwkw3YWm7Hkm</t>
  </si>
  <si>
    <t>PAR2021-0138</t>
  </si>
  <si>
    <t>ROSA NELY</t>
  </si>
  <si>
    <t>PARAISO-TABASCO CASA COLOR AMARILLA ALADO DE SUPER MELANCOS</t>
  </si>
  <si>
    <t>RANCHERIA AQUILES SERDAN</t>
  </si>
  <si>
    <t>fzoT7V1wSOCpc2Rv</t>
  </si>
  <si>
    <t>PAR2021-3704</t>
  </si>
  <si>
    <t>LOCALIDAD PENJAMO SIN NUMERO</t>
  </si>
  <si>
    <t>COLONIA EL PENJAMO</t>
  </si>
  <si>
    <t>2022-02-01</t>
  </si>
  <si>
    <t>2021-01-23</t>
  </si>
  <si>
    <t>2022-02-04</t>
  </si>
  <si>
    <t>2021-06-17</t>
  </si>
  <si>
    <t>2020-08-12</t>
  </si>
  <si>
    <t>2020-07-10</t>
  </si>
  <si>
    <t>2021-05-21</t>
  </si>
  <si>
    <t>2021-11-10</t>
  </si>
  <si>
    <t>2020-07-14</t>
  </si>
  <si>
    <t>2021-10-09</t>
  </si>
  <si>
    <t>2021-10-28</t>
  </si>
  <si>
    <t>2020-07-16</t>
  </si>
  <si>
    <t>2020-11-30</t>
  </si>
  <si>
    <t>2021-09-16</t>
  </si>
  <si>
    <t>2019-07-08</t>
  </si>
  <si>
    <t>2021-11-27</t>
  </si>
  <si>
    <t>2020-08-29</t>
  </si>
  <si>
    <t>2021-12-04</t>
  </si>
  <si>
    <t>2021-10-16</t>
  </si>
  <si>
    <t>2021-10-14</t>
  </si>
  <si>
    <t>2021-05-29</t>
  </si>
  <si>
    <t>2019-02-26</t>
  </si>
  <si>
    <t>2021-04-24</t>
  </si>
  <si>
    <t>2021-06-09</t>
  </si>
  <si>
    <t>2021-09-06</t>
  </si>
  <si>
    <t>2019-05-28</t>
  </si>
  <si>
    <t>2021-03-11</t>
  </si>
  <si>
    <t>2019-02-28</t>
  </si>
  <si>
    <t>2020-11-28</t>
  </si>
  <si>
    <t>2019-02-10</t>
  </si>
  <si>
    <t>2019-10-15</t>
  </si>
  <si>
    <t>2019-04-13</t>
  </si>
  <si>
    <t>2020-11-27</t>
  </si>
  <si>
    <t>2021-11-19</t>
  </si>
  <si>
    <t>2021-03-15</t>
  </si>
  <si>
    <t>2020-09-17</t>
  </si>
  <si>
    <t>2020-10-10</t>
  </si>
  <si>
    <t>2021-01-27</t>
  </si>
  <si>
    <t>2021-12-15</t>
  </si>
  <si>
    <t>2021-07-09</t>
  </si>
  <si>
    <t>2021-11-25</t>
  </si>
  <si>
    <t>2021-11-20</t>
  </si>
  <si>
    <t>2021-02-04</t>
  </si>
  <si>
    <t>2021-07-01</t>
  </si>
  <si>
    <t>2021-01-21</t>
  </si>
  <si>
    <t>2022-01-15</t>
  </si>
  <si>
    <t>2022-06-01</t>
  </si>
  <si>
    <t>2021-12-17</t>
  </si>
  <si>
    <t>2021-02-17</t>
  </si>
  <si>
    <t>2021-02-06</t>
  </si>
  <si>
    <t>2022-02-08</t>
  </si>
  <si>
    <t>2018-12-06</t>
  </si>
  <si>
    <t>2021-04-14</t>
  </si>
  <si>
    <t>2021-01-15</t>
  </si>
  <si>
    <t>2022-01-10</t>
  </si>
  <si>
    <t>2011-12-15</t>
  </si>
  <si>
    <t>2021-02-10</t>
  </si>
  <si>
    <t>2021-03-30</t>
  </si>
  <si>
    <t>2021-02-15</t>
  </si>
  <si>
    <t>2021-09-07</t>
  </si>
  <si>
    <t>2019-09-29</t>
  </si>
  <si>
    <t>2021-02-13</t>
  </si>
  <si>
    <t>2021-03-08</t>
  </si>
  <si>
    <t>2021-04-20</t>
  </si>
  <si>
    <t>2021-04-08</t>
  </si>
  <si>
    <t>2021-10-06</t>
  </si>
  <si>
    <t>2021-04-04</t>
  </si>
  <si>
    <t>2019-05-02</t>
  </si>
  <si>
    <t>2019-05-09</t>
  </si>
  <si>
    <t>2021-09-01</t>
  </si>
  <si>
    <t>2021-08-28</t>
  </si>
  <si>
    <t>2020-09-15</t>
  </si>
  <si>
    <t>2020-10-03</t>
  </si>
  <si>
    <t>2020-09-24</t>
  </si>
  <si>
    <t>2020-07-15</t>
  </si>
  <si>
    <t>2020-07-11</t>
  </si>
  <si>
    <t>2020-07-20</t>
  </si>
  <si>
    <t>2021-12-13</t>
  </si>
  <si>
    <t>2021-11-11</t>
  </si>
  <si>
    <t>2021-10-27</t>
  </si>
  <si>
    <t>2020-09-08</t>
  </si>
  <si>
    <t>2020-08-17</t>
  </si>
  <si>
    <t>2020-11-14</t>
  </si>
  <si>
    <t>2020-11-11</t>
  </si>
  <si>
    <t>2018-08-18</t>
  </si>
  <si>
    <t>2018-09-17</t>
  </si>
  <si>
    <t>2020-10-21</t>
  </si>
  <si>
    <t>2021-05-08</t>
  </si>
  <si>
    <t>2020-10-15</t>
  </si>
  <si>
    <t>2019-04-24</t>
  </si>
  <si>
    <t>2020-09-26</t>
  </si>
  <si>
    <t>2018-11-28</t>
  </si>
  <si>
    <t>2021-12-06</t>
  </si>
  <si>
    <t>2021-10-07</t>
  </si>
  <si>
    <t>2021-10-22</t>
  </si>
  <si>
    <t>2021-11-17</t>
  </si>
  <si>
    <t>2021-10-23</t>
  </si>
  <si>
    <t>2021-02-20</t>
  </si>
  <si>
    <t>2021-02-02</t>
  </si>
  <si>
    <t>2021-11-18</t>
  </si>
  <si>
    <t>2022-08-04</t>
  </si>
  <si>
    <t>2022-03-05</t>
  </si>
  <si>
    <t>2022-10-08</t>
  </si>
  <si>
    <t>2022-03-07</t>
  </si>
  <si>
    <t>2022-03-08</t>
  </si>
  <si>
    <t>2022-03-06</t>
  </si>
  <si>
    <t>2022-04-03</t>
  </si>
  <si>
    <t>2022-04-02</t>
  </si>
  <si>
    <t>2022-08-03</t>
  </si>
  <si>
    <t>2022-09-03</t>
  </si>
  <si>
    <t>2021-08-03</t>
  </si>
  <si>
    <t>2022-01-02</t>
  </si>
  <si>
    <t>2021-10-13</t>
  </si>
  <si>
    <t>2022-08-11</t>
  </si>
  <si>
    <t>2022-03-12</t>
  </si>
  <si>
    <t>2022-10-15</t>
  </si>
  <si>
    <t>2022-03-14</t>
  </si>
  <si>
    <t>2022-03-15</t>
  </si>
  <si>
    <t>2022-03-13</t>
  </si>
  <si>
    <t>2022-04-10</t>
  </si>
  <si>
    <t>2022-04-09</t>
  </si>
  <si>
    <t>2022-08-10</t>
  </si>
  <si>
    <t>2022-09-10</t>
  </si>
  <si>
    <t>2022-03-10</t>
  </si>
  <si>
    <t>2021-08-10</t>
  </si>
  <si>
    <t>2022-02-09</t>
  </si>
  <si>
    <t>2022-01-09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</si>
</sst>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I3255"/>
  <sheetViews>
    <sheetView tabSelected="1" topLeftCell="AU1" zoomScaleNormal="100" workbookViewId="0">
      <pane ySplit="1" topLeftCell="A10" activePane="bottomLeft" state="frozen"/>
      <selection activeCell="BP1" sqref="BP1"/>
      <selection pane="bottomLeft" activeCell="AY10" sqref="AY1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7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7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7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7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7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7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7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7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7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7" x14ac:dyDescent="0.25">
      <c r="A10" t="s">
        <v>279</v>
      </c>
      <c r="B10" t="s">
        <v>280</v>
      </c>
      <c r="C10">
        <v>3</v>
      </c>
      <c r="D10" t="s">
        <v>144</v>
      </c>
      <c r="E10" t="s">
        <v>150</v>
      </c>
      <c r="F10" t="s">
        <v>0</v>
      </c>
      <c r="G10" t="s">
        <v>0</v>
      </c>
      <c r="H10" t="s">
        <v>156</v>
      </c>
      <c r="I10">
        <v>12900</v>
      </c>
      <c r="J10">
        <v>0</v>
      </c>
      <c r="K10">
        <v>400</v>
      </c>
      <c r="L10">
        <v>50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">
        <v>202</v>
      </c>
      <c r="AC10" t="s">
        <v>203</v>
      </c>
      <c r="AD10" t="s">
        <v>281</v>
      </c>
      <c r="AE10" t="s">
        <v>4</v>
      </c>
      <c r="AF10" t="s">
        <v>1</v>
      </c>
      <c r="AG10" t="s">
        <v>1</v>
      </c>
      <c r="AH10" t="s">
        <v>282</v>
      </c>
      <c r="AI10" t="s">
        <v>283</v>
      </c>
      <c r="AJ10" t="s">
        <v>3</v>
      </c>
      <c r="AK10" t="s">
        <v>1</v>
      </c>
      <c r="AL10" t="s">
        <v>3</v>
      </c>
      <c r="AM10" t="s">
        <v>3</v>
      </c>
      <c r="AN10" t="s">
        <v>3</v>
      </c>
      <c r="AO10" t="s">
        <v>282</v>
      </c>
      <c r="AP10" t="s">
        <v>3</v>
      </c>
      <c r="AQ10" t="s">
        <v>2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11</v>
      </c>
      <c r="AX10">
        <f>Tabla1[[#This Row],[precio del paquete]]-Tabla1[[#This Row],[Saldo_Deudor]]</f>
        <v>3200</v>
      </c>
      <c r="AY10">
        <v>9700</v>
      </c>
      <c r="AZ10" t="s">
        <v>1</v>
      </c>
      <c r="BA10" t="s">
        <v>1</v>
      </c>
      <c r="BB10" t="s">
        <v>1</v>
      </c>
      <c r="BC10" t="s">
        <v>1099</v>
      </c>
      <c r="BD10" t="s">
        <v>1146</v>
      </c>
      <c r="BE10" t="s">
        <v>1</v>
      </c>
      <c r="BF10" t="s">
        <v>1</v>
      </c>
      <c r="BG10" t="s">
        <v>1</v>
      </c>
      <c r="BH10" t="s">
        <v>1</v>
      </c>
      <c r="BI10" t="s">
        <v>1</v>
      </c>
      <c r="BJ10" t="s">
        <v>268</v>
      </c>
      <c r="BK10" t="s">
        <v>1</v>
      </c>
      <c r="BL10" t="s">
        <v>132</v>
      </c>
      <c r="BM10" t="s">
        <v>1</v>
      </c>
      <c r="BN10">
        <v>12900</v>
      </c>
      <c r="BO10" t="s">
        <v>1</v>
      </c>
      <c r="BP10" t="s">
        <v>1</v>
      </c>
      <c r="BQ10" t="s">
        <v>1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277</v>
      </c>
      <c r="CD10" t="str" cm="1">
        <f t="array" aca="1" ref="CD10" ca="1">eConcatenar(A10:CB10,"|")</f>
        <v>WydAmwTsRBspNJ0M|CAR2021-0091|3|IMPERIAL DE LUJO|TABASCO|CARDENAS|CARDENAS|2021-01-19|12900|0|400|50|1|0|0|0|0|0|0|0|0|0|0|0|0|0|0|CRUZ|GARCIA|ALEJANDRA|SOLTERO|X|X|CALLE MIGUEL ORRICO DE LOS LLANOS|RANCHERIA RIO SECO PRIMERA SECCION|x|X|x|x|x|CALLE MIGUEL ORRICO DE LOS LLANOS|x|LUNES|X|X|X|X|X|DOMICILIO |3200|9700|X|X|X|2021-10-06|2021-10-13|X|X|X|X|X|QWZHGJ0U9KVTQO|X|HOMBRE|X|12900|X|X|X|X|X|X|X|X|CARDENAS|X|X|X|X|FINAL</v>
      </c>
    </row>
    <row r="11" spans="1:87" x14ac:dyDescent="0.25">
      <c r="A11" t="s">
        <v>284</v>
      </c>
      <c r="B11" t="s">
        <v>285</v>
      </c>
      <c r="C11">
        <v>3</v>
      </c>
      <c r="D11" t="s">
        <v>145</v>
      </c>
      <c r="E11" t="s">
        <v>150</v>
      </c>
      <c r="F11" t="s">
        <v>151</v>
      </c>
      <c r="G11" t="s">
        <v>151</v>
      </c>
      <c r="H11" t="s">
        <v>1034</v>
      </c>
      <c r="I11">
        <v>14800</v>
      </c>
      <c r="J11">
        <v>0</v>
      </c>
      <c r="K11">
        <v>200</v>
      </c>
      <c r="L11">
        <v>50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204</v>
      </c>
      <c r="AC11" t="s">
        <v>286</v>
      </c>
      <c r="AD11" t="s">
        <v>287</v>
      </c>
      <c r="AE11" t="s">
        <v>4</v>
      </c>
      <c r="AF11" t="s">
        <v>1</v>
      </c>
      <c r="AG11" t="s">
        <v>1</v>
      </c>
      <c r="AH11" t="s">
        <v>288</v>
      </c>
      <c r="AI11" t="s">
        <v>289</v>
      </c>
      <c r="AJ11" t="s">
        <v>3</v>
      </c>
      <c r="AK11" t="s">
        <v>1</v>
      </c>
      <c r="AL11" t="s">
        <v>3</v>
      </c>
      <c r="AM11" t="s">
        <v>3</v>
      </c>
      <c r="AN11" t="s">
        <v>3</v>
      </c>
      <c r="AO11" t="s">
        <v>288</v>
      </c>
      <c r="AP11" t="s">
        <v>3</v>
      </c>
      <c r="AQ11" t="s">
        <v>2</v>
      </c>
      <c r="AR11" t="s">
        <v>1</v>
      </c>
      <c r="AS11" t="s">
        <v>1</v>
      </c>
      <c r="AT11" t="s">
        <v>1</v>
      </c>
      <c r="AU11" t="s">
        <v>1</v>
      </c>
      <c r="AV11" t="s">
        <v>1</v>
      </c>
      <c r="AW11" t="s">
        <v>11</v>
      </c>
      <c r="AX11">
        <f>Tabla1[[#This Row],[precio del paquete]]-Tabla1[[#This Row],[Saldo_Deudor]]</f>
        <v>600</v>
      </c>
      <c r="AY11">
        <v>14200</v>
      </c>
      <c r="AZ11" t="s">
        <v>1</v>
      </c>
      <c r="BA11" t="s">
        <v>1</v>
      </c>
      <c r="BB11" t="s">
        <v>1</v>
      </c>
      <c r="BC11" t="s">
        <v>1134</v>
      </c>
      <c r="BD11" t="s">
        <v>1147</v>
      </c>
      <c r="BE11" t="s">
        <v>1</v>
      </c>
      <c r="BF11" t="s">
        <v>1</v>
      </c>
      <c r="BG11" t="s">
        <v>1</v>
      </c>
      <c r="BH11" t="s">
        <v>1</v>
      </c>
      <c r="BI11" t="s">
        <v>1</v>
      </c>
      <c r="BJ11" t="s">
        <v>269</v>
      </c>
      <c r="BK11" t="s">
        <v>1</v>
      </c>
      <c r="BL11" t="s">
        <v>132</v>
      </c>
      <c r="BM11" t="s">
        <v>1</v>
      </c>
      <c r="BN11">
        <v>14800</v>
      </c>
      <c r="BO11" t="s">
        <v>1</v>
      </c>
      <c r="BP11" t="s">
        <v>1</v>
      </c>
      <c r="BQ11" t="s">
        <v>1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0</v>
      </c>
      <c r="BX11" t="s">
        <v>1</v>
      </c>
      <c r="BY11" t="s">
        <v>1</v>
      </c>
      <c r="BZ11" t="s">
        <v>1</v>
      </c>
      <c r="CA11" t="s">
        <v>1</v>
      </c>
      <c r="CB11" t="s">
        <v>277</v>
      </c>
      <c r="CD11" t="str" cm="1">
        <f t="array" aca="1" ref="CD11" ca="1">eConcatenar(A11:CB11,"|")</f>
        <v>ZzlisPjZ1JRduZrT|PAR2022-0355|3|MEMORIAL|TABASCO|PARAISO|PARAISO|2022-02-01|14800|0|200|50|1|0|0|0|0|0|0|0|0|0|0|0|0|0|0|DIAZ|CARRASCO|JESUS|SOLTERO|X|X|FRENTE AL TEMPLO DE DIOS ES AMOR|RANCHERIA INDEPENDENCIA|x|X|x|x|x|FRENTE AL TEMPLO DE DIOS ES AMOR|x|LUNES|X|X|X|X|X|DOMICILIO |600|14200|X|X|X|2022-08-04|2022-08-11|X|X|X|X|X|QX002MIY9KVTQO|X|HOMBRE|X|14800|X|X|X|X|X|X|X|X|CARDENAS|X|X|X|X|FINAL</v>
      </c>
    </row>
    <row r="12" spans="1:87" x14ac:dyDescent="0.25">
      <c r="A12" t="s">
        <v>290</v>
      </c>
      <c r="B12" t="s">
        <v>291</v>
      </c>
      <c r="C12">
        <v>3</v>
      </c>
      <c r="D12" t="s">
        <v>145</v>
      </c>
      <c r="E12" t="s">
        <v>150</v>
      </c>
      <c r="F12" t="s">
        <v>151</v>
      </c>
      <c r="G12" t="s">
        <v>151</v>
      </c>
      <c r="H12" t="s">
        <v>157</v>
      </c>
      <c r="I12">
        <v>14800</v>
      </c>
      <c r="J12">
        <v>0</v>
      </c>
      <c r="K12">
        <v>200</v>
      </c>
      <c r="L12">
        <v>50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204</v>
      </c>
      <c r="AC12" t="s">
        <v>205</v>
      </c>
      <c r="AD12" t="s">
        <v>292</v>
      </c>
      <c r="AE12" t="s">
        <v>4</v>
      </c>
      <c r="AF12" t="s">
        <v>1</v>
      </c>
      <c r="AG12" t="s">
        <v>1</v>
      </c>
      <c r="AH12" t="s">
        <v>293</v>
      </c>
      <c r="AI12" t="s">
        <v>245</v>
      </c>
      <c r="AJ12" t="s">
        <v>3</v>
      </c>
      <c r="AK12" t="s">
        <v>1</v>
      </c>
      <c r="AL12" t="s">
        <v>3</v>
      </c>
      <c r="AM12" t="s">
        <v>3</v>
      </c>
      <c r="AN12" t="s">
        <v>3</v>
      </c>
      <c r="AO12" t="s">
        <v>293</v>
      </c>
      <c r="AP12" t="s">
        <v>3</v>
      </c>
      <c r="AQ12" t="s">
        <v>2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11</v>
      </c>
      <c r="AX12">
        <f>Tabla1[[#This Row],[precio del paquete]]-Tabla1[[#This Row],[Saldo_Deudor]]</f>
        <v>300</v>
      </c>
      <c r="AY12">
        <v>14500</v>
      </c>
      <c r="AZ12" t="s">
        <v>1</v>
      </c>
      <c r="BA12" t="s">
        <v>1</v>
      </c>
      <c r="BB12" t="s">
        <v>1</v>
      </c>
      <c r="BC12" t="s">
        <v>1135</v>
      </c>
      <c r="BD12" t="s">
        <v>1148</v>
      </c>
      <c r="BE12" t="s">
        <v>1</v>
      </c>
      <c r="BF12" t="s">
        <v>1</v>
      </c>
      <c r="BG12" t="s">
        <v>1</v>
      </c>
      <c r="BH12" t="s">
        <v>1</v>
      </c>
      <c r="BI12" t="s">
        <v>1</v>
      </c>
      <c r="BJ12" t="s">
        <v>269</v>
      </c>
      <c r="BK12" t="s">
        <v>1</v>
      </c>
      <c r="BL12" t="s">
        <v>132</v>
      </c>
      <c r="BM12" t="s">
        <v>1</v>
      </c>
      <c r="BN12">
        <v>14800</v>
      </c>
      <c r="BO12" t="s">
        <v>1</v>
      </c>
      <c r="BP12" t="s">
        <v>1</v>
      </c>
      <c r="BQ12" t="s">
        <v>1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0</v>
      </c>
      <c r="BX12" t="s">
        <v>1</v>
      </c>
      <c r="BY12" t="s">
        <v>1</v>
      </c>
      <c r="BZ12" t="s">
        <v>1</v>
      </c>
      <c r="CA12" t="s">
        <v>1</v>
      </c>
      <c r="CB12" t="s">
        <v>277</v>
      </c>
      <c r="CD12" t="str" cm="1">
        <f t="array" aca="1" ref="CD12" ca="1">eConcatenar(A12:CB12,"|")</f>
        <v>YMZHNpa8d8ZpCBwV|PAR2022-0535|3|MEMORIAL|TABASCO|PARAISO|PARAISO|2022-02-16|14800|0|200|50|0|0|0|0|0|0|0|0|0|0|0|0|0|0|0|DIAZ|HERNANDEZ|DALIA|SOLTERO|X|X|CARRETERA A NICOLAS BRAVO SIN NUMERO|RANCHERIA LIBERTAD SEGUNDA SECCION|x|X|x|x|x|CARRETERA A NICOLAS BRAVO SIN NUMERO|x|LUNES|X|X|X|X|X|DOMICILIO |300|14500|X|X|X|2022-03-05|2022-03-12|X|X|X|X|X|QX002MIY9KVTQO|X|HOMBRE|X|14800|X|X|X|X|X|X|X|X|CARDENAS|X|X|X|X|FINAL</v>
      </c>
    </row>
    <row r="13" spans="1:87" x14ac:dyDescent="0.25">
      <c r="A13" t="s">
        <v>294</v>
      </c>
      <c r="B13" t="s">
        <v>295</v>
      </c>
      <c r="C13">
        <v>3</v>
      </c>
      <c r="D13" t="s">
        <v>146</v>
      </c>
      <c r="E13" t="s">
        <v>150</v>
      </c>
      <c r="F13" t="s">
        <v>151</v>
      </c>
      <c r="G13" t="s">
        <v>151</v>
      </c>
      <c r="H13" t="s">
        <v>1035</v>
      </c>
      <c r="I13">
        <v>35000</v>
      </c>
      <c r="J13">
        <v>0</v>
      </c>
      <c r="K13">
        <v>1500</v>
      </c>
      <c r="L13">
        <v>50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202</v>
      </c>
      <c r="AC13" t="s">
        <v>296</v>
      </c>
      <c r="AD13" t="s">
        <v>297</v>
      </c>
      <c r="AE13" t="s">
        <v>4</v>
      </c>
      <c r="AF13" t="s">
        <v>1</v>
      </c>
      <c r="AG13" t="s">
        <v>1</v>
      </c>
      <c r="AH13" t="s">
        <v>298</v>
      </c>
      <c r="AI13" t="s">
        <v>246</v>
      </c>
      <c r="AJ13" t="s">
        <v>3</v>
      </c>
      <c r="AK13" t="s">
        <v>1</v>
      </c>
      <c r="AL13" t="s">
        <v>3</v>
      </c>
      <c r="AM13" t="s">
        <v>3</v>
      </c>
      <c r="AN13" t="s">
        <v>3</v>
      </c>
      <c r="AO13" t="s">
        <v>298</v>
      </c>
      <c r="AP13" t="s">
        <v>3</v>
      </c>
      <c r="AQ13" t="s">
        <v>2</v>
      </c>
      <c r="AR13" t="s">
        <v>1</v>
      </c>
      <c r="AS13" t="s">
        <v>1</v>
      </c>
      <c r="AT13" t="s">
        <v>1</v>
      </c>
      <c r="AU13" t="s">
        <v>1</v>
      </c>
      <c r="AV13" t="s">
        <v>1</v>
      </c>
      <c r="AW13" t="s">
        <v>11</v>
      </c>
      <c r="AX13">
        <f>Tabla1[[#This Row],[precio del paquete]]-Tabla1[[#This Row],[Saldo_Deudor]]</f>
        <v>15800</v>
      </c>
      <c r="AY13">
        <v>19200</v>
      </c>
      <c r="AZ13" t="s">
        <v>1</v>
      </c>
      <c r="BA13" t="s">
        <v>1</v>
      </c>
      <c r="BB13" t="s">
        <v>1</v>
      </c>
      <c r="BC13" t="s">
        <v>1135</v>
      </c>
      <c r="BD13" t="s">
        <v>1148</v>
      </c>
      <c r="BE13" t="s">
        <v>1</v>
      </c>
      <c r="BF13" t="s">
        <v>1</v>
      </c>
      <c r="BG13" t="s">
        <v>1</v>
      </c>
      <c r="BH13" t="s">
        <v>1</v>
      </c>
      <c r="BI13" t="s">
        <v>1</v>
      </c>
      <c r="BJ13" t="s">
        <v>269</v>
      </c>
      <c r="BK13" t="s">
        <v>1</v>
      </c>
      <c r="BL13" t="s">
        <v>132</v>
      </c>
      <c r="BM13" t="s">
        <v>1</v>
      </c>
      <c r="BN13">
        <v>35000</v>
      </c>
      <c r="BO13" t="s">
        <v>1</v>
      </c>
      <c r="BP13" t="s">
        <v>1</v>
      </c>
      <c r="BQ13" t="s">
        <v>1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0</v>
      </c>
      <c r="BX13" t="s">
        <v>1</v>
      </c>
      <c r="BY13" t="s">
        <v>1</v>
      </c>
      <c r="BZ13" t="s">
        <v>1</v>
      </c>
      <c r="CA13" t="s">
        <v>1</v>
      </c>
      <c r="CB13" t="s">
        <v>277</v>
      </c>
      <c r="CD13" t="str" cm="1">
        <f t="array" aca="1" ref="CD13" ca="1">eConcatenar(A13:CB13,"|")</f>
        <v>Y8JlS210y7JR9hBJ|PAR2021-0190|3|DELUX|TABASCO|PARAISO|PARAISO|2021-01-23|35000|0|1500|50|2|0|0|0|0|0|0|0|0|0|0|0|0|0|0|CRUZ|ANGULO|JORGE HUMBERTO|SOLTERO|X|X|PASANDO EL DEPOSITO DE CORONA, ALADO|RANCHERIA ORIENTE PRIMERA SECCION|x|X|x|x|x|PASANDO EL DEPOSITO DE CORONA, ALADO|x|LUNES|X|X|X|X|X|DOMICILIO |15800|19200|X|X|X|2022-03-05|2022-03-12|X|X|X|X|X|QX002MIY9KVTQO|X|HOMBRE|X|35000|X|X|X|X|X|X|X|X|CARDENAS|X|X|X|X|FINAL</v>
      </c>
    </row>
    <row r="14" spans="1:87" x14ac:dyDescent="0.25">
      <c r="A14" t="s">
        <v>299</v>
      </c>
      <c r="B14" t="s">
        <v>300</v>
      </c>
      <c r="C14">
        <v>3</v>
      </c>
      <c r="D14" t="s">
        <v>145</v>
      </c>
      <c r="E14" t="s">
        <v>150</v>
      </c>
      <c r="F14" t="s">
        <v>151</v>
      </c>
      <c r="G14" t="s">
        <v>151</v>
      </c>
      <c r="H14" t="s">
        <v>1036</v>
      </c>
      <c r="I14">
        <v>14800</v>
      </c>
      <c r="J14">
        <v>0</v>
      </c>
      <c r="K14">
        <v>100</v>
      </c>
      <c r="L14">
        <v>50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206</v>
      </c>
      <c r="AC14" t="s">
        <v>206</v>
      </c>
      <c r="AD14" t="s">
        <v>301</v>
      </c>
      <c r="AE14" t="s">
        <v>4</v>
      </c>
      <c r="AF14" t="s">
        <v>1</v>
      </c>
      <c r="AG14" t="s">
        <v>1</v>
      </c>
      <c r="AH14" t="s">
        <v>302</v>
      </c>
      <c r="AI14" t="s">
        <v>303</v>
      </c>
      <c r="AJ14" t="s">
        <v>3</v>
      </c>
      <c r="AK14" t="s">
        <v>1</v>
      </c>
      <c r="AL14" t="s">
        <v>3</v>
      </c>
      <c r="AM14" t="s">
        <v>3</v>
      </c>
      <c r="AN14" t="s">
        <v>3</v>
      </c>
      <c r="AO14" t="s">
        <v>302</v>
      </c>
      <c r="AP14" t="s">
        <v>3</v>
      </c>
      <c r="AQ14" t="s">
        <v>2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11</v>
      </c>
      <c r="AX14">
        <f>Tabla1[[#This Row],[precio del paquete]]-Tabla1[[#This Row],[Saldo_Deudor]]</f>
        <v>300</v>
      </c>
      <c r="AY14">
        <v>14500</v>
      </c>
      <c r="AZ14" t="s">
        <v>1</v>
      </c>
      <c r="BA14" t="s">
        <v>1</v>
      </c>
      <c r="BB14" t="s">
        <v>1</v>
      </c>
      <c r="BC14" t="s">
        <v>1135</v>
      </c>
      <c r="BD14" t="s">
        <v>1148</v>
      </c>
      <c r="BE14" t="s">
        <v>1</v>
      </c>
      <c r="BF14" t="s">
        <v>1</v>
      </c>
      <c r="BG14" t="s">
        <v>1</v>
      </c>
      <c r="BH14" t="s">
        <v>1</v>
      </c>
      <c r="BI14" t="s">
        <v>1</v>
      </c>
      <c r="BJ14" t="s">
        <v>269</v>
      </c>
      <c r="BK14" t="s">
        <v>1</v>
      </c>
      <c r="BL14" t="s">
        <v>132</v>
      </c>
      <c r="BM14" t="s">
        <v>1</v>
      </c>
      <c r="BN14">
        <v>14800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0</v>
      </c>
      <c r="BX14" t="s">
        <v>1</v>
      </c>
      <c r="BY14" t="s">
        <v>1</v>
      </c>
      <c r="BZ14" t="s">
        <v>1</v>
      </c>
      <c r="CA14" t="s">
        <v>1</v>
      </c>
      <c r="CB14" t="s">
        <v>277</v>
      </c>
      <c r="CD14" t="str" cm="1">
        <f t="array" aca="1" ref="CD14" ca="1">eConcatenar(A14:CB14,"|")</f>
        <v>8N5XIzorJnHSS2ts|PAR2022-0380|3|MEMORIAL|TABASCO|PARAISO|PARAISO|2022-02-04|14800|0|100|50|1|0|0|0|0|0|0|0|0|0|0|0|0|0|0|RODRIGUEZ|RODRIGUEZ|HILDA|SOLTERO|X|X|CALLE JOSE MARIA MORELOS NUMERO 701-B|CARDENAS COLONIA CENTRO|x|X|x|x|x|CALLE JOSE MARIA MORELOS NUMERO 701-B|x|LUNES|X|X|X|X|X|DOMICILIO |300|14500|X|X|X|2022-03-05|2022-03-12|X|X|X|X|X|QX002MIY9KVTQO|X|HOMBRE|X|14800|X|X|X|X|X|X|X|X|CARDENAS|X|X|X|X|FINAL</v>
      </c>
      <c r="CI14" t="s">
        <v>278</v>
      </c>
    </row>
    <row r="15" spans="1:87" x14ac:dyDescent="0.25">
      <c r="A15" t="s">
        <v>304</v>
      </c>
      <c r="B15" t="s">
        <v>305</v>
      </c>
      <c r="C15">
        <v>3</v>
      </c>
      <c r="D15" t="s">
        <v>145</v>
      </c>
      <c r="E15" t="s">
        <v>150</v>
      </c>
      <c r="F15" t="s">
        <v>151</v>
      </c>
      <c r="G15" t="s">
        <v>151</v>
      </c>
      <c r="H15" t="s">
        <v>159</v>
      </c>
      <c r="I15">
        <v>14800</v>
      </c>
      <c r="J15">
        <v>0</v>
      </c>
      <c r="K15">
        <v>200</v>
      </c>
      <c r="L15">
        <v>50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208</v>
      </c>
      <c r="AC15" t="s">
        <v>209</v>
      </c>
      <c r="AD15" t="s">
        <v>306</v>
      </c>
      <c r="AE15" t="s">
        <v>4</v>
      </c>
      <c r="AF15" t="s">
        <v>1</v>
      </c>
      <c r="AG15" t="s">
        <v>1</v>
      </c>
      <c r="AH15" t="s">
        <v>307</v>
      </c>
      <c r="AI15" t="s">
        <v>308</v>
      </c>
      <c r="AJ15" t="s">
        <v>3</v>
      </c>
      <c r="AK15" t="s">
        <v>1</v>
      </c>
      <c r="AL15" t="s">
        <v>3</v>
      </c>
      <c r="AM15" t="s">
        <v>3</v>
      </c>
      <c r="AN15" t="s">
        <v>3</v>
      </c>
      <c r="AO15" t="s">
        <v>307</v>
      </c>
      <c r="AP15" t="s">
        <v>3</v>
      </c>
      <c r="AQ15" t="s">
        <v>2</v>
      </c>
      <c r="AR15" t="s">
        <v>1</v>
      </c>
      <c r="AS15" t="s">
        <v>1</v>
      </c>
      <c r="AT15" t="s">
        <v>1</v>
      </c>
      <c r="AU15" t="s">
        <v>1</v>
      </c>
      <c r="AV15" t="s">
        <v>1</v>
      </c>
      <c r="AW15" t="s">
        <v>11</v>
      </c>
      <c r="AX15">
        <f>Tabla1[[#This Row],[precio del paquete]]-Tabla1[[#This Row],[Saldo_Deudor]]</f>
        <v>1300</v>
      </c>
      <c r="AY15">
        <v>13500</v>
      </c>
      <c r="AZ15" t="s">
        <v>1</v>
      </c>
      <c r="BA15" t="s">
        <v>1</v>
      </c>
      <c r="BB15" t="s">
        <v>1</v>
      </c>
      <c r="BC15" t="s">
        <v>1135</v>
      </c>
      <c r="BD15" t="s">
        <v>1148</v>
      </c>
      <c r="BE15" t="s">
        <v>1</v>
      </c>
      <c r="BF15" t="s">
        <v>1</v>
      </c>
      <c r="BG15" t="s">
        <v>1</v>
      </c>
      <c r="BH15" t="s">
        <v>1</v>
      </c>
      <c r="BI15" t="s">
        <v>1</v>
      </c>
      <c r="BJ15" t="s">
        <v>269</v>
      </c>
      <c r="BK15" t="s">
        <v>1</v>
      </c>
      <c r="BL15" t="s">
        <v>132</v>
      </c>
      <c r="BM15" t="s">
        <v>1</v>
      </c>
      <c r="BN15">
        <v>14800</v>
      </c>
      <c r="BO15" t="s">
        <v>1</v>
      </c>
      <c r="BP15" t="s">
        <v>1</v>
      </c>
      <c r="BQ15" t="s">
        <v>1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0</v>
      </c>
      <c r="BX15" t="s">
        <v>1</v>
      </c>
      <c r="BY15" t="s">
        <v>1</v>
      </c>
      <c r="BZ15" t="s">
        <v>1</v>
      </c>
      <c r="CA15" t="s">
        <v>1</v>
      </c>
      <c r="CB15" t="s">
        <v>277</v>
      </c>
      <c r="CD15" t="str" cm="1">
        <f t="array" aca="1" ref="CD15" ca="1">eConcatenar(A15:CB15,"|")</f>
        <v>iwvp4wVF7qHUfuEP|PAR2022-0507|3|MEMORIAL|TABASCO|PARAISO|PARAISO|2022-02-10|14800|0|200|50|1|0|0|0|0|0|0|0|0|0|0|0|0|0|0|MARTINEZ|CORDOVA|MARIA DE LOS ANGELES|SOLTERO|X|X|ENTRADA A LA ISLA CALLE AL KINAL CASA|RANCHERIA NORTE TERCERA SECCION|x|X|x|x|x|ENTRADA A LA ISLA CALLE AL KINAL CASA|x|LUNES|X|X|X|X|X|DOMICILIO |1300|13500|X|X|X|2022-03-05|2022-03-12|X|X|X|X|X|QX002MIY9KVTQO|X|HOMBRE|X|14800|X|X|X|X|X|X|X|X|CARDENAS|X|X|X|X|FINAL</v>
      </c>
    </row>
    <row r="16" spans="1:87" x14ac:dyDescent="0.25">
      <c r="A16" t="s">
        <v>309</v>
      </c>
      <c r="B16" t="s">
        <v>310</v>
      </c>
      <c r="C16">
        <v>3</v>
      </c>
      <c r="D16" t="s">
        <v>145</v>
      </c>
      <c r="E16" t="s">
        <v>150</v>
      </c>
      <c r="F16" t="s">
        <v>151</v>
      </c>
      <c r="G16" t="s">
        <v>151</v>
      </c>
      <c r="H16" t="s">
        <v>1037</v>
      </c>
      <c r="I16">
        <v>14800</v>
      </c>
      <c r="J16">
        <v>0</v>
      </c>
      <c r="K16">
        <v>50</v>
      </c>
      <c r="L16">
        <v>50</v>
      </c>
      <c r="M16">
        <v>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311</v>
      </c>
      <c r="AC16" t="s">
        <v>205</v>
      </c>
      <c r="AD16" t="s">
        <v>312</v>
      </c>
      <c r="AE16" t="s">
        <v>4</v>
      </c>
      <c r="AF16" t="s">
        <v>1</v>
      </c>
      <c r="AG16" t="s">
        <v>1</v>
      </c>
      <c r="AH16" t="s">
        <v>313</v>
      </c>
      <c r="AI16" t="s">
        <v>247</v>
      </c>
      <c r="AJ16" t="s">
        <v>3</v>
      </c>
      <c r="AK16" t="s">
        <v>1</v>
      </c>
      <c r="AL16" t="s">
        <v>3</v>
      </c>
      <c r="AM16" t="s">
        <v>3</v>
      </c>
      <c r="AN16" t="s">
        <v>3</v>
      </c>
      <c r="AO16" t="s">
        <v>313</v>
      </c>
      <c r="AP16" t="s">
        <v>3</v>
      </c>
      <c r="AQ16" t="s">
        <v>2</v>
      </c>
      <c r="AR16" t="s">
        <v>1</v>
      </c>
      <c r="AS16" t="s">
        <v>1</v>
      </c>
      <c r="AT16" t="s">
        <v>1</v>
      </c>
      <c r="AU16" t="s">
        <v>1</v>
      </c>
      <c r="AV16" t="s">
        <v>1</v>
      </c>
      <c r="AW16" t="s">
        <v>11</v>
      </c>
      <c r="AX16">
        <f>Tabla1[[#This Row],[precio del paquete]]-Tabla1[[#This Row],[Saldo_Deudor]]</f>
        <v>650</v>
      </c>
      <c r="AY16">
        <v>14150</v>
      </c>
      <c r="AZ16" t="s">
        <v>1</v>
      </c>
      <c r="BA16" t="s">
        <v>1</v>
      </c>
      <c r="BB16" t="s">
        <v>1</v>
      </c>
      <c r="BC16" t="s">
        <v>1136</v>
      </c>
      <c r="BD16" t="s">
        <v>1149</v>
      </c>
      <c r="BE16" t="s">
        <v>1</v>
      </c>
      <c r="BF16" t="s">
        <v>1</v>
      </c>
      <c r="BG16" t="s">
        <v>1</v>
      </c>
      <c r="BH16" t="s">
        <v>1</v>
      </c>
      <c r="BI16" t="s">
        <v>1</v>
      </c>
      <c r="BJ16" t="s">
        <v>269</v>
      </c>
      <c r="BK16" t="s">
        <v>1</v>
      </c>
      <c r="BL16" t="s">
        <v>132</v>
      </c>
      <c r="BM16" t="s">
        <v>1</v>
      </c>
      <c r="BN16">
        <v>14800</v>
      </c>
      <c r="BO16" t="s">
        <v>1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1</v>
      </c>
      <c r="BZ16" t="s">
        <v>1</v>
      </c>
      <c r="CA16" t="s">
        <v>1</v>
      </c>
      <c r="CB16" t="s">
        <v>277</v>
      </c>
      <c r="CD16" t="str" cm="1">
        <f t="array" aca="1" ref="CD16" ca="1">eConcatenar(A16:CB16,"|")</f>
        <v>ChP9YDnxuRbwcRAE|PAR2021-2125|3|MEMORIAL|TABASCO|PARAISO|PARAISO|2021-06-17|14800|0|50|50|2|0|0|0|0|0|0|0|0|0|0|0|0|0|0|VALENCIA|HERNANDEZ|MARIA EDICA|SOLTERO|X|X|CARRETERA AL CHIVERO SIN NUMERO|EJIDO SAN FERNANDO|x|X|x|x|x|CARRETERA AL CHIVERO SIN NUMERO|x|LUNES|X|X|X|X|X|DOMICILIO |650|14150|X|X|X|2022-10-08|2022-10-15|X|X|X|X|X|QX002MIY9KVTQO|X|HOMBRE|X|14800|X|X|X|X|X|X|X|X|CARDENAS|X|X|X|X|FINAL</v>
      </c>
    </row>
    <row r="17" spans="1:82" x14ac:dyDescent="0.25">
      <c r="A17" t="s">
        <v>314</v>
      </c>
      <c r="B17" t="s">
        <v>315</v>
      </c>
      <c r="C17">
        <v>3</v>
      </c>
      <c r="D17" t="s">
        <v>145</v>
      </c>
      <c r="E17" t="s">
        <v>150</v>
      </c>
      <c r="F17" t="s">
        <v>151</v>
      </c>
      <c r="G17" t="s">
        <v>151</v>
      </c>
      <c r="H17" t="s">
        <v>1038</v>
      </c>
      <c r="I17">
        <v>14800</v>
      </c>
      <c r="J17">
        <v>0</v>
      </c>
      <c r="K17">
        <v>200</v>
      </c>
      <c r="L17">
        <v>50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205</v>
      </c>
      <c r="AC17" t="s">
        <v>316</v>
      </c>
      <c r="AD17" t="s">
        <v>292</v>
      </c>
      <c r="AE17" t="s">
        <v>4</v>
      </c>
      <c r="AF17" t="s">
        <v>1</v>
      </c>
      <c r="AG17" t="s">
        <v>1</v>
      </c>
      <c r="AH17" t="s">
        <v>317</v>
      </c>
      <c r="AI17" t="s">
        <v>318</v>
      </c>
      <c r="AJ17" t="s">
        <v>3</v>
      </c>
      <c r="AK17" t="s">
        <v>1</v>
      </c>
      <c r="AL17" t="s">
        <v>3</v>
      </c>
      <c r="AM17" t="s">
        <v>3</v>
      </c>
      <c r="AN17" t="s">
        <v>3</v>
      </c>
      <c r="AO17" t="s">
        <v>317</v>
      </c>
      <c r="AP17" t="s">
        <v>3</v>
      </c>
      <c r="AQ17" t="s">
        <v>2</v>
      </c>
      <c r="AR17" t="s">
        <v>1</v>
      </c>
      <c r="AS17" t="s">
        <v>1</v>
      </c>
      <c r="AT17" t="s">
        <v>1</v>
      </c>
      <c r="AU17" t="s">
        <v>1</v>
      </c>
      <c r="AV17" t="s">
        <v>1</v>
      </c>
      <c r="AW17" t="s">
        <v>11</v>
      </c>
      <c r="AX17">
        <f>Tabla1[[#This Row],[precio del paquete]]-Tabla1[[#This Row],[Saldo_Deudor]]</f>
        <v>8500</v>
      </c>
      <c r="AY17">
        <v>6300</v>
      </c>
      <c r="AZ17" t="s">
        <v>1</v>
      </c>
      <c r="BA17" t="s">
        <v>1</v>
      </c>
      <c r="BB17" t="s">
        <v>1</v>
      </c>
      <c r="BC17" t="s">
        <v>1137</v>
      </c>
      <c r="BD17" t="s">
        <v>1150</v>
      </c>
      <c r="BE17" t="s">
        <v>1</v>
      </c>
      <c r="BF17" t="s">
        <v>1</v>
      </c>
      <c r="BG17" t="s">
        <v>1</v>
      </c>
      <c r="BH17" t="s">
        <v>1</v>
      </c>
      <c r="BI17" t="s">
        <v>1</v>
      </c>
      <c r="BJ17" t="s">
        <v>269</v>
      </c>
      <c r="BK17" t="s">
        <v>1</v>
      </c>
      <c r="BL17" t="s">
        <v>132</v>
      </c>
      <c r="BM17" t="s">
        <v>1</v>
      </c>
      <c r="BN17">
        <v>14800</v>
      </c>
      <c r="BO17" t="s">
        <v>1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0</v>
      </c>
      <c r="BX17" t="s">
        <v>1</v>
      </c>
      <c r="BY17" t="s">
        <v>1</v>
      </c>
      <c r="BZ17" t="s">
        <v>1</v>
      </c>
      <c r="CA17" t="s">
        <v>1</v>
      </c>
      <c r="CB17" t="s">
        <v>277</v>
      </c>
      <c r="CD17" t="str" cm="1">
        <f t="array" aca="1" ref="CD17" ca="1">eConcatenar(A17:CB17,"|")</f>
        <v>pMZ3QHO3aBd1ffqA|PAR2020-1568|3|MEMORIAL|TABASCO|PARAISO|PARAISO|2020-08-12|14800|0|200|50|1|0|0|0|0|0|0|0|0|0|0|0|0|0|0|HERNANDEZ|CHAPUZ|DALIA|SOLTERO|X|X|ENTRADA POCHIMOVILES CASA COLOR AZUL|RANCHERIA ORIENTE SEGUNDA SECCION|x|X|x|x|x|ENTRADA POCHIMOVILES CASA COLOR AZUL|x|LUNES|X|X|X|X|X|DOMICILIO |8500|6300|X|X|X|2022-03-07|2022-03-14|X|X|X|X|X|QX002MIY9KVTQO|X|HOMBRE|X|14800|X|X|X|X|X|X|X|X|CARDENAS|X|X|X|X|FINAL</v>
      </c>
    </row>
    <row r="18" spans="1:82" x14ac:dyDescent="0.25">
      <c r="A18" t="s">
        <v>319</v>
      </c>
      <c r="B18" t="s">
        <v>320</v>
      </c>
      <c r="C18">
        <v>3</v>
      </c>
      <c r="D18" t="s">
        <v>145</v>
      </c>
      <c r="E18" t="s">
        <v>150</v>
      </c>
      <c r="F18" t="s">
        <v>151</v>
      </c>
      <c r="G18" t="s">
        <v>151</v>
      </c>
      <c r="H18" t="s">
        <v>1039</v>
      </c>
      <c r="I18">
        <v>14800</v>
      </c>
      <c r="J18">
        <v>0</v>
      </c>
      <c r="K18">
        <v>100</v>
      </c>
      <c r="L18">
        <v>50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321</v>
      </c>
      <c r="AC18" t="s">
        <v>210</v>
      </c>
      <c r="AD18" t="s">
        <v>322</v>
      </c>
      <c r="AE18" t="s">
        <v>4</v>
      </c>
      <c r="AF18" t="s">
        <v>1</v>
      </c>
      <c r="AG18" t="s">
        <v>1</v>
      </c>
      <c r="AH18" t="s">
        <v>323</v>
      </c>
      <c r="AI18" t="s">
        <v>324</v>
      </c>
      <c r="AJ18" t="s">
        <v>3</v>
      </c>
      <c r="AK18" t="s">
        <v>1</v>
      </c>
      <c r="AL18" t="s">
        <v>3</v>
      </c>
      <c r="AM18" t="s">
        <v>3</v>
      </c>
      <c r="AN18" t="s">
        <v>3</v>
      </c>
      <c r="AO18" t="s">
        <v>323</v>
      </c>
      <c r="AP18" t="s">
        <v>3</v>
      </c>
      <c r="AQ18" t="s">
        <v>2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11</v>
      </c>
      <c r="AX18">
        <f>Tabla1[[#This Row],[precio del paquete]]-Tabla1[[#This Row],[Saldo_Deudor]]</f>
        <v>10700</v>
      </c>
      <c r="AY18">
        <v>4100</v>
      </c>
      <c r="AZ18" t="s">
        <v>1</v>
      </c>
      <c r="BA18" t="s">
        <v>1</v>
      </c>
      <c r="BB18" t="s">
        <v>1</v>
      </c>
      <c r="BC18" t="s">
        <v>1137</v>
      </c>
      <c r="BD18" t="s">
        <v>1150</v>
      </c>
      <c r="BE18" t="s">
        <v>1</v>
      </c>
      <c r="BF18" t="s">
        <v>1</v>
      </c>
      <c r="BG18" t="s">
        <v>1</v>
      </c>
      <c r="BH18" t="s">
        <v>1</v>
      </c>
      <c r="BI18" t="s">
        <v>1</v>
      </c>
      <c r="BJ18" t="s">
        <v>269</v>
      </c>
      <c r="BK18" t="s">
        <v>1</v>
      </c>
      <c r="BL18" t="s">
        <v>132</v>
      </c>
      <c r="BM18" t="s">
        <v>1</v>
      </c>
      <c r="BN18">
        <v>14800</v>
      </c>
      <c r="BO18" t="s">
        <v>1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0</v>
      </c>
      <c r="BX18" t="s">
        <v>1</v>
      </c>
      <c r="BY18" t="s">
        <v>1</v>
      </c>
      <c r="BZ18" t="s">
        <v>1</v>
      </c>
      <c r="CA18" t="s">
        <v>1</v>
      </c>
      <c r="CB18" t="s">
        <v>277</v>
      </c>
      <c r="CD18" t="str" cm="1">
        <f t="array" aca="1" ref="CD18" ca="1">eConcatenar(A18:CB18,"|")</f>
        <v>NH0RmKyzhcePaaXT|PAR2020-1164|3|MEMORIAL|TABASCO|PARAISO|PARAISO|2020-07-10|14800|0|100|50|0|0|0|0|0|0|0|0|0|0|0|0|0|0|0|CASTELLANOS|DE LA CRUZ|KARLA ALEJANDRA|SOLTERO|X|X|ARREGLSN TELEVISIONES|RANCHERIA EL ESCRIBANO|x|X|x|x|x|ARREGLSN TELEVISIONES|x|LUNES|X|X|X|X|X|DOMICILIO |10700|4100|X|X|X|2022-03-07|2022-03-14|X|X|X|X|X|QX002MIY9KVTQO|X|HOMBRE|X|14800|X|X|X|X|X|X|X|X|CARDENAS|X|X|X|X|FINAL</v>
      </c>
    </row>
    <row r="19" spans="1:82" x14ac:dyDescent="0.25">
      <c r="A19" t="s">
        <v>325</v>
      </c>
      <c r="B19" t="s">
        <v>326</v>
      </c>
      <c r="C19">
        <v>3</v>
      </c>
      <c r="D19" t="s">
        <v>145</v>
      </c>
      <c r="E19" t="s">
        <v>150</v>
      </c>
      <c r="F19" t="s">
        <v>0</v>
      </c>
      <c r="G19" t="s">
        <v>0</v>
      </c>
      <c r="H19" t="s">
        <v>1040</v>
      </c>
      <c r="I19">
        <v>14800</v>
      </c>
      <c r="J19">
        <v>0</v>
      </c>
      <c r="K19">
        <v>200</v>
      </c>
      <c r="L19">
        <v>50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327</v>
      </c>
      <c r="AC19" t="s">
        <v>211</v>
      </c>
      <c r="AD19" t="s">
        <v>186</v>
      </c>
      <c r="AE19" t="s">
        <v>4</v>
      </c>
      <c r="AF19" t="s">
        <v>1</v>
      </c>
      <c r="AG19" t="s">
        <v>1</v>
      </c>
      <c r="AH19" t="s">
        <v>237</v>
      </c>
      <c r="AI19" t="s">
        <v>328</v>
      </c>
      <c r="AJ19" t="s">
        <v>3</v>
      </c>
      <c r="AK19">
        <v>9331237540</v>
      </c>
      <c r="AL19" t="s">
        <v>3</v>
      </c>
      <c r="AM19" t="s">
        <v>3</v>
      </c>
      <c r="AN19" t="s">
        <v>3</v>
      </c>
      <c r="AO19" t="s">
        <v>237</v>
      </c>
      <c r="AP19" t="s">
        <v>3</v>
      </c>
      <c r="AQ19" t="s">
        <v>2</v>
      </c>
      <c r="AR19" t="s">
        <v>1</v>
      </c>
      <c r="AS19" t="s">
        <v>1</v>
      </c>
      <c r="AT19" t="s">
        <v>1</v>
      </c>
      <c r="AU19" t="s">
        <v>1</v>
      </c>
      <c r="AV19" t="s">
        <v>1</v>
      </c>
      <c r="AW19" t="s">
        <v>11</v>
      </c>
      <c r="AX19">
        <f>Tabla1[[#This Row],[precio del paquete]]-Tabla1[[#This Row],[Saldo_Deudor]]</f>
        <v>4400</v>
      </c>
      <c r="AY19">
        <v>10400</v>
      </c>
      <c r="AZ19" t="s">
        <v>1</v>
      </c>
      <c r="BA19" t="s">
        <v>1</v>
      </c>
      <c r="BB19" t="s">
        <v>1</v>
      </c>
      <c r="BC19" t="s">
        <v>1137</v>
      </c>
      <c r="BD19" t="s">
        <v>1150</v>
      </c>
      <c r="BE19" t="s">
        <v>1</v>
      </c>
      <c r="BF19" t="s">
        <v>1</v>
      </c>
      <c r="BG19" t="s">
        <v>1</v>
      </c>
      <c r="BH19" t="s">
        <v>1</v>
      </c>
      <c r="BI19" t="s">
        <v>1</v>
      </c>
      <c r="BJ19" t="s">
        <v>270</v>
      </c>
      <c r="BK19" t="s">
        <v>1</v>
      </c>
      <c r="BL19" t="s">
        <v>132</v>
      </c>
      <c r="BM19" t="s">
        <v>1</v>
      </c>
      <c r="BN19">
        <v>14800</v>
      </c>
      <c r="BO19" t="s">
        <v>1</v>
      </c>
      <c r="BP19" t="s">
        <v>1</v>
      </c>
      <c r="BQ19" t="s">
        <v>1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0</v>
      </c>
      <c r="BX19" t="s">
        <v>1</v>
      </c>
      <c r="BY19" t="s">
        <v>1</v>
      </c>
      <c r="BZ19" t="s">
        <v>1</v>
      </c>
      <c r="CA19" t="s">
        <v>1</v>
      </c>
      <c r="CB19" t="s">
        <v>277</v>
      </c>
      <c r="CD19" t="str" cm="1">
        <f t="array" aca="1" ref="CD19" ca="1">eConcatenar(A19:CB19,"|")</f>
        <v>Dn15774xMOTWP2LY|CAR2021-1118|3|MEMORIAL|TABASCO|CARDENAS|CARDENAS|2021-05-21|14800|0|200|50|1|0|0|0|0|0|0|0|0|0|0|0|0|0|0|PERETA|LANDERO|PEDRO|SOLTERO|X|X|CARRETERA PRINCIPAL SIN NUMERO|RANCHERIA GREGORIO MENDEZ PRIMERA SECCION |x|9331237540|x|x|x|CARRETERA PRINCIPAL SIN NUMERO|x|LUNES|X|X|X|X|X|DOMICILIO |4400|10400|X|X|X|2022-03-07|2022-03-14|X|X|X|X|X|QWZHGIJM9KVTQO|X|HOMBRE|X|14800|X|X|X|X|X|X|X|X|CARDENAS|X|X|X|X|FINAL</v>
      </c>
    </row>
    <row r="20" spans="1:82" x14ac:dyDescent="0.25">
      <c r="A20" t="s">
        <v>329</v>
      </c>
      <c r="B20" t="s">
        <v>330</v>
      </c>
      <c r="C20">
        <v>3</v>
      </c>
      <c r="D20" t="s">
        <v>145</v>
      </c>
      <c r="E20" t="s">
        <v>150</v>
      </c>
      <c r="F20" t="s">
        <v>151</v>
      </c>
      <c r="G20" t="s">
        <v>151</v>
      </c>
      <c r="H20" t="s">
        <v>160</v>
      </c>
      <c r="I20">
        <v>14800</v>
      </c>
      <c r="J20">
        <v>0</v>
      </c>
      <c r="K20">
        <v>200</v>
      </c>
      <c r="L20">
        <v>50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331</v>
      </c>
      <c r="AC20" t="s">
        <v>212</v>
      </c>
      <c r="AD20" t="s">
        <v>332</v>
      </c>
      <c r="AE20" t="s">
        <v>4</v>
      </c>
      <c r="AF20" t="s">
        <v>1</v>
      </c>
      <c r="AG20" t="s">
        <v>1</v>
      </c>
      <c r="AH20" t="s">
        <v>237</v>
      </c>
      <c r="AI20" t="s">
        <v>333</v>
      </c>
      <c r="AJ20" t="s">
        <v>3</v>
      </c>
      <c r="AK20">
        <v>9331235245</v>
      </c>
      <c r="AL20" t="s">
        <v>3</v>
      </c>
      <c r="AM20" t="s">
        <v>3</v>
      </c>
      <c r="AN20" t="s">
        <v>3</v>
      </c>
      <c r="AO20" t="s">
        <v>237</v>
      </c>
      <c r="AP20" t="s">
        <v>3</v>
      </c>
      <c r="AQ20" t="s">
        <v>2</v>
      </c>
      <c r="AR20" t="s">
        <v>1</v>
      </c>
      <c r="AS20" t="s">
        <v>1</v>
      </c>
      <c r="AT20" t="s">
        <v>1</v>
      </c>
      <c r="AU20" t="s">
        <v>1</v>
      </c>
      <c r="AV20" t="s">
        <v>1</v>
      </c>
      <c r="AW20" t="s">
        <v>11</v>
      </c>
      <c r="AX20">
        <f>Tabla1[[#This Row],[precio del paquete]]-Tabla1[[#This Row],[Saldo_Deudor]]</f>
        <v>1100</v>
      </c>
      <c r="AY20">
        <v>13700</v>
      </c>
      <c r="AZ20" t="s">
        <v>1</v>
      </c>
      <c r="BA20" t="s">
        <v>1</v>
      </c>
      <c r="BB20" t="s">
        <v>1</v>
      </c>
      <c r="BC20" t="s">
        <v>1138</v>
      </c>
      <c r="BD20" t="s">
        <v>1151</v>
      </c>
      <c r="BE20" t="s">
        <v>1</v>
      </c>
      <c r="BF20" t="s">
        <v>1</v>
      </c>
      <c r="BG20" t="s">
        <v>1</v>
      </c>
      <c r="BH20" t="s">
        <v>1</v>
      </c>
      <c r="BI20" t="s">
        <v>1</v>
      </c>
      <c r="BJ20" t="s">
        <v>270</v>
      </c>
      <c r="BK20" t="s">
        <v>1</v>
      </c>
      <c r="BL20" t="s">
        <v>132</v>
      </c>
      <c r="BM20" t="s">
        <v>1</v>
      </c>
      <c r="BN20">
        <v>14800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0</v>
      </c>
      <c r="BX20" t="s">
        <v>1</v>
      </c>
      <c r="BY20" t="s">
        <v>1</v>
      </c>
      <c r="BZ20" t="s">
        <v>1</v>
      </c>
      <c r="CA20" t="s">
        <v>1</v>
      </c>
      <c r="CB20" t="s">
        <v>277</v>
      </c>
      <c r="CD20" t="str" cm="1">
        <f t="array" aca="1" ref="CD20" ca="1">eConcatenar(A20:CB20,"|")</f>
        <v>8KYWRhxsxJJlJ4bc|PAR2021-3527|3|MEMORIAL|TABASCO|PARAISO|PARAISO|2021-11-01|14800|0|200|50|1|0|0|0|0|0|0|0|0|0|0|0|0|0|0|RABANALES|DOMINGUEZ|ROSA MARIA|SOLTERO|X|X|CARRETERA PRINCIPAL SIN NUMERO|RANCHERIA ZAPOTAL PRIMERA SECCION |x|9331235245|x|x|x|CARRETERA PRINCIPAL SIN NUMERO|x|LUNES|X|X|X|X|X|DOMICILIO |1100|13700|X|X|X|2022-03-08|2022-03-15|X|X|X|X|X|QWZHGIJM9KVTQO|X|HOMBRE|X|14800|X|X|X|X|X|X|X|X|CARDENAS|X|X|X|X|FINAL</v>
      </c>
    </row>
    <row r="21" spans="1:82" x14ac:dyDescent="0.25">
      <c r="A21" t="s">
        <v>334</v>
      </c>
      <c r="B21" t="s">
        <v>335</v>
      </c>
      <c r="C21">
        <v>3</v>
      </c>
      <c r="D21" t="s">
        <v>145</v>
      </c>
      <c r="E21" t="s">
        <v>150</v>
      </c>
      <c r="F21" t="s">
        <v>151</v>
      </c>
      <c r="G21" t="s">
        <v>151</v>
      </c>
      <c r="H21" t="s">
        <v>1041</v>
      </c>
      <c r="I21">
        <v>14800</v>
      </c>
      <c r="J21">
        <v>0</v>
      </c>
      <c r="K21">
        <v>150</v>
      </c>
      <c r="L21">
        <v>50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205</v>
      </c>
      <c r="AC21" t="s">
        <v>204</v>
      </c>
      <c r="AD21" t="s">
        <v>336</v>
      </c>
      <c r="AE21" t="s">
        <v>4</v>
      </c>
      <c r="AF21" t="s">
        <v>1</v>
      </c>
      <c r="AG21" t="s">
        <v>1</v>
      </c>
      <c r="AH21" t="s">
        <v>337</v>
      </c>
      <c r="AI21" t="s">
        <v>338</v>
      </c>
      <c r="AJ21" t="s">
        <v>3</v>
      </c>
      <c r="AK21">
        <v>9331017434</v>
      </c>
      <c r="AL21" t="s">
        <v>3</v>
      </c>
      <c r="AM21" t="s">
        <v>3</v>
      </c>
      <c r="AN21" t="s">
        <v>3</v>
      </c>
      <c r="AO21" t="s">
        <v>337</v>
      </c>
      <c r="AP21" t="s">
        <v>3</v>
      </c>
      <c r="AQ21" t="s">
        <v>2</v>
      </c>
      <c r="AR21" t="s">
        <v>1</v>
      </c>
      <c r="AS21" t="s">
        <v>1</v>
      </c>
      <c r="AT21" t="s">
        <v>1</v>
      </c>
      <c r="AU21" t="s">
        <v>1</v>
      </c>
      <c r="AV21" t="s">
        <v>1</v>
      </c>
      <c r="AW21" t="s">
        <v>11</v>
      </c>
      <c r="AX21">
        <f>Tabla1[[#This Row],[precio del paquete]]-Tabla1[[#This Row],[Saldo_Deudor]]</f>
        <v>1150</v>
      </c>
      <c r="AY21">
        <v>13650</v>
      </c>
      <c r="AZ21" t="s">
        <v>1</v>
      </c>
      <c r="BA21" t="s">
        <v>1</v>
      </c>
      <c r="BB21" t="s">
        <v>1</v>
      </c>
      <c r="BC21" t="s">
        <v>1138</v>
      </c>
      <c r="BD21" t="s">
        <v>1151</v>
      </c>
      <c r="BE21" t="s">
        <v>1</v>
      </c>
      <c r="BF21" t="s">
        <v>1</v>
      </c>
      <c r="BG21" t="s">
        <v>1</v>
      </c>
      <c r="BH21" t="s">
        <v>1</v>
      </c>
      <c r="BI21" t="s">
        <v>1</v>
      </c>
      <c r="BJ21" t="s">
        <v>270</v>
      </c>
      <c r="BK21" t="s">
        <v>1</v>
      </c>
      <c r="BL21" t="s">
        <v>132</v>
      </c>
      <c r="BM21" t="s">
        <v>1</v>
      </c>
      <c r="BN21">
        <v>14800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0</v>
      </c>
      <c r="BX21" t="s">
        <v>1</v>
      </c>
      <c r="BY21" t="s">
        <v>1</v>
      </c>
      <c r="BZ21" t="s">
        <v>1</v>
      </c>
      <c r="CA21" t="s">
        <v>1</v>
      </c>
      <c r="CB21" t="s">
        <v>277</v>
      </c>
      <c r="CD21" t="str" cm="1">
        <f t="array" aca="1" ref="CD21" ca="1">eConcatenar(A21:CB21,"|")</f>
        <v>L1vtxXcPffxM8NvP|PAR2021-3574|3|MEMORIAL|TABASCO|PARAISO|PARAISO|2021-11-10|14800|0|150|50|1|0|0|0|0|0|0|0|0|0|0|0|0|0|0|HERNANDEZ|DIAZ|SEBASTIANA|SOLTERO|X|X|CARRETERA VECINAL PARAISO COMALCALCO FRENTE A PESCADERIA EL CAPITAN |FRANCISCO I MADERO |x|9331017434|x|x|x|CARRETERA VECINAL PARAISO COMALCALCO FRENTE A PESCADERIA EL CAPITAN |x|LUNES|X|X|X|X|X|DOMICILIO |1150|13650|X|X|X|2022-03-08|2022-03-15|X|X|X|X|X|QWZHGIJM9KVTQO|X|HOMBRE|X|14800|X|X|X|X|X|X|X|X|CARDENAS|X|X|X|X|FINAL</v>
      </c>
    </row>
    <row r="22" spans="1:82" x14ac:dyDescent="0.25">
      <c r="A22" t="s">
        <v>339</v>
      </c>
      <c r="B22" t="s">
        <v>340</v>
      </c>
      <c r="C22">
        <v>3</v>
      </c>
      <c r="D22" t="s">
        <v>145</v>
      </c>
      <c r="E22" t="s">
        <v>150</v>
      </c>
      <c r="F22" t="s">
        <v>152</v>
      </c>
      <c r="G22" t="s">
        <v>152</v>
      </c>
      <c r="H22" t="s">
        <v>1042</v>
      </c>
      <c r="I22">
        <v>14800</v>
      </c>
      <c r="J22">
        <v>0</v>
      </c>
      <c r="K22">
        <v>100</v>
      </c>
      <c r="L22">
        <v>50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213</v>
      </c>
      <c r="AD22" t="s">
        <v>341</v>
      </c>
      <c r="AE22" t="s">
        <v>4</v>
      </c>
      <c r="AF22" t="s">
        <v>1</v>
      </c>
      <c r="AG22" t="s">
        <v>1</v>
      </c>
      <c r="AH22" t="s">
        <v>342</v>
      </c>
      <c r="AI22" t="s">
        <v>343</v>
      </c>
      <c r="AJ22" t="s">
        <v>3</v>
      </c>
      <c r="AK22">
        <v>9141197786</v>
      </c>
      <c r="AL22" t="s">
        <v>3</v>
      </c>
      <c r="AM22" t="s">
        <v>3</v>
      </c>
      <c r="AN22" t="s">
        <v>3</v>
      </c>
      <c r="AO22" t="s">
        <v>342</v>
      </c>
      <c r="AP22" t="s">
        <v>3</v>
      </c>
      <c r="AQ22" t="s">
        <v>2</v>
      </c>
      <c r="AR22" t="s">
        <v>1</v>
      </c>
      <c r="AS22" t="s">
        <v>1</v>
      </c>
      <c r="AT22" t="s">
        <v>1</v>
      </c>
      <c r="AU22" t="s">
        <v>1</v>
      </c>
      <c r="AV22" t="s">
        <v>1</v>
      </c>
      <c r="AW22" t="s">
        <v>11</v>
      </c>
      <c r="AX22">
        <f>Tabla1[[#This Row],[precio del paquete]]-Tabla1[[#This Row],[Saldo_Deudor]]</f>
        <v>7950</v>
      </c>
      <c r="AY22">
        <v>6850</v>
      </c>
      <c r="AZ22" t="s">
        <v>1</v>
      </c>
      <c r="BA22" t="s">
        <v>1</v>
      </c>
      <c r="BB22" t="s">
        <v>1</v>
      </c>
      <c r="BC22" t="s">
        <v>1138</v>
      </c>
      <c r="BD22" t="s">
        <v>1151</v>
      </c>
      <c r="BE22" t="s">
        <v>1</v>
      </c>
      <c r="BF22" t="s">
        <v>1</v>
      </c>
      <c r="BG22" t="s">
        <v>1</v>
      </c>
      <c r="BH22" t="s">
        <v>1</v>
      </c>
      <c r="BI22" t="s">
        <v>1</v>
      </c>
      <c r="BJ22" t="s">
        <v>271</v>
      </c>
      <c r="BK22" t="s">
        <v>1</v>
      </c>
      <c r="BL22" t="s">
        <v>132</v>
      </c>
      <c r="BM22" t="s">
        <v>1</v>
      </c>
      <c r="BN22">
        <v>14800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0</v>
      </c>
      <c r="BX22" t="s">
        <v>1</v>
      </c>
      <c r="BY22" t="s">
        <v>1</v>
      </c>
      <c r="BZ22" t="s">
        <v>1</v>
      </c>
      <c r="CA22" t="s">
        <v>1</v>
      </c>
      <c r="CB22" t="s">
        <v>277</v>
      </c>
      <c r="CD22" t="str" cm="1">
        <f t="array" aca="1" ref="CD22" ca="1">eConcatenar(A22:CB22,"|")</f>
        <v>h8ywwWnZYuh2WiST|CAR2020-1606|3|MEMORIAL|TABASCO|CUNDUACAN|CUNDUACAN|2020-07-14|14800|0|100|50|0|0|0|0|0|0|0|0|0|0|0|0|0|0|0|OLAN||ALEJANDRO SANCHEZ|SOLTERO|X|X|CALLE MIGUEL HIDALGO SIN NUMERO|COLONIA 11 DE FEBRERO|x|9141197786|x|x|x|CALLE MIGUEL HIDALGO SIN NUMERO|x|LUNES|X|X|X|X|X|DOMICILIO |7950|6850|X|X|X|2022-03-08|2022-03-15|X|X|X|X|X|KYMDH4NUTCJVUQD|X|HOMBRE|X|14800|X|X|X|X|X|X|X|X|CARDENAS|X|X|X|X|FINAL</v>
      </c>
    </row>
    <row r="23" spans="1:82" x14ac:dyDescent="0.25">
      <c r="A23" t="s">
        <v>344</v>
      </c>
      <c r="B23" t="s">
        <v>345</v>
      </c>
      <c r="C23">
        <v>3</v>
      </c>
      <c r="D23" t="s">
        <v>145</v>
      </c>
      <c r="E23" t="s">
        <v>150</v>
      </c>
      <c r="F23" t="s">
        <v>152</v>
      </c>
      <c r="G23" t="s">
        <v>152</v>
      </c>
      <c r="H23" t="s">
        <v>1043</v>
      </c>
      <c r="I23">
        <v>14800</v>
      </c>
      <c r="J23">
        <v>0</v>
      </c>
      <c r="K23">
        <v>100</v>
      </c>
      <c r="L23">
        <v>50</v>
      </c>
      <c r="M23">
        <v>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346</v>
      </c>
      <c r="AC23" t="s">
        <v>206</v>
      </c>
      <c r="AD23" t="s">
        <v>347</v>
      </c>
      <c r="AE23" t="s">
        <v>4</v>
      </c>
      <c r="AF23" t="s">
        <v>1</v>
      </c>
      <c r="AG23" t="s">
        <v>1</v>
      </c>
      <c r="AH23" t="s">
        <v>348</v>
      </c>
      <c r="AI23" t="s">
        <v>349</v>
      </c>
      <c r="AJ23" t="s">
        <v>3</v>
      </c>
      <c r="AK23">
        <v>9371545115</v>
      </c>
      <c r="AL23" t="s">
        <v>3</v>
      </c>
      <c r="AM23" t="s">
        <v>3</v>
      </c>
      <c r="AN23" t="s">
        <v>3</v>
      </c>
      <c r="AO23" t="s">
        <v>348</v>
      </c>
      <c r="AP23" t="s">
        <v>3</v>
      </c>
      <c r="AQ23" t="s">
        <v>2</v>
      </c>
      <c r="AR23" t="s">
        <v>1</v>
      </c>
      <c r="AS23" t="s">
        <v>1</v>
      </c>
      <c r="AT23" t="s">
        <v>1</v>
      </c>
      <c r="AU23" t="s">
        <v>1</v>
      </c>
      <c r="AV23" t="s">
        <v>1</v>
      </c>
      <c r="AW23" t="s">
        <v>11</v>
      </c>
      <c r="AX23">
        <f>Tabla1[[#This Row],[precio del paquete]]-Tabla1[[#This Row],[Saldo_Deudor]]</f>
        <v>2700</v>
      </c>
      <c r="AY23">
        <v>12100</v>
      </c>
      <c r="AZ23" t="s">
        <v>1</v>
      </c>
      <c r="BA23" t="s">
        <v>1</v>
      </c>
      <c r="BB23" t="s">
        <v>1</v>
      </c>
      <c r="BC23" t="s">
        <v>1139</v>
      </c>
      <c r="BD23" t="s">
        <v>1152</v>
      </c>
      <c r="BE23" t="s">
        <v>1</v>
      </c>
      <c r="BF23" t="s">
        <v>1</v>
      </c>
      <c r="BG23" t="s">
        <v>1</v>
      </c>
      <c r="BH23" t="s">
        <v>1</v>
      </c>
      <c r="BI23" t="s">
        <v>1</v>
      </c>
      <c r="BJ23" t="s">
        <v>271</v>
      </c>
      <c r="BK23" t="s">
        <v>1</v>
      </c>
      <c r="BL23" t="s">
        <v>132</v>
      </c>
      <c r="BM23" t="s">
        <v>1</v>
      </c>
      <c r="BN23">
        <v>14800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0</v>
      </c>
      <c r="BX23" t="s">
        <v>1</v>
      </c>
      <c r="BY23" t="s">
        <v>1</v>
      </c>
      <c r="BZ23" t="s">
        <v>1</v>
      </c>
      <c r="CA23" t="s">
        <v>1</v>
      </c>
      <c r="CB23" t="s">
        <v>277</v>
      </c>
      <c r="CD23" t="str" cm="1">
        <f t="array" aca="1" ref="CD23" ca="1">eConcatenar(A23:CB23,"|")</f>
        <v>F7xqOySTIMyuT6cx|CAR2021-6028-1|3|MEMORIAL|TABASCO|CUNDUACAN|CUNDUACAN|2021-10-09|14800|0|100|50|2|0|0|0|0|0|0|0|0|0|0|0|0|0|0|MADRIGAL|RODRIGUEZ|DOLORES|SOLTERO|X|X|CALLE SANTIAGO DE LA CRUZ CASRAÑEDA CASA 14 |LA PLAYITA|x|9371545115|x|x|x|CALLE SANTIAGO DE LA CRUZ CASRAÑEDA CASA 14 |x|LUNES|X|X|X|X|X|DOMICILIO |2700|12100|X|X|X|2022-03-06|2022-03-13|X|X|X|X|X|KYMDH4NUTCJVUQD|X|HOMBRE|X|14800|X|X|X|X|X|X|X|X|CARDENAS|X|X|X|X|FINAL</v>
      </c>
    </row>
    <row r="24" spans="1:82" x14ac:dyDescent="0.25">
      <c r="A24" t="s">
        <v>350</v>
      </c>
      <c r="B24" t="s">
        <v>351</v>
      </c>
      <c r="C24">
        <v>3</v>
      </c>
      <c r="D24" t="s">
        <v>145</v>
      </c>
      <c r="E24" t="s">
        <v>150</v>
      </c>
      <c r="F24" t="s">
        <v>152</v>
      </c>
      <c r="G24" t="s">
        <v>152</v>
      </c>
      <c r="H24" t="s">
        <v>1044</v>
      </c>
      <c r="I24">
        <v>14800</v>
      </c>
      <c r="J24">
        <v>0</v>
      </c>
      <c r="K24">
        <v>100</v>
      </c>
      <c r="L24">
        <v>50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210</v>
      </c>
      <c r="AC24" t="s">
        <v>205</v>
      </c>
      <c r="AD24" t="s">
        <v>352</v>
      </c>
      <c r="AE24" t="s">
        <v>4</v>
      </c>
      <c r="AF24" t="s">
        <v>1</v>
      </c>
      <c r="AG24" t="s">
        <v>1</v>
      </c>
      <c r="AH24" t="s">
        <v>353</v>
      </c>
      <c r="AI24" t="s">
        <v>354</v>
      </c>
      <c r="AJ24" t="s">
        <v>3</v>
      </c>
      <c r="AK24">
        <v>8994525843</v>
      </c>
      <c r="AL24" t="s">
        <v>3</v>
      </c>
      <c r="AM24" t="s">
        <v>3</v>
      </c>
      <c r="AN24" t="s">
        <v>3</v>
      </c>
      <c r="AO24" t="s">
        <v>353</v>
      </c>
      <c r="AP24" t="s">
        <v>3</v>
      </c>
      <c r="AQ24" t="s">
        <v>2</v>
      </c>
      <c r="AR24" t="s">
        <v>1</v>
      </c>
      <c r="AS24" t="s">
        <v>1</v>
      </c>
      <c r="AT24" t="s">
        <v>1</v>
      </c>
      <c r="AU24" t="s">
        <v>1</v>
      </c>
      <c r="AV24" t="s">
        <v>1</v>
      </c>
      <c r="AW24" t="s">
        <v>11</v>
      </c>
      <c r="AX24">
        <f>Tabla1[[#This Row],[precio del paquete]]-Tabla1[[#This Row],[Saldo_Deudor]]</f>
        <v>1000</v>
      </c>
      <c r="AY24">
        <v>13800</v>
      </c>
      <c r="AZ24" t="s">
        <v>1</v>
      </c>
      <c r="BA24" t="s">
        <v>1</v>
      </c>
      <c r="BB24" t="s">
        <v>1</v>
      </c>
      <c r="BC24" t="s">
        <v>1096</v>
      </c>
      <c r="BD24" t="s">
        <v>1068</v>
      </c>
      <c r="BE24" t="s">
        <v>1</v>
      </c>
      <c r="BF24" t="s">
        <v>1</v>
      </c>
      <c r="BG24" t="s">
        <v>1</v>
      </c>
      <c r="BH24" t="s">
        <v>1</v>
      </c>
      <c r="BI24" t="s">
        <v>1</v>
      </c>
      <c r="BJ24" t="s">
        <v>271</v>
      </c>
      <c r="BK24" t="s">
        <v>1</v>
      </c>
      <c r="BL24" t="s">
        <v>132</v>
      </c>
      <c r="BM24" t="s">
        <v>1</v>
      </c>
      <c r="BN24">
        <v>14800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0</v>
      </c>
      <c r="BX24" t="s">
        <v>1</v>
      </c>
      <c r="BY24" t="s">
        <v>1</v>
      </c>
      <c r="BZ24" t="s">
        <v>1</v>
      </c>
      <c r="CA24" t="s">
        <v>1</v>
      </c>
      <c r="CB24" t="s">
        <v>277</v>
      </c>
      <c r="CD24" t="str" cm="1">
        <f t="array" aca="1" ref="CD24" ca="1">eConcatenar(A24:CB24,"|")</f>
        <v>JAb9SyUfs1xtAlWd|CAR2021-6480|3|MEMORIAL|TABASCO|CUNDUACAN|CUNDUACAN|2021-10-28|14800|0|100|50|0|0|0|0|0|0|0|0|0|0|0|0|0|0|0|DE LA CRUZ|HERNANDEZ|MARTHA|SOLTERO|X|X|CARRETERA A LA VIA ENTRADA EL CARMEN SIN NUMERO |RANCHERIA RIO SECO TIERRA Y LIBERTAD|x|8994525843|x|x|x|CARRETERA A LA VIA ENTRADA EL CARMEN SIN NUMERO |x|LUNES|X|X|X|X|X|DOMICILIO |1000|13800|X|X|X|2021-03-08|2021-03-15|X|X|X|X|X|KYMDH4NUTCJVUQD|X|HOMBRE|X|14800|X|X|X|X|X|X|X|X|CARDENAS|X|X|X|X|FINAL</v>
      </c>
    </row>
    <row r="25" spans="1:82" x14ac:dyDescent="0.25">
      <c r="A25" t="s">
        <v>355</v>
      </c>
      <c r="B25" t="s">
        <v>356</v>
      </c>
      <c r="C25">
        <v>3</v>
      </c>
      <c r="D25" t="s">
        <v>145</v>
      </c>
      <c r="E25" t="s">
        <v>150</v>
      </c>
      <c r="F25" t="s">
        <v>0</v>
      </c>
      <c r="G25" t="s">
        <v>0</v>
      </c>
      <c r="H25" t="s">
        <v>1044</v>
      </c>
      <c r="I25">
        <v>14800</v>
      </c>
      <c r="J25">
        <v>0</v>
      </c>
      <c r="K25">
        <v>100</v>
      </c>
      <c r="L25">
        <v>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357</v>
      </c>
      <c r="AC25" t="s">
        <v>358</v>
      </c>
      <c r="AD25" t="s">
        <v>359</v>
      </c>
      <c r="AE25" t="s">
        <v>4</v>
      </c>
      <c r="AF25" t="s">
        <v>1</v>
      </c>
      <c r="AG25" t="s">
        <v>1</v>
      </c>
      <c r="AH25" t="s">
        <v>360</v>
      </c>
      <c r="AI25" t="s">
        <v>361</v>
      </c>
      <c r="AJ25" t="s">
        <v>3</v>
      </c>
      <c r="AK25" t="s">
        <v>1</v>
      </c>
      <c r="AL25" t="s">
        <v>3</v>
      </c>
      <c r="AM25" t="s">
        <v>3</v>
      </c>
      <c r="AN25" t="s">
        <v>3</v>
      </c>
      <c r="AO25" t="s">
        <v>360</v>
      </c>
      <c r="AP25" t="s">
        <v>3</v>
      </c>
      <c r="AQ25" t="s">
        <v>2</v>
      </c>
      <c r="AR25" t="s">
        <v>1</v>
      </c>
      <c r="AS25" t="s">
        <v>1</v>
      </c>
      <c r="AT25" t="s">
        <v>1</v>
      </c>
      <c r="AU25" t="s">
        <v>1</v>
      </c>
      <c r="AV25" t="s">
        <v>1</v>
      </c>
      <c r="AW25" t="s">
        <v>11</v>
      </c>
      <c r="AX25">
        <f>Tabla1[[#This Row],[precio del paquete]]-Tabla1[[#This Row],[Saldo_Deudor]]</f>
        <v>6400</v>
      </c>
      <c r="AY25">
        <v>8400</v>
      </c>
      <c r="AZ25" t="s">
        <v>1</v>
      </c>
      <c r="BA25" t="s">
        <v>1</v>
      </c>
      <c r="BB25" t="s">
        <v>1</v>
      </c>
      <c r="BC25" t="s">
        <v>255</v>
      </c>
      <c r="BD25" t="s">
        <v>1138</v>
      </c>
      <c r="BE25" t="s">
        <v>1</v>
      </c>
      <c r="BF25" t="s">
        <v>1</v>
      </c>
      <c r="BG25" t="s">
        <v>1</v>
      </c>
      <c r="BH25" t="s">
        <v>1</v>
      </c>
      <c r="BI25" t="s">
        <v>1</v>
      </c>
      <c r="BJ25" t="s">
        <v>271</v>
      </c>
      <c r="BK25" t="s">
        <v>1</v>
      </c>
      <c r="BL25" t="s">
        <v>132</v>
      </c>
      <c r="BM25" t="s">
        <v>1</v>
      </c>
      <c r="BN25">
        <v>14800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0</v>
      </c>
      <c r="BX25" t="s">
        <v>1</v>
      </c>
      <c r="BY25" t="s">
        <v>1</v>
      </c>
      <c r="BZ25" t="s">
        <v>1</v>
      </c>
      <c r="CA25" t="s">
        <v>1</v>
      </c>
      <c r="CB25" t="s">
        <v>277</v>
      </c>
      <c r="CD25" t="str" cm="1">
        <f t="array" aca="1" ref="CD25" ca="1">eConcatenar(A25:CB25,"|")</f>
        <v>jjQ6r6eqY9F5eJx9|CAR2020-1623|3|MEMORIAL|TABASCO|CARDENAS|CARDENAS|2021-10-28|14800|0|100|50|0|0|0|0|0|0|0|0|0|0|0|0|0|0|0|CRISTOBAL|ORAC|MARIA DE LOS SANTOS|SOLTERO|X|X|CARRETERA RIO SECO TULIPAN|EN SANTA ROSALIA |x|X|x|x|x|CARRETERA RIO SECO TULIPAN|x|LUNES|X|X|X|X|X|DOMICILIO |6400|8400|X|X|X|2022-03-01|2022-03-08|X|X|X|X|X|KYMDH4NUTCJVUQD|X|HOMBRE|X|14800|X|X|X|X|X|X|X|X|CARDENAS|X|X|X|X|FINAL</v>
      </c>
    </row>
    <row r="26" spans="1:82" x14ac:dyDescent="0.25">
      <c r="A26" t="s">
        <v>362</v>
      </c>
      <c r="B26" t="s">
        <v>363</v>
      </c>
      <c r="C26">
        <v>3</v>
      </c>
      <c r="D26" t="s">
        <v>147</v>
      </c>
      <c r="E26" t="s">
        <v>150</v>
      </c>
      <c r="F26" t="s">
        <v>0</v>
      </c>
      <c r="G26" t="s">
        <v>0</v>
      </c>
      <c r="H26" t="s">
        <v>1045</v>
      </c>
      <c r="I26">
        <v>12900</v>
      </c>
      <c r="J26">
        <v>0</v>
      </c>
      <c r="K26">
        <v>200</v>
      </c>
      <c r="L26">
        <v>50</v>
      </c>
      <c r="M26">
        <v>2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207</v>
      </c>
      <c r="AC26" t="s">
        <v>213</v>
      </c>
      <c r="AD26" t="s">
        <v>187</v>
      </c>
      <c r="AE26" t="s">
        <v>4</v>
      </c>
      <c r="AF26" t="s">
        <v>1</v>
      </c>
      <c r="AG26" t="s">
        <v>1</v>
      </c>
      <c r="AH26" t="s">
        <v>364</v>
      </c>
      <c r="AI26" t="s">
        <v>365</v>
      </c>
      <c r="AJ26" t="s">
        <v>3</v>
      </c>
      <c r="AK26">
        <v>9371224203</v>
      </c>
      <c r="AL26" t="s">
        <v>3</v>
      </c>
      <c r="AM26" t="s">
        <v>3</v>
      </c>
      <c r="AN26" t="s">
        <v>3</v>
      </c>
      <c r="AO26" t="s">
        <v>364</v>
      </c>
      <c r="AP26" t="s">
        <v>3</v>
      </c>
      <c r="AQ26" t="s">
        <v>2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11</v>
      </c>
      <c r="AX26">
        <f>Tabla1[[#This Row],[precio del paquete]]-Tabla1[[#This Row],[Saldo_Deudor]]</f>
        <v>6800</v>
      </c>
      <c r="AY26">
        <v>6100</v>
      </c>
      <c r="AZ26" t="s">
        <v>1</v>
      </c>
      <c r="BA26" t="s">
        <v>1</v>
      </c>
      <c r="BB26" t="s">
        <v>1</v>
      </c>
      <c r="BC26" t="s">
        <v>177</v>
      </c>
      <c r="BD26" t="s">
        <v>176</v>
      </c>
      <c r="BE26" t="s">
        <v>1</v>
      </c>
      <c r="BF26" t="s">
        <v>1</v>
      </c>
      <c r="BG26" t="s">
        <v>1</v>
      </c>
      <c r="BH26" t="s">
        <v>1</v>
      </c>
      <c r="BI26" t="s">
        <v>1</v>
      </c>
      <c r="BJ26" t="s">
        <v>271</v>
      </c>
      <c r="BK26" t="s">
        <v>1</v>
      </c>
      <c r="BL26" t="s">
        <v>132</v>
      </c>
      <c r="BM26" t="s">
        <v>1</v>
      </c>
      <c r="BN26">
        <v>12900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0</v>
      </c>
      <c r="BX26" t="s">
        <v>1</v>
      </c>
      <c r="BY26" t="s">
        <v>1</v>
      </c>
      <c r="BZ26" t="s">
        <v>1</v>
      </c>
      <c r="CA26" t="s">
        <v>1</v>
      </c>
      <c r="CB26" t="s">
        <v>277</v>
      </c>
      <c r="CD26" t="str" cm="1">
        <f t="array" aca="1" ref="CD26" ca="1">eConcatenar(A26:CB26,"|")</f>
        <v>c5Q6B08R5KeiCwXx|CAR2020-1628|3|ECONOLINE|TABASCO|CARDENAS|CARDENAS|2020-07-16|12900|0|200|50|2|0|0|0|0|0|0|0|0|0|0|0|0|0|0|ARIAS|OLAN|MARCO ANTONIO|SOLTERO|X|X|CALLE 6 SIN NUMERO ENTRADA DE LA BLOQUERA|COLONIA EL PORVENIR|x|9371224203|x|x|x|CALLE 6 SIN NUMERO ENTRADA DE LA BLOQUERA|x|LUNES|X|X|X|X|X|DOMICILIO |6800|6100|X|X|X|2022-02-15|2022-02-22|X|X|X|X|X|KYMDH4NUTCJVUQD|X|HOMBRE|X|12900|X|X|X|X|X|X|X|X|CARDENAS|X|X|X|X|FINAL</v>
      </c>
    </row>
    <row r="27" spans="1:82" x14ac:dyDescent="0.25">
      <c r="A27" t="s">
        <v>366</v>
      </c>
      <c r="B27" t="s">
        <v>367</v>
      </c>
      <c r="C27">
        <v>3</v>
      </c>
      <c r="D27" t="s">
        <v>145</v>
      </c>
      <c r="E27" t="s">
        <v>150</v>
      </c>
      <c r="F27" t="s">
        <v>0</v>
      </c>
      <c r="G27" t="s">
        <v>0</v>
      </c>
      <c r="H27" t="s">
        <v>1046</v>
      </c>
      <c r="I27">
        <v>14800</v>
      </c>
      <c r="J27">
        <v>0</v>
      </c>
      <c r="K27">
        <v>100</v>
      </c>
      <c r="L27">
        <v>50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368</v>
      </c>
      <c r="AC27" t="s">
        <v>369</v>
      </c>
      <c r="AD27" t="s">
        <v>370</v>
      </c>
      <c r="AE27" t="s">
        <v>4</v>
      </c>
      <c r="AF27" t="s">
        <v>1</v>
      </c>
      <c r="AG27" t="s">
        <v>1</v>
      </c>
      <c r="AH27" t="s">
        <v>237</v>
      </c>
      <c r="AI27" t="s">
        <v>371</v>
      </c>
      <c r="AJ27" t="s">
        <v>3</v>
      </c>
      <c r="AK27">
        <v>9371185321</v>
      </c>
      <c r="AL27" t="s">
        <v>3</v>
      </c>
      <c r="AM27" t="s">
        <v>3</v>
      </c>
      <c r="AN27" t="s">
        <v>3</v>
      </c>
      <c r="AO27" t="s">
        <v>237</v>
      </c>
      <c r="AP27" t="s">
        <v>3</v>
      </c>
      <c r="AQ27" t="s">
        <v>2</v>
      </c>
      <c r="AR27" t="s">
        <v>1</v>
      </c>
      <c r="AS27" t="s">
        <v>1</v>
      </c>
      <c r="AT27" t="s">
        <v>1</v>
      </c>
      <c r="AU27" t="s">
        <v>1</v>
      </c>
      <c r="AV27" t="s">
        <v>1</v>
      </c>
      <c r="AW27" t="s">
        <v>11</v>
      </c>
      <c r="AX27">
        <f>Tabla1[[#This Row],[precio del paquete]]-Tabla1[[#This Row],[Saldo_Deudor]]</f>
        <v>6000</v>
      </c>
      <c r="AY27">
        <v>8800</v>
      </c>
      <c r="AZ27" t="s">
        <v>1</v>
      </c>
      <c r="BA27" t="s">
        <v>1</v>
      </c>
      <c r="BB27" t="s">
        <v>1</v>
      </c>
      <c r="BC27" t="s">
        <v>177</v>
      </c>
      <c r="BD27" t="s">
        <v>176</v>
      </c>
      <c r="BE27" t="s">
        <v>1</v>
      </c>
      <c r="BF27" t="s">
        <v>1</v>
      </c>
      <c r="BG27" t="s">
        <v>1</v>
      </c>
      <c r="BH27" t="s">
        <v>1</v>
      </c>
      <c r="BI27" t="s">
        <v>1</v>
      </c>
      <c r="BJ27" t="s">
        <v>271</v>
      </c>
      <c r="BK27" t="s">
        <v>1</v>
      </c>
      <c r="BL27" t="s">
        <v>132</v>
      </c>
      <c r="BM27" t="s">
        <v>1</v>
      </c>
      <c r="BN27">
        <v>14800</v>
      </c>
      <c r="BO27" t="s">
        <v>1</v>
      </c>
      <c r="BP27" t="s">
        <v>1</v>
      </c>
      <c r="BQ27" t="s">
        <v>1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0</v>
      </c>
      <c r="BX27" t="s">
        <v>1</v>
      </c>
      <c r="BY27" t="s">
        <v>1</v>
      </c>
      <c r="BZ27" t="s">
        <v>1</v>
      </c>
      <c r="CA27" t="s">
        <v>1</v>
      </c>
      <c r="CB27" t="s">
        <v>277</v>
      </c>
      <c r="CD27" t="str" cm="1">
        <f t="array" aca="1" ref="CD27" ca="1">eConcatenar(A27:CB27,"|")</f>
        <v>TNWcR33lpbHXhBcN|CAR2020-5008|3|MEMORIAL|TABASCO|CARDENAS|CARDENAS|2020-11-30|14800|0|100|50|0|0|0|0|0|0|0|0|0|0|0|0|0|0|0|TORRES|SASTRE|DANIELA|SOLTERO|X|X|CARRETERA PRINCIPAL SIN NUMERO|EJIDO TIERRA Y LIBETAD|x|9371185321|x|x|x|CARRETERA PRINCIPAL SIN NUMERO|x|LUNES|X|X|X|X|X|DOMICILIO |6000|8800|X|X|X|2022-02-15|2022-02-22|X|X|X|X|X|KYMDH4NUTCJVUQD|X|HOMBRE|X|14800|X|X|X|X|X|X|X|X|CARDENAS|X|X|X|X|FINAL</v>
      </c>
    </row>
    <row r="28" spans="1:82" x14ac:dyDescent="0.25">
      <c r="A28" t="s">
        <v>372</v>
      </c>
      <c r="B28" t="s">
        <v>373</v>
      </c>
      <c r="C28">
        <v>3</v>
      </c>
      <c r="D28" t="s">
        <v>147</v>
      </c>
      <c r="E28" t="s">
        <v>150</v>
      </c>
      <c r="F28" t="s">
        <v>0</v>
      </c>
      <c r="G28" t="s">
        <v>0</v>
      </c>
      <c r="H28" t="s">
        <v>1047</v>
      </c>
      <c r="I28">
        <v>12900</v>
      </c>
      <c r="J28">
        <v>0</v>
      </c>
      <c r="K28">
        <v>100</v>
      </c>
      <c r="L28">
        <v>50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374</v>
      </c>
      <c r="AC28" t="s">
        <v>214</v>
      </c>
      <c r="AD28" t="s">
        <v>375</v>
      </c>
      <c r="AE28" t="s">
        <v>4</v>
      </c>
      <c r="AF28" t="s">
        <v>1</v>
      </c>
      <c r="AG28" t="s">
        <v>1</v>
      </c>
      <c r="AH28" t="s">
        <v>376</v>
      </c>
      <c r="AI28" t="s">
        <v>349</v>
      </c>
      <c r="AJ28" t="s">
        <v>3</v>
      </c>
      <c r="AK28">
        <v>9371185567</v>
      </c>
      <c r="AL28" t="s">
        <v>3</v>
      </c>
      <c r="AM28" t="s">
        <v>3</v>
      </c>
      <c r="AN28" t="s">
        <v>3</v>
      </c>
      <c r="AO28" t="s">
        <v>376</v>
      </c>
      <c r="AP28" t="s">
        <v>3</v>
      </c>
      <c r="AQ28" t="s">
        <v>2</v>
      </c>
      <c r="AR28" t="s">
        <v>1</v>
      </c>
      <c r="AS28" t="s">
        <v>1</v>
      </c>
      <c r="AT28" t="s">
        <v>1</v>
      </c>
      <c r="AU28" t="s">
        <v>1</v>
      </c>
      <c r="AV28" t="s">
        <v>1</v>
      </c>
      <c r="AW28" t="s">
        <v>11</v>
      </c>
      <c r="AX28">
        <f>Tabla1[[#This Row],[precio del paquete]]-Tabla1[[#This Row],[Saldo_Deudor]]</f>
        <v>250</v>
      </c>
      <c r="AY28">
        <v>12650</v>
      </c>
      <c r="AZ28" t="s">
        <v>1</v>
      </c>
      <c r="BA28" t="s">
        <v>1</v>
      </c>
      <c r="BB28" t="s">
        <v>1</v>
      </c>
      <c r="BC28" t="s">
        <v>255</v>
      </c>
      <c r="BD28" t="s">
        <v>1138</v>
      </c>
      <c r="BE28" t="s">
        <v>1</v>
      </c>
      <c r="BF28" t="s">
        <v>1</v>
      </c>
      <c r="BG28" t="s">
        <v>1</v>
      </c>
      <c r="BH28" t="s">
        <v>1</v>
      </c>
      <c r="BI28" t="s">
        <v>1</v>
      </c>
      <c r="BJ28" t="s">
        <v>271</v>
      </c>
      <c r="BK28" t="s">
        <v>1</v>
      </c>
      <c r="BL28" t="s">
        <v>132</v>
      </c>
      <c r="BM28" t="s">
        <v>1</v>
      </c>
      <c r="BN28">
        <v>12900</v>
      </c>
      <c r="BO28" t="s">
        <v>1</v>
      </c>
      <c r="BP28" t="s">
        <v>1</v>
      </c>
      <c r="BQ28" t="s">
        <v>1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277</v>
      </c>
      <c r="CD28" t="str" cm="1">
        <f t="array" aca="1" ref="CD28" ca="1">eConcatenar(A28:CB28,"|")</f>
        <v>Z1EnxbdotsJ5ZNRS|CAR2021-5428|3|ECONOLINE|TABASCO|CARDENAS|CARDENAS|2021-09-16|12900|0|100|50|0|0|0|0|0|0|0|0|0|0|0|0|0|0|0|ORDOÑEZ|PEREZ|PATRICIO|SOLTERO|X|X|EN LA ENTRADA A 100 METROS DE DEPOSITO NORA|LA PLAYITA|x|9371185567|x|x|x|EN LA ENTRADA A 100 METROS DE DEPOSITO NORA|x|LUNES|X|X|X|X|X|DOMICILIO |250|12650|X|X|X|2022-03-01|2022-03-08|X|X|X|X|X|KYMDH4NUTCJVUQD|X|HOMBRE|X|12900|X|X|X|X|X|X|X|X|CARDENAS|X|X|X|X|FINAL</v>
      </c>
    </row>
    <row r="29" spans="1:82" x14ac:dyDescent="0.25">
      <c r="A29" t="s">
        <v>377</v>
      </c>
      <c r="B29" t="s">
        <v>378</v>
      </c>
      <c r="C29">
        <v>3</v>
      </c>
      <c r="D29" t="s">
        <v>379</v>
      </c>
      <c r="E29" t="s">
        <v>150</v>
      </c>
      <c r="F29" t="s">
        <v>0</v>
      </c>
      <c r="G29" t="s">
        <v>0</v>
      </c>
      <c r="H29" t="s">
        <v>161</v>
      </c>
      <c r="I29">
        <v>14800</v>
      </c>
      <c r="J29">
        <v>0</v>
      </c>
      <c r="K29">
        <v>100</v>
      </c>
      <c r="L29">
        <v>50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215</v>
      </c>
      <c r="AC29" t="s">
        <v>216</v>
      </c>
      <c r="AD29" t="s">
        <v>380</v>
      </c>
      <c r="AE29" t="s">
        <v>4</v>
      </c>
      <c r="AF29" t="s">
        <v>1</v>
      </c>
      <c r="AG29" t="s">
        <v>1</v>
      </c>
      <c r="AH29" t="s">
        <v>381</v>
      </c>
      <c r="AI29" t="s">
        <v>382</v>
      </c>
      <c r="AJ29" t="s">
        <v>3</v>
      </c>
      <c r="AK29">
        <v>9371190495</v>
      </c>
      <c r="AL29" t="s">
        <v>3</v>
      </c>
      <c r="AM29" t="s">
        <v>3</v>
      </c>
      <c r="AN29" t="s">
        <v>3</v>
      </c>
      <c r="AO29" t="s">
        <v>381</v>
      </c>
      <c r="AP29" t="s">
        <v>3</v>
      </c>
      <c r="AQ29" t="s">
        <v>2</v>
      </c>
      <c r="AR29" t="s">
        <v>1</v>
      </c>
      <c r="AS29" t="s">
        <v>1</v>
      </c>
      <c r="AT29" t="s">
        <v>1</v>
      </c>
      <c r="AU29" t="s">
        <v>1</v>
      </c>
      <c r="AV29" t="s">
        <v>1</v>
      </c>
      <c r="AW29" t="s">
        <v>11</v>
      </c>
      <c r="AX29">
        <f>Tabla1[[#This Row],[precio del paquete]]-Tabla1[[#This Row],[Saldo_Deudor]]</f>
        <v>2100</v>
      </c>
      <c r="AY29">
        <v>12700</v>
      </c>
      <c r="AZ29" t="s">
        <v>1</v>
      </c>
      <c r="BA29" t="s">
        <v>1</v>
      </c>
      <c r="BB29" t="s">
        <v>1</v>
      </c>
      <c r="BC29" t="s">
        <v>256</v>
      </c>
      <c r="BD29" t="s">
        <v>264</v>
      </c>
      <c r="BE29" t="s">
        <v>1</v>
      </c>
      <c r="BF29" t="s">
        <v>1</v>
      </c>
      <c r="BG29" t="s">
        <v>1</v>
      </c>
      <c r="BH29" t="s">
        <v>1</v>
      </c>
      <c r="BI29" t="s">
        <v>1</v>
      </c>
      <c r="BJ29" t="s">
        <v>272</v>
      </c>
      <c r="BK29" t="s">
        <v>1</v>
      </c>
      <c r="BL29" t="s">
        <v>132</v>
      </c>
      <c r="BM29" t="s">
        <v>1</v>
      </c>
      <c r="BN29">
        <v>14800</v>
      </c>
      <c r="BO29" t="s">
        <v>1</v>
      </c>
      <c r="BP29" t="s">
        <v>1</v>
      </c>
      <c r="BQ29" t="s">
        <v>1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0</v>
      </c>
      <c r="BX29" t="s">
        <v>1</v>
      </c>
      <c r="BY29" t="s">
        <v>1</v>
      </c>
      <c r="BZ29" t="s">
        <v>1</v>
      </c>
      <c r="CA29" t="s">
        <v>1</v>
      </c>
      <c r="CB29" t="s">
        <v>277</v>
      </c>
      <c r="CD29" t="str" cm="1">
        <f t="array" aca="1" ref="CD29" ca="1">eConcatenar(A29:CB29,"|")</f>
        <v>sq3VsUFw13Fb719B|CAR2021-7269|3|MEM0RIAL|TABASCO|CARDENAS|CARDENAS|2021-11-29|14800|0|100|50|0|0|0|0|0|0|0|0|0|0|0|0|0|0|0|SANCHEZ|CHABLE|DALILA|SOLTERO|X|X|CALLE 14 MANZANA 42 LOTE 7|FRACCIONAMIENTO CAÑALES TERCERA ETAPA|x|9371190495|x|x|x|CALLE 14 MANZANA 42 LOTE 7|x|LUNES|X|X|X|X|X|DOMICILIO |2100|12700|X|X|X|2022-03-02|2022-03-09|X|X|X|X|X|QX002L6W9KVTQO|X|HOMBRE|X|14800|X|X|X|X|X|X|X|X|CARDENAS|X|X|X|X|FINAL</v>
      </c>
    </row>
    <row r="30" spans="1:82" x14ac:dyDescent="0.25">
      <c r="A30" t="s">
        <v>383</v>
      </c>
      <c r="B30" t="s">
        <v>384</v>
      </c>
      <c r="C30">
        <v>3</v>
      </c>
      <c r="D30" t="s">
        <v>146</v>
      </c>
      <c r="E30" t="s">
        <v>150</v>
      </c>
      <c r="F30" t="s">
        <v>0</v>
      </c>
      <c r="G30" t="s">
        <v>0</v>
      </c>
      <c r="H30" t="s">
        <v>161</v>
      </c>
      <c r="I30">
        <v>35000</v>
      </c>
      <c r="J30">
        <v>0</v>
      </c>
      <c r="K30">
        <v>200</v>
      </c>
      <c r="L30">
        <v>50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8</v>
      </c>
      <c r="AC30" t="s">
        <v>8</v>
      </c>
      <c r="AD30" t="s">
        <v>385</v>
      </c>
      <c r="AE30" t="s">
        <v>4</v>
      </c>
      <c r="AF30" t="s">
        <v>1</v>
      </c>
      <c r="AG30" t="s">
        <v>1</v>
      </c>
      <c r="AH30" t="s">
        <v>386</v>
      </c>
      <c r="AI30" t="s">
        <v>382</v>
      </c>
      <c r="AJ30" t="s">
        <v>3</v>
      </c>
      <c r="AK30">
        <v>9371360251</v>
      </c>
      <c r="AL30" t="s">
        <v>3</v>
      </c>
      <c r="AM30" t="s">
        <v>3</v>
      </c>
      <c r="AN30" t="s">
        <v>3</v>
      </c>
      <c r="AO30" t="s">
        <v>386</v>
      </c>
      <c r="AP30" t="s">
        <v>3</v>
      </c>
      <c r="AQ30" t="s">
        <v>2</v>
      </c>
      <c r="AR30" t="s">
        <v>1</v>
      </c>
      <c r="AS30" t="s">
        <v>1</v>
      </c>
      <c r="AT30" t="s">
        <v>1</v>
      </c>
      <c r="AU30" t="s">
        <v>1</v>
      </c>
      <c r="AV30" t="s">
        <v>1</v>
      </c>
      <c r="AW30" t="s">
        <v>11</v>
      </c>
      <c r="AX30">
        <f>Tabla1[[#This Row],[precio del paquete]]-Tabla1[[#This Row],[Saldo_Deudor]]</f>
        <v>2600</v>
      </c>
      <c r="AY30">
        <v>32400</v>
      </c>
      <c r="AZ30" t="s">
        <v>1</v>
      </c>
      <c r="BA30" t="s">
        <v>1</v>
      </c>
      <c r="BB30" t="s">
        <v>1</v>
      </c>
      <c r="BC30" t="s">
        <v>256</v>
      </c>
      <c r="BD30" t="s">
        <v>264</v>
      </c>
      <c r="BE30" t="s">
        <v>1</v>
      </c>
      <c r="BF30" t="s">
        <v>1</v>
      </c>
      <c r="BG30" t="s">
        <v>1</v>
      </c>
      <c r="BH30" t="s">
        <v>1</v>
      </c>
      <c r="BI30" t="s">
        <v>1</v>
      </c>
      <c r="BJ30" t="s">
        <v>272</v>
      </c>
      <c r="BK30" t="s">
        <v>1</v>
      </c>
      <c r="BL30" t="s">
        <v>132</v>
      </c>
      <c r="BM30" t="s">
        <v>1</v>
      </c>
      <c r="BN30">
        <v>35000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277</v>
      </c>
      <c r="CD30" t="str" cm="1">
        <f t="array" aca="1" ref="CD30" ca="1">eConcatenar(A30:CB30,"|")</f>
        <v>UIG4hox4dYapZNRu|CAR2021-7265|3|DELUX|TABASCO|CARDENAS|CARDENAS|2021-11-29|35000|0|200|50|0|0|0|0|0|0|0|0|0|0|0|0|0|0|0|GOMEZ|GOMEZ|OBET|SOLTERO|X|X|CALLE 11 LADO SUR SIN NUMERO|FRACCIONAMIENTO CAÑALES TERCERA ETAPA|x|9371360251|x|x|x|CALLE 11 LADO SUR SIN NUMERO|x|LUNES|X|X|X|X|X|DOMICILIO |2600|32400|X|X|X|2022-03-02|2022-03-09|X|X|X|X|X|QX002L6W9KVTQO|X|HOMBRE|X|35000|X|X|X|X|X|X|X|X|CARDENAS|X|X|X|X|FINAL</v>
      </c>
    </row>
    <row r="31" spans="1:82" x14ac:dyDescent="0.25">
      <c r="A31" t="s">
        <v>387</v>
      </c>
      <c r="B31" t="s">
        <v>388</v>
      </c>
      <c r="C31">
        <v>3</v>
      </c>
      <c r="D31" t="s">
        <v>147</v>
      </c>
      <c r="E31" t="s">
        <v>150</v>
      </c>
      <c r="F31" t="s">
        <v>0</v>
      </c>
      <c r="G31" t="s">
        <v>0</v>
      </c>
      <c r="H31" t="s">
        <v>1048</v>
      </c>
      <c r="I31">
        <v>12900</v>
      </c>
      <c r="J31">
        <v>0</v>
      </c>
      <c r="K31">
        <v>50</v>
      </c>
      <c r="L31">
        <v>50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389</v>
      </c>
      <c r="AC31" t="s">
        <v>390</v>
      </c>
      <c r="AD31" t="s">
        <v>188</v>
      </c>
      <c r="AE31" t="s">
        <v>4</v>
      </c>
      <c r="AF31" t="s">
        <v>1</v>
      </c>
      <c r="AG31" t="s">
        <v>1</v>
      </c>
      <c r="AH31" t="s">
        <v>391</v>
      </c>
      <c r="AI31" t="s">
        <v>392</v>
      </c>
      <c r="AJ31" t="s">
        <v>3</v>
      </c>
      <c r="AK31">
        <v>9371295906</v>
      </c>
      <c r="AL31" t="s">
        <v>3</v>
      </c>
      <c r="AM31" t="s">
        <v>3</v>
      </c>
      <c r="AN31" t="s">
        <v>3</v>
      </c>
      <c r="AO31" t="s">
        <v>391</v>
      </c>
      <c r="AP31" t="s">
        <v>3</v>
      </c>
      <c r="AQ31" t="s">
        <v>2</v>
      </c>
      <c r="AR31" t="s">
        <v>1</v>
      </c>
      <c r="AS31" t="s">
        <v>1</v>
      </c>
      <c r="AT31" t="s">
        <v>1</v>
      </c>
      <c r="AU31" t="s">
        <v>1</v>
      </c>
      <c r="AV31" t="s">
        <v>1</v>
      </c>
      <c r="AW31" t="s">
        <v>11</v>
      </c>
      <c r="AX31">
        <f>Tabla1[[#This Row],[precio del paquete]]-Tabla1[[#This Row],[Saldo_Deudor]]</f>
        <v>8350</v>
      </c>
      <c r="AY31">
        <v>4550</v>
      </c>
      <c r="AZ31" t="s">
        <v>1</v>
      </c>
      <c r="BA31" t="s">
        <v>1</v>
      </c>
      <c r="BB31" t="s">
        <v>1</v>
      </c>
      <c r="BC31" t="s">
        <v>173</v>
      </c>
      <c r="BD31" t="s">
        <v>159</v>
      </c>
      <c r="BE31" t="s">
        <v>1</v>
      </c>
      <c r="BF31" t="s">
        <v>1</v>
      </c>
      <c r="BG31" t="s">
        <v>1</v>
      </c>
      <c r="BH31" t="s">
        <v>1</v>
      </c>
      <c r="BI31" t="s">
        <v>1</v>
      </c>
      <c r="BJ31" t="s">
        <v>272</v>
      </c>
      <c r="BK31" t="s">
        <v>1</v>
      </c>
      <c r="BL31" t="s">
        <v>132</v>
      </c>
      <c r="BM31" t="s">
        <v>1</v>
      </c>
      <c r="BN31">
        <v>12900</v>
      </c>
      <c r="BO31" t="s">
        <v>1</v>
      </c>
      <c r="BP31" t="s">
        <v>1</v>
      </c>
      <c r="BQ31" t="s">
        <v>1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0</v>
      </c>
      <c r="BX31" t="s">
        <v>1</v>
      </c>
      <c r="BY31" t="s">
        <v>1</v>
      </c>
      <c r="BZ31" t="s">
        <v>1</v>
      </c>
      <c r="CA31" t="s">
        <v>1</v>
      </c>
      <c r="CB31" t="s">
        <v>277</v>
      </c>
      <c r="CD31" t="str" cm="1">
        <f t="array" aca="1" ref="CD31" ca="1">eConcatenar(A31:CB31,"|")</f>
        <v>scLqxzhFtPtYxSXu| CAR2018-1298|3|ECONOLINE|TABASCO|CARDENAS|CARDENAS|2019-07-08|12900|0|50|50|0|0|0|0|0|0|0|0|0|0|0|0|0|0|0|TEJEDA|VELAZQUEZ|RAUL|SOLTERO|X|X|CALLE 5 MANZANA 4 LOTE 6|FRACCIONAMIENTO CAÑALES SEGUNDA ETAPA|x|9371295906|x|x|x|CALLE 5 MANZANA 4 LOTE 6|x|LUNES|X|X|X|X|X|DOMICILIO |8350|4550|X|X|X|2022-02-03|2022-02-10|X|X|X|X|X|QX002L6W9KVTQO|X|HOMBRE|X|12900|X|X|X|X|X|X|X|X|CARDENAS|X|X|X|X|FINAL</v>
      </c>
    </row>
    <row r="32" spans="1:82" x14ac:dyDescent="0.25">
      <c r="A32" t="s">
        <v>393</v>
      </c>
      <c r="B32" t="s">
        <v>394</v>
      </c>
      <c r="C32">
        <v>3</v>
      </c>
      <c r="D32" t="s">
        <v>145</v>
      </c>
      <c r="E32" t="s">
        <v>150</v>
      </c>
      <c r="F32" t="s">
        <v>0</v>
      </c>
      <c r="G32" t="s">
        <v>0</v>
      </c>
      <c r="H32" t="s">
        <v>1049</v>
      </c>
      <c r="I32">
        <v>14800</v>
      </c>
      <c r="J32">
        <v>0</v>
      </c>
      <c r="K32">
        <v>100</v>
      </c>
      <c r="L32">
        <v>50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395</v>
      </c>
      <c r="AC32" t="s">
        <v>204</v>
      </c>
      <c r="AD32" t="s">
        <v>396</v>
      </c>
      <c r="AE32" t="s">
        <v>4</v>
      </c>
      <c r="AF32" t="s">
        <v>1</v>
      </c>
      <c r="AG32" t="s">
        <v>1</v>
      </c>
      <c r="AH32" t="s">
        <v>397</v>
      </c>
      <c r="AI32" t="s">
        <v>392</v>
      </c>
      <c r="AJ32" t="s">
        <v>3</v>
      </c>
      <c r="AK32">
        <v>9371654236</v>
      </c>
      <c r="AL32" t="s">
        <v>3</v>
      </c>
      <c r="AM32" t="s">
        <v>3</v>
      </c>
      <c r="AN32" t="s">
        <v>3</v>
      </c>
      <c r="AO32" t="s">
        <v>397</v>
      </c>
      <c r="AP32" t="s">
        <v>3</v>
      </c>
      <c r="AQ32" t="s">
        <v>2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11</v>
      </c>
      <c r="AX32">
        <f>Tabla1[[#This Row],[precio del paquete]]-Tabla1[[#This Row],[Saldo_Deudor]]</f>
        <v>1400</v>
      </c>
      <c r="AY32">
        <v>13400</v>
      </c>
      <c r="AZ32" t="s">
        <v>1</v>
      </c>
      <c r="BA32" t="s">
        <v>1</v>
      </c>
      <c r="BB32" t="s">
        <v>1</v>
      </c>
      <c r="BC32" t="s">
        <v>173</v>
      </c>
      <c r="BD32" t="s">
        <v>159</v>
      </c>
      <c r="BE32" t="s">
        <v>1</v>
      </c>
      <c r="BF32" t="s">
        <v>1</v>
      </c>
      <c r="BG32" t="s">
        <v>1</v>
      </c>
      <c r="BH32" t="s">
        <v>1</v>
      </c>
      <c r="BI32" t="s">
        <v>1</v>
      </c>
      <c r="BJ32" t="s">
        <v>272</v>
      </c>
      <c r="BK32" t="s">
        <v>1</v>
      </c>
      <c r="BL32" t="s">
        <v>132</v>
      </c>
      <c r="BM32" t="s">
        <v>1</v>
      </c>
      <c r="BN32">
        <v>14800</v>
      </c>
      <c r="BO32" t="s">
        <v>1</v>
      </c>
      <c r="BP32" t="s">
        <v>1</v>
      </c>
      <c r="BQ32" t="s">
        <v>1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1</v>
      </c>
      <c r="CB32" t="s">
        <v>277</v>
      </c>
      <c r="CD32" t="str" cm="1">
        <f t="array" aca="1" ref="CD32" ca="1">eConcatenar(A32:CB32,"|")</f>
        <v>opK9i1Spkn1DnFH8|CAR2021-7253|3|MEMORIAL|TABASCO|CARDENAS|CARDENAS|2021-11-27|14800|0|100|50|0|0|0|0|0|0|0|0|0|0|0|0|0|0|0|PERALTA|DIAZ|ANASTACIA|SOLTERO|X|X|CALLE MESOAMERICANA|FRACCIONAMIENTO CAÑALES SEGUNDA ETAPA|x|9371654236|x|x|x|CALLE MESOAMERICANA|x|LUNES|X|X|X|X|X|DOMICILIO |1400|13400|X|X|X|2022-02-03|2022-02-10|X|X|X|X|X|QX002L6W9KVTQO|X|HOMBRE|X|14800|X|X|X|X|X|X|X|X|CARDENAS|X|X|X|X|FINAL</v>
      </c>
    </row>
    <row r="33" spans="1:82" x14ac:dyDescent="0.25">
      <c r="A33" t="s">
        <v>398</v>
      </c>
      <c r="B33" t="s">
        <v>399</v>
      </c>
      <c r="C33">
        <v>3</v>
      </c>
      <c r="D33" t="s">
        <v>149</v>
      </c>
      <c r="E33" t="s">
        <v>150</v>
      </c>
      <c r="F33" t="s">
        <v>0</v>
      </c>
      <c r="G33" t="s">
        <v>0</v>
      </c>
      <c r="H33" t="s">
        <v>1050</v>
      </c>
      <c r="I33">
        <v>19800</v>
      </c>
      <c r="J33">
        <v>0</v>
      </c>
      <c r="K33">
        <v>200</v>
      </c>
      <c r="L33">
        <v>50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217</v>
      </c>
      <c r="AC33" t="s">
        <v>212</v>
      </c>
      <c r="AD33" t="s">
        <v>400</v>
      </c>
      <c r="AE33" t="s">
        <v>4</v>
      </c>
      <c r="AF33" t="s">
        <v>1</v>
      </c>
      <c r="AG33" t="s">
        <v>1</v>
      </c>
      <c r="AH33" t="s">
        <v>401</v>
      </c>
      <c r="AI33" t="s">
        <v>402</v>
      </c>
      <c r="AJ33" t="s">
        <v>3</v>
      </c>
      <c r="AK33">
        <v>9372284896</v>
      </c>
      <c r="AL33" t="s">
        <v>3</v>
      </c>
      <c r="AM33" t="s">
        <v>3</v>
      </c>
      <c r="AN33" t="s">
        <v>3</v>
      </c>
      <c r="AO33" t="s">
        <v>401</v>
      </c>
      <c r="AP33" t="s">
        <v>3</v>
      </c>
      <c r="AQ33" t="s">
        <v>2</v>
      </c>
      <c r="AR33" t="s">
        <v>1</v>
      </c>
      <c r="AS33" t="s">
        <v>1</v>
      </c>
      <c r="AT33" t="s">
        <v>1</v>
      </c>
      <c r="AU33" t="s">
        <v>1</v>
      </c>
      <c r="AV33" t="s">
        <v>1</v>
      </c>
      <c r="AW33" t="s">
        <v>11</v>
      </c>
      <c r="AX33">
        <f>Tabla1[[#This Row],[precio del paquete]]-Tabla1[[#This Row],[Saldo_Deudor]]</f>
        <v>5500</v>
      </c>
      <c r="AY33">
        <v>14300</v>
      </c>
      <c r="AZ33" t="s">
        <v>1</v>
      </c>
      <c r="BA33" t="s">
        <v>1</v>
      </c>
      <c r="BB33" t="s">
        <v>1</v>
      </c>
      <c r="BC33" t="s">
        <v>173</v>
      </c>
      <c r="BD33" t="s">
        <v>159</v>
      </c>
      <c r="BE33" t="s">
        <v>1</v>
      </c>
      <c r="BF33" t="s">
        <v>1</v>
      </c>
      <c r="BG33" t="s">
        <v>1</v>
      </c>
      <c r="BH33" t="s">
        <v>1</v>
      </c>
      <c r="BI33" t="s">
        <v>1</v>
      </c>
      <c r="BJ33" t="s">
        <v>272</v>
      </c>
      <c r="BK33" t="s">
        <v>1</v>
      </c>
      <c r="BL33" t="s">
        <v>132</v>
      </c>
      <c r="BM33" t="s">
        <v>1</v>
      </c>
      <c r="BN33">
        <v>19800</v>
      </c>
      <c r="BO33" t="s">
        <v>1</v>
      </c>
      <c r="BP33" t="s">
        <v>1</v>
      </c>
      <c r="BQ33" t="s">
        <v>1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0</v>
      </c>
      <c r="BX33" t="s">
        <v>1</v>
      </c>
      <c r="BY33" t="s">
        <v>1</v>
      </c>
      <c r="BZ33" t="s">
        <v>1</v>
      </c>
      <c r="CA33" t="s">
        <v>1</v>
      </c>
      <c r="CB33" t="s">
        <v>277</v>
      </c>
      <c r="CD33" t="str" cm="1">
        <f t="array" aca="1" ref="CD33" ca="1">eConcatenar(A33:CB33,"|")</f>
        <v>a8f5mPRPjlEVbVDY|CAR2020-2812|3|ZAFIRO|TABASCO|CARDENAS|CARDENAS|2020-08-29|19800|0|200|50|0|0|0|0|0|0|0|0|0|0|0|0|0|0|0|MENDEZ|DOMINGUEZ|ADRIANA|SOLTERO|X|X|CALLE DE PIZZERIA|POBLADO MIGUEL HIDALGO|x|9372284896|x|x|x|CALLE DE PIZZERIA|x|LUNES|X|X|X|X|X|DOMICILIO |5500|14300|X|X|X|2022-02-03|2022-02-10|X|X|X|X|X|QX002L6W9KVTQO|X|HOMBRE|X|19800|X|X|X|X|X|X|X|X|CARDENAS|X|X|X|X|FINAL</v>
      </c>
    </row>
    <row r="34" spans="1:82" x14ac:dyDescent="0.25">
      <c r="A34" t="s">
        <v>403</v>
      </c>
      <c r="B34" t="s">
        <v>404</v>
      </c>
      <c r="C34">
        <v>3</v>
      </c>
      <c r="D34" t="s">
        <v>144</v>
      </c>
      <c r="E34" t="s">
        <v>150</v>
      </c>
      <c r="F34" t="s">
        <v>151</v>
      </c>
      <c r="G34" t="s">
        <v>151</v>
      </c>
      <c r="H34" t="s">
        <v>1051</v>
      </c>
      <c r="I34">
        <v>12900</v>
      </c>
      <c r="J34">
        <v>0</v>
      </c>
      <c r="K34">
        <v>400</v>
      </c>
      <c r="L34">
        <v>50</v>
      </c>
      <c r="M34">
        <v>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405</v>
      </c>
      <c r="AC34" t="s">
        <v>199</v>
      </c>
      <c r="AD34" t="s">
        <v>406</v>
      </c>
      <c r="AE34" t="s">
        <v>4</v>
      </c>
      <c r="AF34" t="s">
        <v>1</v>
      </c>
      <c r="AG34" t="s">
        <v>1</v>
      </c>
      <c r="AH34" t="s">
        <v>407</v>
      </c>
      <c r="AI34" t="s">
        <v>408</v>
      </c>
      <c r="AJ34" t="s">
        <v>3</v>
      </c>
      <c r="AK34">
        <v>9331224538</v>
      </c>
      <c r="AL34" t="s">
        <v>3</v>
      </c>
      <c r="AM34" t="s">
        <v>3</v>
      </c>
      <c r="AN34" t="s">
        <v>3</v>
      </c>
      <c r="AO34" t="s">
        <v>407</v>
      </c>
      <c r="AP34" t="s">
        <v>3</v>
      </c>
      <c r="AQ34" t="s">
        <v>2</v>
      </c>
      <c r="AR34" t="s">
        <v>1</v>
      </c>
      <c r="AS34" t="s">
        <v>1</v>
      </c>
      <c r="AT34" t="s">
        <v>1</v>
      </c>
      <c r="AU34" t="s">
        <v>1</v>
      </c>
      <c r="AV34" t="s">
        <v>1</v>
      </c>
      <c r="AW34" t="s">
        <v>11</v>
      </c>
      <c r="AX34">
        <f>Tabla1[[#This Row],[precio del paquete]]-Tabla1[[#This Row],[Saldo_Deudor]]</f>
        <v>2600</v>
      </c>
      <c r="AY34">
        <v>10300</v>
      </c>
      <c r="AZ34" t="s">
        <v>1</v>
      </c>
      <c r="BA34" t="s">
        <v>1</v>
      </c>
      <c r="BB34" t="s">
        <v>1</v>
      </c>
      <c r="BC34" t="s">
        <v>1140</v>
      </c>
      <c r="BD34" t="s">
        <v>1153</v>
      </c>
      <c r="BE34" t="s">
        <v>1</v>
      </c>
      <c r="BF34" t="s">
        <v>1</v>
      </c>
      <c r="BG34" t="s">
        <v>1</v>
      </c>
      <c r="BH34" t="s">
        <v>1</v>
      </c>
      <c r="BI34" t="s">
        <v>1</v>
      </c>
      <c r="BJ34" t="s">
        <v>269</v>
      </c>
      <c r="BK34" t="s">
        <v>1</v>
      </c>
      <c r="BL34" t="s">
        <v>132</v>
      </c>
      <c r="BM34" t="s">
        <v>1</v>
      </c>
      <c r="BN34">
        <v>12900</v>
      </c>
      <c r="BO34" t="s">
        <v>1</v>
      </c>
      <c r="BP34" t="s">
        <v>1</v>
      </c>
      <c r="BQ34" t="s">
        <v>1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0</v>
      </c>
      <c r="BX34" t="s">
        <v>1</v>
      </c>
      <c r="BY34" t="s">
        <v>1</v>
      </c>
      <c r="BZ34" t="s">
        <v>1</v>
      </c>
      <c r="CA34" t="s">
        <v>1</v>
      </c>
      <c r="CB34" t="s">
        <v>277</v>
      </c>
      <c r="CD34" t="str" cm="1">
        <f t="array" aca="1" ref="CD34" ca="1">eConcatenar(A34:CB34,"|")</f>
        <v>JPmB4LPSG0zmr4xc|PAR2021-1347|3|IMPERIAL DE LUJO|TABASCO|PARAISO|PARAISO|2021-12-04|12900|0|400|50|2|0|0|0|0|0|0|0|0|0|0|0|0|0|0|CABRERA|JAVIER|LUZ|SOLTERO|X|X|CALLE ALFREDO RODRIGUEZ SANTOS|RANCHERIA QUINTIN ARAUZ|x|9331224538|x|x|x|CALLE ALFREDO RODRIGUEZ SANTOS|x|LUNES|X|X|X|X|X|DOMICILIO |2600|10300|X|X|X|2022-04-03|2022-04-10|X|X|X|X|X|QX002MIY9KVTQO|X|HOMBRE|X|12900|X|X|X|X|X|X|X|X|CARDENAS|X|X|X|X|FINAL</v>
      </c>
    </row>
    <row r="35" spans="1:82" x14ac:dyDescent="0.25">
      <c r="A35" t="s">
        <v>409</v>
      </c>
      <c r="B35" t="s">
        <v>410</v>
      </c>
      <c r="C35">
        <v>3</v>
      </c>
      <c r="D35" t="s">
        <v>145</v>
      </c>
      <c r="E35" t="s">
        <v>150</v>
      </c>
      <c r="F35" t="s">
        <v>151</v>
      </c>
      <c r="G35" t="s">
        <v>151</v>
      </c>
      <c r="H35" t="s">
        <v>1052</v>
      </c>
      <c r="I35">
        <v>14800</v>
      </c>
      <c r="J35">
        <v>0</v>
      </c>
      <c r="K35">
        <v>200</v>
      </c>
      <c r="L35">
        <v>50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217</v>
      </c>
      <c r="AC35" t="s">
        <v>218</v>
      </c>
      <c r="AD35" t="s">
        <v>411</v>
      </c>
      <c r="AE35" t="s">
        <v>4</v>
      </c>
      <c r="AF35" t="s">
        <v>1</v>
      </c>
      <c r="AG35" t="s">
        <v>1</v>
      </c>
      <c r="AH35" t="s">
        <v>237</v>
      </c>
      <c r="AI35" t="s">
        <v>412</v>
      </c>
      <c r="AJ35" t="s">
        <v>3</v>
      </c>
      <c r="AK35">
        <v>9333277514</v>
      </c>
      <c r="AL35" t="s">
        <v>3</v>
      </c>
      <c r="AM35" t="s">
        <v>3</v>
      </c>
      <c r="AN35" t="s">
        <v>3</v>
      </c>
      <c r="AO35" t="s">
        <v>237</v>
      </c>
      <c r="AP35" t="s">
        <v>3</v>
      </c>
      <c r="AQ35" t="s">
        <v>2</v>
      </c>
      <c r="AR35" t="s">
        <v>1</v>
      </c>
      <c r="AS35" t="s">
        <v>1</v>
      </c>
      <c r="AT35" t="s">
        <v>1</v>
      </c>
      <c r="AU35" t="s">
        <v>1</v>
      </c>
      <c r="AV35" t="s">
        <v>1</v>
      </c>
      <c r="AW35" t="s">
        <v>11</v>
      </c>
      <c r="AX35">
        <f>Tabla1[[#This Row],[precio del paquete]]-Tabla1[[#This Row],[Saldo_Deudor]]</f>
        <v>1800</v>
      </c>
      <c r="AY35">
        <v>13000</v>
      </c>
      <c r="AZ35" t="s">
        <v>1</v>
      </c>
      <c r="BA35" t="s">
        <v>1</v>
      </c>
      <c r="BB35" t="s">
        <v>1</v>
      </c>
      <c r="BC35" t="s">
        <v>179</v>
      </c>
      <c r="BD35" t="s">
        <v>258</v>
      </c>
      <c r="BE35" t="s">
        <v>1</v>
      </c>
      <c r="BF35" t="s">
        <v>1</v>
      </c>
      <c r="BG35" t="s">
        <v>1</v>
      </c>
      <c r="BH35" t="s">
        <v>1</v>
      </c>
      <c r="BI35" t="s">
        <v>1</v>
      </c>
      <c r="BJ35" t="s">
        <v>269</v>
      </c>
      <c r="BK35" t="s">
        <v>1</v>
      </c>
      <c r="BL35" t="s">
        <v>132</v>
      </c>
      <c r="BM35" t="s">
        <v>1</v>
      </c>
      <c r="BN35">
        <v>14800</v>
      </c>
      <c r="BO35" t="s">
        <v>1</v>
      </c>
      <c r="BP35" t="s">
        <v>1</v>
      </c>
      <c r="BQ35" t="s">
        <v>1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0</v>
      </c>
      <c r="BX35" t="s">
        <v>1</v>
      </c>
      <c r="BY35" t="s">
        <v>1</v>
      </c>
      <c r="BZ35" t="s">
        <v>1</v>
      </c>
      <c r="CA35" t="s">
        <v>1</v>
      </c>
      <c r="CB35" t="s">
        <v>277</v>
      </c>
      <c r="CD35" t="str" cm="1">
        <f t="array" aca="1" ref="CD35" ca="1">eConcatenar(A35:CB35,"|")</f>
        <v>ZgtwsQ797oUN8DEs|PAR2021-3310|3|MEMORIAL|TABASCO|PARAISO|PARAISO|2021-10-16|14800|0|200|50|1|0|0|0|0|0|0|0|0|0|0|0|0|0|0|MENDEZ|JIMENEZ|ROSSANA|SOLTERO|X|X|CARRETERA PRINCIPAL SIN NUMERO|RANCHERIA MONTE ADENTRO|x|9333277514|x|x|x|CARRETERA PRINCIPAL SIN NUMERO|x|LUNES|X|X|X|X|X|DOMICILIO |1800|13000|X|X|X|2022-02-14|2022-02-21|X|X|X|X|X|QX002MIY9KVTQO|X|HOMBRE|X|14800|X|X|X|X|X|X|X|X|CARDENAS|X|X|X|X|FINAL</v>
      </c>
    </row>
    <row r="36" spans="1:82" x14ac:dyDescent="0.25">
      <c r="A36" t="s">
        <v>413</v>
      </c>
      <c r="B36" t="s">
        <v>414</v>
      </c>
      <c r="C36">
        <v>3</v>
      </c>
      <c r="D36" t="s">
        <v>146</v>
      </c>
      <c r="E36" t="s">
        <v>150</v>
      </c>
      <c r="F36" t="s">
        <v>151</v>
      </c>
      <c r="G36" t="s">
        <v>151</v>
      </c>
      <c r="H36" t="s">
        <v>1053</v>
      </c>
      <c r="I36">
        <v>35000</v>
      </c>
      <c r="J36">
        <v>0</v>
      </c>
      <c r="K36">
        <v>300</v>
      </c>
      <c r="L36">
        <v>50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415</v>
      </c>
      <c r="AD36" t="s">
        <v>416</v>
      </c>
      <c r="AE36" t="s">
        <v>4</v>
      </c>
      <c r="AF36" t="s">
        <v>1</v>
      </c>
      <c r="AG36" t="s">
        <v>1</v>
      </c>
      <c r="AH36" t="s">
        <v>417</v>
      </c>
      <c r="AI36" t="s">
        <v>408</v>
      </c>
      <c r="AJ36" t="s">
        <v>3</v>
      </c>
      <c r="AK36">
        <v>9331063525</v>
      </c>
      <c r="AL36" t="s">
        <v>3</v>
      </c>
      <c r="AM36" t="s">
        <v>3</v>
      </c>
      <c r="AN36" t="s">
        <v>3</v>
      </c>
      <c r="AO36" t="s">
        <v>417</v>
      </c>
      <c r="AP36" t="s">
        <v>3</v>
      </c>
      <c r="AQ36" t="s">
        <v>2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11</v>
      </c>
      <c r="AX36">
        <f>Tabla1[[#This Row],[precio del paquete]]-Tabla1[[#This Row],[Saldo_Deudor]]</f>
        <v>1300</v>
      </c>
      <c r="AY36">
        <v>33700</v>
      </c>
      <c r="AZ36" t="s">
        <v>1</v>
      </c>
      <c r="BA36" t="s">
        <v>1</v>
      </c>
      <c r="BB36" t="s">
        <v>1</v>
      </c>
      <c r="BC36" t="s">
        <v>1141</v>
      </c>
      <c r="BD36" t="s">
        <v>1154</v>
      </c>
      <c r="BE36" t="s">
        <v>1</v>
      </c>
      <c r="BF36" t="s">
        <v>1</v>
      </c>
      <c r="BG36" t="s">
        <v>1</v>
      </c>
      <c r="BH36" t="s">
        <v>1</v>
      </c>
      <c r="BI36" t="s">
        <v>1</v>
      </c>
      <c r="BJ36" t="s">
        <v>269</v>
      </c>
      <c r="BK36" t="s">
        <v>1</v>
      </c>
      <c r="BL36" t="s">
        <v>132</v>
      </c>
      <c r="BM36" t="s">
        <v>1</v>
      </c>
      <c r="BN36">
        <v>35000</v>
      </c>
      <c r="BO36" t="s">
        <v>1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0</v>
      </c>
      <c r="BX36" t="s">
        <v>1</v>
      </c>
      <c r="BY36" t="s">
        <v>1</v>
      </c>
      <c r="BZ36" t="s">
        <v>1</v>
      </c>
      <c r="CA36" t="s">
        <v>1</v>
      </c>
      <c r="CB36" t="s">
        <v>277</v>
      </c>
      <c r="CD36" t="str" cm="1">
        <f t="array" aca="1" ref="CD36" ca="1">eConcatenar(A36:CB36,"|")</f>
        <v>ikgs4IVeIQXkTjOj|PAR2021-3190|3|DELUX|TABASCO|PARAISO|PARAISO|2021-10-14|35000|0|300|50|1|0|0|0|0|0|0|0|0|0|0|0|0|0|0|VERONICA||TRIDA|SOLTERO|X|X|CALLE RAMON PEREZ GALMICHA SIN NUMERO|RANCHERIA QUINTIN ARAUZ|x|9331063525|x|x|x|CALLE RAMON PEREZ GALMICHA SIN NUMERO|x|LUNES|X|X|X|X|X|DOMICILIO |1300|33700|X|X|X|2022-04-02|2022-04-09|X|X|X|X|X|QX002MIY9KVTQO|X|HOMBRE|X|35000|X|X|X|X|X|X|X|X|CARDENAS|X|X|X|X|FINAL</v>
      </c>
    </row>
    <row r="37" spans="1:82" x14ac:dyDescent="0.25">
      <c r="A37" t="s">
        <v>418</v>
      </c>
      <c r="B37" t="s">
        <v>419</v>
      </c>
      <c r="C37">
        <v>3</v>
      </c>
      <c r="D37" t="s">
        <v>144</v>
      </c>
      <c r="E37" t="s">
        <v>150</v>
      </c>
      <c r="F37" t="s">
        <v>151</v>
      </c>
      <c r="G37" t="s">
        <v>151</v>
      </c>
      <c r="H37" t="s">
        <v>1054</v>
      </c>
      <c r="I37">
        <v>12900</v>
      </c>
      <c r="J37">
        <v>0</v>
      </c>
      <c r="K37">
        <v>100</v>
      </c>
      <c r="L37">
        <v>50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420</v>
      </c>
      <c r="AC37" t="s">
        <v>205</v>
      </c>
      <c r="AD37" t="s">
        <v>189</v>
      </c>
      <c r="AE37" t="s">
        <v>4</v>
      </c>
      <c r="AF37" t="s">
        <v>1</v>
      </c>
      <c r="AG37" t="s">
        <v>1</v>
      </c>
      <c r="AH37" t="s">
        <v>421</v>
      </c>
      <c r="AI37" t="s">
        <v>422</v>
      </c>
      <c r="AJ37" t="s">
        <v>3</v>
      </c>
      <c r="AK37">
        <v>9331186103</v>
      </c>
      <c r="AL37" t="s">
        <v>3</v>
      </c>
      <c r="AM37" t="s">
        <v>3</v>
      </c>
      <c r="AN37" t="s">
        <v>3</v>
      </c>
      <c r="AO37" t="s">
        <v>421</v>
      </c>
      <c r="AP37" t="s">
        <v>3</v>
      </c>
      <c r="AQ37" t="s">
        <v>2</v>
      </c>
      <c r="AR37" t="s">
        <v>1</v>
      </c>
      <c r="AS37" t="s">
        <v>1</v>
      </c>
      <c r="AT37" t="s">
        <v>1</v>
      </c>
      <c r="AU37" t="s">
        <v>1</v>
      </c>
      <c r="AV37" t="s">
        <v>1</v>
      </c>
      <c r="AW37" t="s">
        <v>11</v>
      </c>
      <c r="AX37">
        <f>Tabla1[[#This Row],[precio del paquete]]-Tabla1[[#This Row],[Saldo_Deudor]]</f>
        <v>4000</v>
      </c>
      <c r="AY37">
        <v>8900</v>
      </c>
      <c r="AZ37" t="s">
        <v>1</v>
      </c>
      <c r="BA37" t="s">
        <v>1</v>
      </c>
      <c r="BB37" t="s">
        <v>1</v>
      </c>
      <c r="BC37" t="s">
        <v>257</v>
      </c>
      <c r="BD37" t="s">
        <v>265</v>
      </c>
      <c r="BE37" t="s">
        <v>1</v>
      </c>
      <c r="BF37" t="s">
        <v>1</v>
      </c>
      <c r="BG37" t="s">
        <v>1</v>
      </c>
      <c r="BH37" t="s">
        <v>1</v>
      </c>
      <c r="BI37" t="s">
        <v>1</v>
      </c>
      <c r="BJ37" t="s">
        <v>273</v>
      </c>
      <c r="BK37" t="s">
        <v>1</v>
      </c>
      <c r="BL37" t="s">
        <v>132</v>
      </c>
      <c r="BM37" t="s">
        <v>1</v>
      </c>
      <c r="BN37">
        <v>12900</v>
      </c>
      <c r="BO37" t="s">
        <v>1</v>
      </c>
      <c r="BP37" t="s">
        <v>1</v>
      </c>
      <c r="BQ37" t="s">
        <v>1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0</v>
      </c>
      <c r="BX37" t="s">
        <v>1</v>
      </c>
      <c r="BY37" t="s">
        <v>1</v>
      </c>
      <c r="BZ37" t="s">
        <v>1</v>
      </c>
      <c r="CA37" t="s">
        <v>1</v>
      </c>
      <c r="CB37" t="s">
        <v>277</v>
      </c>
      <c r="CD37" t="str" cm="1">
        <f t="array" aca="1" ref="CD37" ca="1">eConcatenar(A37:CB37,"|")</f>
        <v>P9Bc8xmwFOPfYs81|PAR2021-1168|3|IMPERIAL DE LUJO|TABASCO|PARAISO|PARAISO|2021-05-29|12900|0|100|50|0|0|0|0|0|0|0|0|0|0|0|0|0|0|0|VILLANUEVA|HERNANDEZ|LORENA|SOLTERO|X|X|ENTRADA EL GUENAL|POBLADO NICOLAS BRAVO|x|9331186103|x|x|x|ENTRADA EL GUENAL|x|LUNES|X|X|X|X|X|DOMICILIO |4000|8900|X|X|X|2022-07-03|2022-07-10|X|X|X|X|X|ZCEYT2126ZYSJM7|X|HOMBRE|X|12900|X|X|X|X|X|X|X|X|CARDENAS|X|X|X|X|FINAL</v>
      </c>
    </row>
    <row r="38" spans="1:82" x14ac:dyDescent="0.25">
      <c r="A38" t="s">
        <v>423</v>
      </c>
      <c r="B38" t="s">
        <v>424</v>
      </c>
      <c r="C38">
        <v>3</v>
      </c>
      <c r="D38" t="s">
        <v>145</v>
      </c>
      <c r="E38" t="s">
        <v>150</v>
      </c>
      <c r="F38" t="s">
        <v>151</v>
      </c>
      <c r="G38" t="s">
        <v>151</v>
      </c>
      <c r="H38" t="s">
        <v>162</v>
      </c>
      <c r="I38">
        <v>14800</v>
      </c>
      <c r="J38">
        <v>0</v>
      </c>
      <c r="K38">
        <v>500</v>
      </c>
      <c r="L38">
        <v>50</v>
      </c>
      <c r="M38">
        <v>2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219</v>
      </c>
      <c r="AC38" t="s">
        <v>220</v>
      </c>
      <c r="AD38" t="s">
        <v>425</v>
      </c>
      <c r="AE38" t="s">
        <v>4</v>
      </c>
      <c r="AF38" t="s">
        <v>1</v>
      </c>
      <c r="AG38" t="s">
        <v>1</v>
      </c>
      <c r="AH38" t="s">
        <v>238</v>
      </c>
      <c r="AI38" t="s">
        <v>426</v>
      </c>
      <c r="AJ38" t="s">
        <v>3</v>
      </c>
      <c r="AK38">
        <v>9331220455</v>
      </c>
      <c r="AL38" t="s">
        <v>3</v>
      </c>
      <c r="AM38" t="s">
        <v>3</v>
      </c>
      <c r="AN38" t="s">
        <v>3</v>
      </c>
      <c r="AO38" t="s">
        <v>238</v>
      </c>
      <c r="AP38" t="s">
        <v>3</v>
      </c>
      <c r="AQ38" t="s">
        <v>2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11</v>
      </c>
      <c r="AX38">
        <f>Tabla1[[#This Row],[precio del paquete]]-Tabla1[[#This Row],[Saldo_Deudor]]</f>
        <v>5250</v>
      </c>
      <c r="AY38">
        <v>9550</v>
      </c>
      <c r="AZ38" t="s">
        <v>1</v>
      </c>
      <c r="BA38" t="s">
        <v>1</v>
      </c>
      <c r="BB38" t="s">
        <v>1</v>
      </c>
      <c r="BC38" t="s">
        <v>257</v>
      </c>
      <c r="BD38" t="s">
        <v>265</v>
      </c>
      <c r="BE38" t="s">
        <v>1</v>
      </c>
      <c r="BF38" t="s">
        <v>1</v>
      </c>
      <c r="BG38" t="s">
        <v>1</v>
      </c>
      <c r="BH38" t="s">
        <v>1</v>
      </c>
      <c r="BI38" t="s">
        <v>1</v>
      </c>
      <c r="BJ38" t="s">
        <v>273</v>
      </c>
      <c r="BK38" t="s">
        <v>1</v>
      </c>
      <c r="BL38" t="s">
        <v>132</v>
      </c>
      <c r="BM38" t="s">
        <v>1</v>
      </c>
      <c r="BN38">
        <v>14800</v>
      </c>
      <c r="BO38" t="s">
        <v>1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277</v>
      </c>
      <c r="CD38" t="str" cm="1">
        <f t="array" aca="1" ref="CD38" ca="1">eConcatenar(A38:CB38,"|")</f>
        <v>tYImo38VtFNX3rmn|PAR2021-1902|3|MEMORIAL|TABASCO|PARAISO|PARAISO|2021-06-03|14800|0|500|50|2|0|0|0|0|0|0|0|0|0|0|0|0|0|0|OVANDO|DE LA O|SANTIAGO|SOLTERO|X|X|CARRETERA A CHILTEPEC SIN NUMERO|RANCHERIA NICOLAS BRAVO SEGUNDA SECCION|x|9331220455|x|x|x|CARRETERA A CHILTEPEC SIN NUMERO|x|LUNES|X|X|X|X|X|DOMICILIO |5250|9550|X|X|X|2022-07-03|2022-07-10|X|X|X|X|X|ZCEYT2126ZYSJM7|X|HOMBRE|X|14800|X|X|X|X|X|X|X|X|CARDENAS|X|X|X|X|FINAL</v>
      </c>
    </row>
    <row r="39" spans="1:82" x14ac:dyDescent="0.25">
      <c r="A39" t="s">
        <v>427</v>
      </c>
      <c r="B39" t="s">
        <v>428</v>
      </c>
      <c r="C39">
        <v>3</v>
      </c>
      <c r="D39" t="s">
        <v>149</v>
      </c>
      <c r="E39" t="s">
        <v>150</v>
      </c>
      <c r="F39" t="s">
        <v>151</v>
      </c>
      <c r="G39" t="s">
        <v>151</v>
      </c>
      <c r="H39" t="s">
        <v>1055</v>
      </c>
      <c r="I39">
        <v>19800</v>
      </c>
      <c r="J39">
        <v>0</v>
      </c>
      <c r="K39">
        <v>400</v>
      </c>
      <c r="L39">
        <v>50</v>
      </c>
      <c r="M39">
        <v>2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429</v>
      </c>
      <c r="AC39" t="s">
        <v>430</v>
      </c>
      <c r="AD39" t="s">
        <v>431</v>
      </c>
      <c r="AE39" t="s">
        <v>4</v>
      </c>
      <c r="AF39" t="s">
        <v>1</v>
      </c>
      <c r="AG39" t="s">
        <v>1</v>
      </c>
      <c r="AH39" t="s">
        <v>432</v>
      </c>
      <c r="AI39" t="s">
        <v>433</v>
      </c>
      <c r="AJ39" t="s">
        <v>3</v>
      </c>
      <c r="AK39">
        <v>9932495997</v>
      </c>
      <c r="AL39" t="s">
        <v>3</v>
      </c>
      <c r="AM39" t="s">
        <v>3</v>
      </c>
      <c r="AN39" t="s">
        <v>3</v>
      </c>
      <c r="AO39" t="s">
        <v>432</v>
      </c>
      <c r="AP39" t="s">
        <v>3</v>
      </c>
      <c r="AQ39" t="s">
        <v>2</v>
      </c>
      <c r="AR39" t="s">
        <v>1</v>
      </c>
      <c r="AS39" t="s">
        <v>1</v>
      </c>
      <c r="AT39" t="s">
        <v>1</v>
      </c>
      <c r="AU39" t="s">
        <v>1</v>
      </c>
      <c r="AV39" t="s">
        <v>1</v>
      </c>
      <c r="AW39" t="s">
        <v>11</v>
      </c>
      <c r="AX39">
        <f>Tabla1[[#This Row],[precio del paquete]]-Tabla1[[#This Row],[Saldo_Deudor]]</f>
        <v>14350</v>
      </c>
      <c r="AY39">
        <v>5450</v>
      </c>
      <c r="AZ39" t="s">
        <v>1</v>
      </c>
      <c r="BA39" t="s">
        <v>1</v>
      </c>
      <c r="BB39" t="s">
        <v>1</v>
      </c>
      <c r="BC39" t="s">
        <v>257</v>
      </c>
      <c r="BD39" t="s">
        <v>265</v>
      </c>
      <c r="BE39" t="s">
        <v>1</v>
      </c>
      <c r="BF39" t="s">
        <v>1</v>
      </c>
      <c r="BG39" t="s">
        <v>1</v>
      </c>
      <c r="BH39" t="s">
        <v>1</v>
      </c>
      <c r="BI39" t="s">
        <v>1</v>
      </c>
      <c r="BJ39" t="s">
        <v>273</v>
      </c>
      <c r="BK39" t="s">
        <v>1</v>
      </c>
      <c r="BL39" t="s">
        <v>132</v>
      </c>
      <c r="BM39" t="s">
        <v>1</v>
      </c>
      <c r="BN39">
        <v>19800</v>
      </c>
      <c r="BO39" t="s">
        <v>1</v>
      </c>
      <c r="BP39" t="s">
        <v>1</v>
      </c>
      <c r="BQ39" t="s">
        <v>1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0</v>
      </c>
      <c r="BX39" t="s">
        <v>1</v>
      </c>
      <c r="BY39" t="s">
        <v>1</v>
      </c>
      <c r="BZ39" t="s">
        <v>1</v>
      </c>
      <c r="CA39" t="s">
        <v>1</v>
      </c>
      <c r="CB39" t="s">
        <v>277</v>
      </c>
      <c r="CD39" t="str" cm="1">
        <f t="array" aca="1" ref="CD39" ca="1">eConcatenar(A39:CB39,"|")</f>
        <v>7msk4EyEaPhKF25x|PAR2019-0505|3|ZAFIRO|TABASCO|PARAISO|PARAISO|2019-02-26|19800|0|400|50|2|0|0|0|0|0|0|0|0|0|0|0|0|0|0|REYES|ROMAN|JOSEFINA|SOLTERO|X|X|CALLE NIÑOS HEORES SIN NUMERO|VILLA CHICHICAPA|x|9932495997|x|x|x|CALLE NIÑOS HEORES SIN NUMERO|x|LUNES|X|X|X|X|X|DOMICILIO |14350|5450|X|X|X|2022-07-03|2022-07-10|X|X|X|X|X|ZCEYT2126ZYSJM7|X|HOMBRE|X|19800|X|X|X|X|X|X|X|X|CARDENAS|X|X|X|X|FINAL</v>
      </c>
    </row>
    <row r="40" spans="1:82" x14ac:dyDescent="0.25">
      <c r="A40" t="s">
        <v>434</v>
      </c>
      <c r="B40" t="s">
        <v>435</v>
      </c>
      <c r="C40">
        <v>3</v>
      </c>
      <c r="D40" t="s">
        <v>149</v>
      </c>
      <c r="E40" t="s">
        <v>150</v>
      </c>
      <c r="F40" t="s">
        <v>151</v>
      </c>
      <c r="G40" t="s">
        <v>151</v>
      </c>
      <c r="H40" t="s">
        <v>1056</v>
      </c>
      <c r="I40">
        <v>19800</v>
      </c>
      <c r="J40">
        <v>0</v>
      </c>
      <c r="K40">
        <v>200</v>
      </c>
      <c r="L40">
        <v>50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212</v>
      </c>
      <c r="AC40" t="s">
        <v>436</v>
      </c>
      <c r="AD40" t="s">
        <v>437</v>
      </c>
      <c r="AE40" t="s">
        <v>4</v>
      </c>
      <c r="AF40" t="s">
        <v>1</v>
      </c>
      <c r="AG40" t="s">
        <v>1</v>
      </c>
      <c r="AH40" t="s">
        <v>239</v>
      </c>
      <c r="AI40" t="s">
        <v>239</v>
      </c>
      <c r="AJ40" t="s">
        <v>3</v>
      </c>
      <c r="AK40">
        <v>9331129735</v>
      </c>
      <c r="AL40" t="s">
        <v>3</v>
      </c>
      <c r="AM40" t="s">
        <v>3</v>
      </c>
      <c r="AN40" t="s">
        <v>3</v>
      </c>
      <c r="AO40" t="s">
        <v>239</v>
      </c>
      <c r="AP40" t="s">
        <v>3</v>
      </c>
      <c r="AQ40" t="s">
        <v>2</v>
      </c>
      <c r="AR40" t="s">
        <v>1</v>
      </c>
      <c r="AS40" t="s">
        <v>1</v>
      </c>
      <c r="AT40" t="s">
        <v>1</v>
      </c>
      <c r="AU40" t="s">
        <v>1</v>
      </c>
      <c r="AV40" t="s">
        <v>1</v>
      </c>
      <c r="AW40" t="s">
        <v>11</v>
      </c>
      <c r="AX40">
        <f>Tabla1[[#This Row],[precio del paquete]]-Tabla1[[#This Row],[Saldo_Deudor]]</f>
        <v>3300</v>
      </c>
      <c r="AY40">
        <v>16500</v>
      </c>
      <c r="AZ40" t="s">
        <v>1</v>
      </c>
      <c r="BA40" t="s">
        <v>1</v>
      </c>
      <c r="BB40" t="s">
        <v>1</v>
      </c>
      <c r="BC40" t="s">
        <v>1142</v>
      </c>
      <c r="BD40" t="s">
        <v>1155</v>
      </c>
      <c r="BE40" t="s">
        <v>1</v>
      </c>
      <c r="BF40" t="s">
        <v>1</v>
      </c>
      <c r="BG40" t="s">
        <v>1</v>
      </c>
      <c r="BH40" t="s">
        <v>1</v>
      </c>
      <c r="BI40" t="s">
        <v>1</v>
      </c>
      <c r="BJ40" t="s">
        <v>273</v>
      </c>
      <c r="BK40" t="s">
        <v>1</v>
      </c>
      <c r="BL40" t="s">
        <v>132</v>
      </c>
      <c r="BM40" t="s">
        <v>1</v>
      </c>
      <c r="BN40">
        <v>19800</v>
      </c>
      <c r="BO40" t="s">
        <v>1</v>
      </c>
      <c r="BP40" t="s">
        <v>1</v>
      </c>
      <c r="BQ40" t="s">
        <v>1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0</v>
      </c>
      <c r="BX40" t="s">
        <v>1</v>
      </c>
      <c r="BY40" t="s">
        <v>1</v>
      </c>
      <c r="BZ40" t="s">
        <v>1</v>
      </c>
      <c r="CA40" t="s">
        <v>1</v>
      </c>
      <c r="CB40" t="s">
        <v>277</v>
      </c>
      <c r="CD40" t="str" cm="1">
        <f t="array" aca="1" ref="CD40" ca="1">eConcatenar(A40:CB40,"|")</f>
        <v>oyGweZCND5xg2YMn|PAR2021-1509|3|ZAFIRO|TABASCO|PARAISO|PARAISO|2021-04-24|19800|0|200|50|0|0|0|0|0|0|0|0|0|0|0|0|0|0|0|DOMINGUEZ|MARQUEZ|EDUARDO|SOLTERO|X|X|FRACCIONAMIENTO LAS ROSAS|FRACCIONAMIENTO LAS ROSAS|x|9331129735|x|x|x|FRACCIONAMIENTO LAS ROSAS|x|LUNES|X|X|X|X|X|DOMICILIO |3300|16500|X|X|X|2022-08-03|2022-08-10|X|X|X|X|X|ZCEYT2126ZYSJM7|X|HOMBRE|X|19800|X|X|X|X|X|X|X|X|CARDENAS|X|X|X|X|FINAL</v>
      </c>
    </row>
    <row r="41" spans="1:82" x14ac:dyDescent="0.25">
      <c r="A41" t="s">
        <v>438</v>
      </c>
      <c r="B41" t="s">
        <v>439</v>
      </c>
      <c r="C41">
        <v>3</v>
      </c>
      <c r="D41" t="s">
        <v>145</v>
      </c>
      <c r="E41" t="s">
        <v>150</v>
      </c>
      <c r="F41" t="s">
        <v>151</v>
      </c>
      <c r="G41" t="s">
        <v>151</v>
      </c>
      <c r="H41" t="s">
        <v>1057</v>
      </c>
      <c r="I41">
        <v>14800</v>
      </c>
      <c r="J41">
        <v>0</v>
      </c>
      <c r="K41">
        <v>100</v>
      </c>
      <c r="L41">
        <v>50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209</v>
      </c>
      <c r="AC41" t="s">
        <v>205</v>
      </c>
      <c r="AD41" t="s">
        <v>440</v>
      </c>
      <c r="AE41" t="s">
        <v>4</v>
      </c>
      <c r="AF41" t="s">
        <v>1</v>
      </c>
      <c r="AG41" t="s">
        <v>1</v>
      </c>
      <c r="AH41" t="s">
        <v>441</v>
      </c>
      <c r="AI41" t="s">
        <v>441</v>
      </c>
      <c r="AJ41" t="s">
        <v>3</v>
      </c>
      <c r="AK41">
        <v>9331010096</v>
      </c>
      <c r="AL41" t="s">
        <v>3</v>
      </c>
      <c r="AM41" t="s">
        <v>3</v>
      </c>
      <c r="AN41" t="s">
        <v>3</v>
      </c>
      <c r="AO41" t="s">
        <v>441</v>
      </c>
      <c r="AP41" t="s">
        <v>3</v>
      </c>
      <c r="AQ41" t="s">
        <v>2</v>
      </c>
      <c r="AR41" t="s">
        <v>1</v>
      </c>
      <c r="AS41" t="s">
        <v>1</v>
      </c>
      <c r="AT41" t="s">
        <v>1</v>
      </c>
      <c r="AU41" t="s">
        <v>1</v>
      </c>
      <c r="AV41" t="s">
        <v>1</v>
      </c>
      <c r="AW41" t="s">
        <v>11</v>
      </c>
      <c r="AX41">
        <f>Tabla1[[#This Row],[precio del paquete]]-Tabla1[[#This Row],[Saldo_Deudor]]</f>
        <v>2500</v>
      </c>
      <c r="AY41">
        <v>12300</v>
      </c>
      <c r="AZ41" t="s">
        <v>1</v>
      </c>
      <c r="BA41" t="s">
        <v>1</v>
      </c>
      <c r="BB41" t="s">
        <v>1</v>
      </c>
      <c r="BC41" t="s">
        <v>1142</v>
      </c>
      <c r="BD41" t="s">
        <v>1155</v>
      </c>
      <c r="BE41" t="s">
        <v>1</v>
      </c>
      <c r="BF41" t="s">
        <v>1</v>
      </c>
      <c r="BG41" t="s">
        <v>1</v>
      </c>
      <c r="BH41" t="s">
        <v>1</v>
      </c>
      <c r="BI41" t="s">
        <v>1</v>
      </c>
      <c r="BJ41" t="s">
        <v>273</v>
      </c>
      <c r="BK41" t="s">
        <v>1</v>
      </c>
      <c r="BL41" t="s">
        <v>132</v>
      </c>
      <c r="BM41" t="s">
        <v>1</v>
      </c>
      <c r="BN41">
        <v>14800</v>
      </c>
      <c r="BO41" t="s">
        <v>1</v>
      </c>
      <c r="BP41" t="s">
        <v>1</v>
      </c>
      <c r="BQ41" t="s">
        <v>1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0</v>
      </c>
      <c r="BX41" t="s">
        <v>1</v>
      </c>
      <c r="BY41" t="s">
        <v>1</v>
      </c>
      <c r="BZ41" t="s">
        <v>1</v>
      </c>
      <c r="CA41" t="s">
        <v>1</v>
      </c>
      <c r="CB41" t="s">
        <v>277</v>
      </c>
      <c r="CD41" t="str" cm="1">
        <f t="array" aca="1" ref="CD41" ca="1">eConcatenar(A41:CB41,"|")</f>
        <v>6heYMUEJEDvPIr87|PAR2021-2783|3|MEMORIAL|TABASCO|PARAISO|PARAISO|2021-06-09|14800|0|100|50|0|0|0|0|0|0|0|0|0|0|0|0|0|0|0|CORDOVA|HERNANDEZ|FELIPE ANGEL|SOLTERO|X|X|RANCHERIA SUR PRIMERA SECCION|RANCHERIA SUR PRIMERA SECCION|x|9331010096|x|x|x|RANCHERIA SUR PRIMERA SECCION|x|LUNES|X|X|X|X|X|DOMICILIO |2500|12300|X|X|X|2022-08-03|2022-08-10|X|X|X|X|X|ZCEYT2126ZYSJM7|X|HOMBRE|X|14800|X|X|X|X|X|X|X|X|CARDENAS|X|X|X|X|FINAL</v>
      </c>
    </row>
    <row r="42" spans="1:82" x14ac:dyDescent="0.25">
      <c r="A42" t="s">
        <v>442</v>
      </c>
      <c r="B42" t="s">
        <v>443</v>
      </c>
      <c r="C42">
        <v>3</v>
      </c>
      <c r="D42" t="s">
        <v>145</v>
      </c>
      <c r="E42" t="s">
        <v>150</v>
      </c>
      <c r="F42" t="s">
        <v>151</v>
      </c>
      <c r="G42" t="s">
        <v>151</v>
      </c>
      <c r="H42" t="s">
        <v>1058</v>
      </c>
      <c r="I42">
        <v>14800</v>
      </c>
      <c r="J42">
        <v>0</v>
      </c>
      <c r="K42">
        <v>100</v>
      </c>
      <c r="L42">
        <v>50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444</v>
      </c>
      <c r="AC42" t="s">
        <v>205</v>
      </c>
      <c r="AD42" t="s">
        <v>190</v>
      </c>
      <c r="AE42" t="s">
        <v>4</v>
      </c>
      <c r="AF42" t="s">
        <v>1</v>
      </c>
      <c r="AG42" t="s">
        <v>1</v>
      </c>
      <c r="AH42" t="s">
        <v>240</v>
      </c>
      <c r="AI42" t="s">
        <v>445</v>
      </c>
      <c r="AJ42" t="s">
        <v>3</v>
      </c>
      <c r="AK42">
        <v>9331010096</v>
      </c>
      <c r="AL42" t="s">
        <v>3</v>
      </c>
      <c r="AM42" t="s">
        <v>3</v>
      </c>
      <c r="AN42" t="s">
        <v>3</v>
      </c>
      <c r="AO42" t="s">
        <v>240</v>
      </c>
      <c r="AP42" t="s">
        <v>3</v>
      </c>
      <c r="AQ42" t="s">
        <v>2</v>
      </c>
      <c r="AR42" t="s">
        <v>1</v>
      </c>
      <c r="AS42" t="s">
        <v>1</v>
      </c>
      <c r="AT42" t="s">
        <v>1</v>
      </c>
      <c r="AU42" t="s">
        <v>1</v>
      </c>
      <c r="AV42" t="s">
        <v>1</v>
      </c>
      <c r="AW42" t="s">
        <v>11</v>
      </c>
      <c r="AX42">
        <f>Tabla1[[#This Row],[precio del paquete]]-Tabla1[[#This Row],[Saldo_Deudor]]</f>
        <v>2500</v>
      </c>
      <c r="AY42">
        <v>12300</v>
      </c>
      <c r="AZ42" t="s">
        <v>1</v>
      </c>
      <c r="BA42" t="s">
        <v>1</v>
      </c>
      <c r="BB42" t="s">
        <v>1</v>
      </c>
      <c r="BC42" t="s">
        <v>1142</v>
      </c>
      <c r="BD42" t="s">
        <v>1155</v>
      </c>
      <c r="BE42" t="s">
        <v>1</v>
      </c>
      <c r="BF42" t="s">
        <v>1</v>
      </c>
      <c r="BG42" t="s">
        <v>1</v>
      </c>
      <c r="BH42" t="s">
        <v>1</v>
      </c>
      <c r="BI42" t="s">
        <v>1</v>
      </c>
      <c r="BJ42" t="s">
        <v>273</v>
      </c>
      <c r="BK42" t="s">
        <v>1</v>
      </c>
      <c r="BL42" t="s">
        <v>132</v>
      </c>
      <c r="BM42" t="s">
        <v>1</v>
      </c>
      <c r="BN42">
        <v>14800</v>
      </c>
      <c r="BO42" t="s">
        <v>1</v>
      </c>
      <c r="BP42" t="s">
        <v>1</v>
      </c>
      <c r="BQ42" t="s">
        <v>1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0</v>
      </c>
      <c r="BX42" t="s">
        <v>1</v>
      </c>
      <c r="BY42" t="s">
        <v>1</v>
      </c>
      <c r="BZ42" t="s">
        <v>1</v>
      </c>
      <c r="CA42" t="s">
        <v>1</v>
      </c>
      <c r="CB42" t="s">
        <v>277</v>
      </c>
      <c r="CD42" t="str" cm="1">
        <f t="array" aca="1" ref="CD42" ca="1">eConcatenar(A42:CB42,"|")</f>
        <v>qYCwXVufKlAYOWKA|PAR2021-2780|3|MEMORIAL|TABASCO|PARAISO|PARAISO|2021-09-06|14800|0|100|50|0|0|0|0|0|0|0|0|0|0|0|0|0|0|0|ZACARIAS|HERNANDEZ|JOSE LUIS|SOLTERO|X|X|CALLE EMILIANO ZAPATA|COLONIA SANTA AMALIA|x|9331010096|x|x|x|CALLE EMILIANO ZAPATA|x|LUNES|X|X|X|X|X|DOMICILIO |2500|12300|X|X|X|2022-08-03|2022-08-10|X|X|X|X|X|ZCEYT2126ZYSJM7|X|HOMBRE|X|14800|X|X|X|X|X|X|X|X|CARDENAS|X|X|X|X|FINAL</v>
      </c>
    </row>
    <row r="43" spans="1:82" x14ac:dyDescent="0.25">
      <c r="A43" t="s">
        <v>446</v>
      </c>
      <c r="B43" t="s">
        <v>447</v>
      </c>
      <c r="C43">
        <v>3</v>
      </c>
      <c r="D43" t="s">
        <v>145</v>
      </c>
      <c r="E43" t="s">
        <v>150</v>
      </c>
      <c r="F43" t="s">
        <v>151</v>
      </c>
      <c r="G43" t="s">
        <v>151</v>
      </c>
      <c r="H43" t="s">
        <v>163</v>
      </c>
      <c r="I43">
        <v>14800</v>
      </c>
      <c r="J43">
        <v>0</v>
      </c>
      <c r="K43">
        <v>100</v>
      </c>
      <c r="L43">
        <v>50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448</v>
      </c>
      <c r="AC43" t="s">
        <v>205</v>
      </c>
      <c r="AD43" t="s">
        <v>449</v>
      </c>
      <c r="AE43" t="s">
        <v>4</v>
      </c>
      <c r="AF43" t="s">
        <v>1</v>
      </c>
      <c r="AG43" t="s">
        <v>1</v>
      </c>
      <c r="AH43" t="s">
        <v>450</v>
      </c>
      <c r="AI43" t="s">
        <v>441</v>
      </c>
      <c r="AJ43" t="s">
        <v>3</v>
      </c>
      <c r="AK43">
        <v>5568900173</v>
      </c>
      <c r="AL43" t="s">
        <v>3</v>
      </c>
      <c r="AM43" t="s">
        <v>3</v>
      </c>
      <c r="AN43" t="s">
        <v>3</v>
      </c>
      <c r="AO43" t="s">
        <v>450</v>
      </c>
      <c r="AP43" t="s">
        <v>3</v>
      </c>
      <c r="AQ43" t="s">
        <v>2</v>
      </c>
      <c r="AR43" t="s">
        <v>1</v>
      </c>
      <c r="AS43" t="s">
        <v>1</v>
      </c>
      <c r="AT43" t="s">
        <v>1</v>
      </c>
      <c r="AU43" t="s">
        <v>1</v>
      </c>
      <c r="AV43" t="s">
        <v>1</v>
      </c>
      <c r="AW43" t="s">
        <v>11</v>
      </c>
      <c r="AX43">
        <f>Tabla1[[#This Row],[precio del paquete]]-Tabla1[[#This Row],[Saldo_Deudor]]</f>
        <v>1400</v>
      </c>
      <c r="AY43">
        <v>13400</v>
      </c>
      <c r="AZ43" t="s">
        <v>1</v>
      </c>
      <c r="BA43" t="s">
        <v>1</v>
      </c>
      <c r="BB43" t="s">
        <v>1</v>
      </c>
      <c r="BC43" t="s">
        <v>1142</v>
      </c>
      <c r="BD43" t="s">
        <v>1155</v>
      </c>
      <c r="BE43" t="s">
        <v>1</v>
      </c>
      <c r="BF43" t="s">
        <v>1</v>
      </c>
      <c r="BG43" t="s">
        <v>1</v>
      </c>
      <c r="BH43" t="s">
        <v>1</v>
      </c>
      <c r="BI43" t="s">
        <v>1</v>
      </c>
      <c r="BJ43" t="s">
        <v>273</v>
      </c>
      <c r="BK43" t="s">
        <v>1</v>
      </c>
      <c r="BL43" t="s">
        <v>132</v>
      </c>
      <c r="BM43" t="s">
        <v>1</v>
      </c>
      <c r="BN43">
        <v>14800</v>
      </c>
      <c r="BO43" t="s">
        <v>1</v>
      </c>
      <c r="BP43" t="s">
        <v>1</v>
      </c>
      <c r="BQ43" t="s">
        <v>1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0</v>
      </c>
      <c r="BX43" t="s">
        <v>1</v>
      </c>
      <c r="BY43" t="s">
        <v>1</v>
      </c>
      <c r="BZ43" t="s">
        <v>1</v>
      </c>
      <c r="CA43" t="s">
        <v>1</v>
      </c>
      <c r="CB43" t="s">
        <v>277</v>
      </c>
      <c r="CD43" t="str" cm="1">
        <f t="array" aca="1" ref="CD43" ca="1">eConcatenar(A43:CB43,"|")</f>
        <v>tuh4rL0z3pqJXKat|PAR2021-3981|3|MEMORIAL|TABASCO|PARAISO|PARAISO|2021-12-16|14800|0|100|50|0|0|0|0|0|0|0|0|0|0|0|0|0|0|0|KRISTEL|HERNANDEZ|SANDY|SOLTERO|X|X|CALLE MORELOS|RANCHERIA SUR PRIMERA SECCION|x|5568900173|x|x|x|CALLE MORELOS|x|LUNES|X|X|X|X|X|DOMICILIO |1400|13400|X|X|X|2022-08-03|2022-08-10|X|X|X|X|X|ZCEYT2126ZYSJM7|X|HOMBRE|X|14800|X|X|X|X|X|X|X|X|CARDENAS|X|X|X|X|FINAL</v>
      </c>
    </row>
    <row r="44" spans="1:82" x14ac:dyDescent="0.25">
      <c r="A44" t="s">
        <v>451</v>
      </c>
      <c r="B44" t="s">
        <v>452</v>
      </c>
      <c r="C44">
        <v>3</v>
      </c>
      <c r="D44" t="s">
        <v>148</v>
      </c>
      <c r="E44" t="s">
        <v>150</v>
      </c>
      <c r="F44" t="s">
        <v>151</v>
      </c>
      <c r="G44" t="s">
        <v>151</v>
      </c>
      <c r="H44" t="s">
        <v>164</v>
      </c>
      <c r="I44">
        <v>24500</v>
      </c>
      <c r="J44">
        <v>4100</v>
      </c>
      <c r="K44">
        <v>100</v>
      </c>
      <c r="L44">
        <v>50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311</v>
      </c>
      <c r="AC44" t="s">
        <v>221</v>
      </c>
      <c r="AD44" t="s">
        <v>453</v>
      </c>
      <c r="AE44" t="s">
        <v>4</v>
      </c>
      <c r="AF44" t="s">
        <v>1</v>
      </c>
      <c r="AG44" t="s">
        <v>1</v>
      </c>
      <c r="AH44" t="s">
        <v>237</v>
      </c>
      <c r="AI44" t="s">
        <v>441</v>
      </c>
      <c r="AJ44" t="s">
        <v>3</v>
      </c>
      <c r="AK44">
        <v>9331605445</v>
      </c>
      <c r="AL44" t="s">
        <v>3</v>
      </c>
      <c r="AM44" t="s">
        <v>3</v>
      </c>
      <c r="AN44" t="s">
        <v>3</v>
      </c>
      <c r="AO44" t="s">
        <v>237</v>
      </c>
      <c r="AP44" t="s">
        <v>3</v>
      </c>
      <c r="AQ44" t="s">
        <v>2</v>
      </c>
      <c r="AR44" t="s">
        <v>1</v>
      </c>
      <c r="AS44" t="s">
        <v>1</v>
      </c>
      <c r="AT44" t="s">
        <v>1</v>
      </c>
      <c r="AU44" t="s">
        <v>1</v>
      </c>
      <c r="AV44" t="s">
        <v>1</v>
      </c>
      <c r="AW44" t="s">
        <v>11</v>
      </c>
      <c r="AX44">
        <f>Tabla1[[#This Row],[precio del paquete]]-Tabla1[[#This Row],[Saldo_Deudor]]</f>
        <v>5700</v>
      </c>
      <c r="AY44">
        <v>18800</v>
      </c>
      <c r="AZ44" t="s">
        <v>1</v>
      </c>
      <c r="BA44" t="s">
        <v>1</v>
      </c>
      <c r="BB44" t="s">
        <v>1</v>
      </c>
      <c r="BC44" t="s">
        <v>1138</v>
      </c>
      <c r="BD44" t="s">
        <v>1151</v>
      </c>
      <c r="BE44" t="s">
        <v>1</v>
      </c>
      <c r="BF44" t="s">
        <v>1</v>
      </c>
      <c r="BG44" t="s">
        <v>1</v>
      </c>
      <c r="BH44" t="s">
        <v>1</v>
      </c>
      <c r="BI44" t="s">
        <v>1</v>
      </c>
      <c r="BJ44" t="s">
        <v>273</v>
      </c>
      <c r="BK44" t="s">
        <v>1</v>
      </c>
      <c r="BL44" t="s">
        <v>132</v>
      </c>
      <c r="BM44" t="s">
        <v>1</v>
      </c>
      <c r="BN44">
        <v>24500</v>
      </c>
      <c r="BO44" t="s">
        <v>1</v>
      </c>
      <c r="BP44" t="s">
        <v>1</v>
      </c>
      <c r="BQ44" t="s">
        <v>1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0</v>
      </c>
      <c r="BX44" t="s">
        <v>1</v>
      </c>
      <c r="BY44" t="s">
        <v>1</v>
      </c>
      <c r="BZ44" t="s">
        <v>1</v>
      </c>
      <c r="CA44" t="s">
        <v>1</v>
      </c>
      <c r="CB44" t="s">
        <v>277</v>
      </c>
      <c r="CD44" t="str" cm="1">
        <f t="array" aca="1" ref="CD44" ca="1">eConcatenar(A44:CB44,"|")</f>
        <v>pnqkeYDxSBec5MWl|PAR2021-3758|3|DIGNITY|TABASCO|PARAISO|PARAISO|2021-11-23|24500|4100|100|50|0|0|0|0|0|0|0|0|0|0|0|0|0|0|0|VALENCIA|HERRERA|GERARDO|SOLTERO|X|X|CARRETERA PRINCIPAL SIN NUMERO|RANCHERIA SUR PRIMERA SECCION|x|9331605445|x|x|x|CARRETERA PRINCIPAL SIN NUMERO|x|LUNES|X|X|X|X|X|DOMICILIO |5700|18800|X|X|X|2022-03-08|2022-03-15|X|X|X|X|X|ZCEYT2126ZYSJM7|X|HOMBRE|X|24500|X|X|X|X|X|X|X|X|CARDENAS|X|X|X|X|FINAL</v>
      </c>
    </row>
    <row r="45" spans="1:82" x14ac:dyDescent="0.25">
      <c r="A45" t="s">
        <v>454</v>
      </c>
      <c r="B45" t="s">
        <v>455</v>
      </c>
      <c r="C45">
        <v>3</v>
      </c>
      <c r="D45" t="s">
        <v>147</v>
      </c>
      <c r="E45" t="s">
        <v>150</v>
      </c>
      <c r="F45" t="s">
        <v>151</v>
      </c>
      <c r="G45" t="s">
        <v>151</v>
      </c>
      <c r="H45" t="s">
        <v>1059</v>
      </c>
      <c r="I45">
        <v>12900</v>
      </c>
      <c r="J45">
        <v>0</v>
      </c>
      <c r="K45">
        <v>100</v>
      </c>
      <c r="L45">
        <v>50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205</v>
      </c>
      <c r="AC45" t="s">
        <v>203</v>
      </c>
      <c r="AD45" t="s">
        <v>456</v>
      </c>
      <c r="AE45" t="s">
        <v>4</v>
      </c>
      <c r="AF45" t="s">
        <v>1</v>
      </c>
      <c r="AG45" t="s">
        <v>1</v>
      </c>
      <c r="AH45" t="s">
        <v>457</v>
      </c>
      <c r="AI45" t="s">
        <v>458</v>
      </c>
      <c r="AJ45" t="s">
        <v>3</v>
      </c>
      <c r="AK45">
        <v>9331070528</v>
      </c>
      <c r="AL45" t="s">
        <v>3</v>
      </c>
      <c r="AM45" t="s">
        <v>3</v>
      </c>
      <c r="AN45" t="s">
        <v>3</v>
      </c>
      <c r="AO45" t="s">
        <v>457</v>
      </c>
      <c r="AP45" t="s">
        <v>3</v>
      </c>
      <c r="AQ45" t="s">
        <v>2</v>
      </c>
      <c r="AR45" t="s">
        <v>1</v>
      </c>
      <c r="AS45" t="s">
        <v>1</v>
      </c>
      <c r="AT45" t="s">
        <v>1</v>
      </c>
      <c r="AU45" t="s">
        <v>1</v>
      </c>
      <c r="AV45" t="s">
        <v>1</v>
      </c>
      <c r="AW45" t="s">
        <v>11</v>
      </c>
      <c r="AX45">
        <f>Tabla1[[#This Row],[precio del paquete]]-Tabla1[[#This Row],[Saldo_Deudor]]</f>
        <v>8300</v>
      </c>
      <c r="AY45">
        <v>4600</v>
      </c>
      <c r="AZ45" t="s">
        <v>1</v>
      </c>
      <c r="BA45" t="s">
        <v>1</v>
      </c>
      <c r="BB45" t="s">
        <v>1</v>
      </c>
      <c r="BC45" t="s">
        <v>1143</v>
      </c>
      <c r="BD45" t="s">
        <v>1156</v>
      </c>
      <c r="BE45" t="s">
        <v>1</v>
      </c>
      <c r="BF45" t="s">
        <v>1</v>
      </c>
      <c r="BG45" t="s">
        <v>1</v>
      </c>
      <c r="BH45" t="s">
        <v>1</v>
      </c>
      <c r="BI45" t="s">
        <v>1</v>
      </c>
      <c r="BJ45" t="s">
        <v>273</v>
      </c>
      <c r="BK45" t="s">
        <v>1</v>
      </c>
      <c r="BL45" t="s">
        <v>132</v>
      </c>
      <c r="BM45" t="s">
        <v>1</v>
      </c>
      <c r="BN45">
        <v>12900</v>
      </c>
      <c r="BO45" t="s">
        <v>1</v>
      </c>
      <c r="BP45" t="s">
        <v>1</v>
      </c>
      <c r="BQ45" t="s">
        <v>1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0</v>
      </c>
      <c r="BX45" t="s">
        <v>1</v>
      </c>
      <c r="BY45" t="s">
        <v>1</v>
      </c>
      <c r="BZ45" t="s">
        <v>1</v>
      </c>
      <c r="CA45" t="s">
        <v>1</v>
      </c>
      <c r="CB45" t="s">
        <v>277</v>
      </c>
      <c r="CD45" t="str" cm="1">
        <f t="array" aca="1" ref="CD45" ca="1">eConcatenar(A45:CB45,"|")</f>
        <v>OPauUnf7rPIgT9Ie|PAR2019-1403|3|ECONOLINE|TABASCO|PARAISO|PARAISO|2019-05-28|12900|0|100|50|0|0|0|0|0|0|0|0|0|0|0|0|0|0|0|HERNANDEZ|GARCIA|JOSE GUADALUPE|SOLTERO|X|X|ORIENTE SEXTA|RANCHERIA ORIENTE SEXTA SECCION|x|9331070528|x|x|x|ORIENTE SEXTA|x|LUNES|X|X|X|X|X|DOMICILIO |8300|4600|X|X|X|2022-09-03|2022-09-10|X|X|X|X|X|ZCEYT2126ZYSJM7|X|HOMBRE|X|12900|X|X|X|X|X|X|X|X|CARDENAS|X|X|X|X|FINAL</v>
      </c>
    </row>
    <row r="46" spans="1:82" x14ac:dyDescent="0.25">
      <c r="A46" t="s">
        <v>459</v>
      </c>
      <c r="B46" t="s">
        <v>460</v>
      </c>
      <c r="C46">
        <v>3</v>
      </c>
      <c r="D46" t="s">
        <v>145</v>
      </c>
      <c r="E46" t="s">
        <v>150</v>
      </c>
      <c r="F46" t="s">
        <v>151</v>
      </c>
      <c r="G46" t="s">
        <v>151</v>
      </c>
      <c r="H46" t="s">
        <v>1060</v>
      </c>
      <c r="I46">
        <v>14800</v>
      </c>
      <c r="J46">
        <v>0</v>
      </c>
      <c r="K46">
        <v>150</v>
      </c>
      <c r="L46">
        <v>50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461</v>
      </c>
      <c r="AC46" t="s">
        <v>461</v>
      </c>
      <c r="AD46" t="s">
        <v>462</v>
      </c>
      <c r="AE46" t="s">
        <v>4</v>
      </c>
      <c r="AF46" t="s">
        <v>1</v>
      </c>
      <c r="AG46" t="s">
        <v>1</v>
      </c>
      <c r="AH46" t="s">
        <v>463</v>
      </c>
      <c r="AI46" t="s">
        <v>318</v>
      </c>
      <c r="AJ46" t="s">
        <v>3</v>
      </c>
      <c r="AK46">
        <v>9331052824</v>
      </c>
      <c r="AL46" t="s">
        <v>3</v>
      </c>
      <c r="AM46" t="s">
        <v>3</v>
      </c>
      <c r="AN46" t="s">
        <v>3</v>
      </c>
      <c r="AO46" t="s">
        <v>463</v>
      </c>
      <c r="AP46" t="s">
        <v>3</v>
      </c>
      <c r="AQ46" t="s">
        <v>2</v>
      </c>
      <c r="AR46" t="s">
        <v>1</v>
      </c>
      <c r="AS46" t="s">
        <v>1</v>
      </c>
      <c r="AT46" t="s">
        <v>1</v>
      </c>
      <c r="AU46" t="s">
        <v>1</v>
      </c>
      <c r="AV46" t="s">
        <v>1</v>
      </c>
      <c r="AW46" t="s">
        <v>11</v>
      </c>
      <c r="AX46">
        <f>Tabla1[[#This Row],[precio del paquete]]-Tabla1[[#This Row],[Saldo_Deudor]]</f>
        <v>1350</v>
      </c>
      <c r="AY46">
        <v>13450</v>
      </c>
      <c r="AZ46" t="s">
        <v>1</v>
      </c>
      <c r="BA46" t="s">
        <v>1</v>
      </c>
      <c r="BB46" t="s">
        <v>1</v>
      </c>
      <c r="BC46" t="s">
        <v>1142</v>
      </c>
      <c r="BD46" t="s">
        <v>1155</v>
      </c>
      <c r="BE46" t="s">
        <v>1</v>
      </c>
      <c r="BF46" t="s">
        <v>1</v>
      </c>
      <c r="BG46" t="s">
        <v>1</v>
      </c>
      <c r="BH46" t="s">
        <v>1</v>
      </c>
      <c r="BI46" t="s">
        <v>1</v>
      </c>
      <c r="BJ46" t="s">
        <v>273</v>
      </c>
      <c r="BK46" t="s">
        <v>1</v>
      </c>
      <c r="BL46" t="s">
        <v>132</v>
      </c>
      <c r="BM46" t="s">
        <v>1</v>
      </c>
      <c r="BN46">
        <v>14800</v>
      </c>
      <c r="BO46" t="s">
        <v>1</v>
      </c>
      <c r="BP46" t="s">
        <v>1</v>
      </c>
      <c r="BQ46" t="s">
        <v>1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0</v>
      </c>
      <c r="BX46" t="s">
        <v>1</v>
      </c>
      <c r="BY46" t="s">
        <v>1</v>
      </c>
      <c r="BZ46" t="s">
        <v>1</v>
      </c>
      <c r="CA46" t="s">
        <v>1</v>
      </c>
      <c r="CB46" t="s">
        <v>277</v>
      </c>
      <c r="CD46" t="str" cm="1">
        <f t="array" aca="1" ref="CD46" ca="1">eConcatenar(A46:CB46,"|")</f>
        <v>KhIVYd4qLq7Qrg0f|PAR2021-6632|3|MEMORIAL|TABASCO|PARAISO|PARAISO|2021-03-11|14800|0|150|50|0|0|0|0|0|0|0|0|0|0|0|0|0|0|0|TIQUET|TIQUET|YARETH|SOLTERO|X|X|CARRETERA CARDENAS-COMALCALCO|RANCHERIA ORIENTE SEGUNDA SECCION|x|9331052824|x|x|x|CARRETERA CARDENAS-COMALCALCO|x|LUNES|X|X|X|X|X|DOMICILIO |1350|13450|X|X|X|2022-08-03|2022-08-10|X|X|X|X|X|ZCEYT2126ZYSJM7|X|HOMBRE|X|14800|X|X|X|X|X|X|X|X|CARDENAS|X|X|X|X|FINAL</v>
      </c>
    </row>
    <row r="47" spans="1:82" x14ac:dyDescent="0.25">
      <c r="A47" t="s">
        <v>464</v>
      </c>
      <c r="B47" t="s">
        <v>465</v>
      </c>
      <c r="C47">
        <v>3</v>
      </c>
      <c r="D47" t="s">
        <v>144</v>
      </c>
      <c r="E47" t="s">
        <v>150</v>
      </c>
      <c r="F47" t="s">
        <v>151</v>
      </c>
      <c r="G47" t="s">
        <v>151</v>
      </c>
      <c r="H47" t="s">
        <v>1061</v>
      </c>
      <c r="I47">
        <v>12900</v>
      </c>
      <c r="J47">
        <v>0</v>
      </c>
      <c r="K47">
        <v>100</v>
      </c>
      <c r="L47">
        <v>50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466</v>
      </c>
      <c r="AC47" t="s">
        <v>7</v>
      </c>
      <c r="AD47" t="s">
        <v>467</v>
      </c>
      <c r="AE47" t="s">
        <v>4</v>
      </c>
      <c r="AF47" t="s">
        <v>1</v>
      </c>
      <c r="AG47" t="s">
        <v>1</v>
      </c>
      <c r="AH47" t="s">
        <v>468</v>
      </c>
      <c r="AI47" t="s">
        <v>318</v>
      </c>
      <c r="AJ47" t="s">
        <v>3</v>
      </c>
      <c r="AK47">
        <v>9331506911</v>
      </c>
      <c r="AL47" t="s">
        <v>3</v>
      </c>
      <c r="AM47" t="s">
        <v>3</v>
      </c>
      <c r="AN47" t="s">
        <v>3</v>
      </c>
      <c r="AO47" t="s">
        <v>468</v>
      </c>
      <c r="AP47" t="s">
        <v>3</v>
      </c>
      <c r="AQ47" t="s">
        <v>2</v>
      </c>
      <c r="AR47" t="s">
        <v>1</v>
      </c>
      <c r="AS47" t="s">
        <v>1</v>
      </c>
      <c r="AT47" t="s">
        <v>1</v>
      </c>
      <c r="AU47" t="s">
        <v>1</v>
      </c>
      <c r="AV47" t="s">
        <v>1</v>
      </c>
      <c r="AW47" t="s">
        <v>11</v>
      </c>
      <c r="AX47">
        <f>Tabla1[[#This Row],[precio del paquete]]-Tabla1[[#This Row],[Saldo_Deudor]]</f>
        <v>9900</v>
      </c>
      <c r="AY47">
        <v>3000</v>
      </c>
      <c r="AZ47" t="s">
        <v>1</v>
      </c>
      <c r="BA47" t="s">
        <v>1</v>
      </c>
      <c r="BB47" t="s">
        <v>1</v>
      </c>
      <c r="BC47" t="s">
        <v>1142</v>
      </c>
      <c r="BD47" t="s">
        <v>1155</v>
      </c>
      <c r="BE47" t="s">
        <v>1</v>
      </c>
      <c r="BF47" t="s">
        <v>1</v>
      </c>
      <c r="BG47" t="s">
        <v>1</v>
      </c>
      <c r="BH47" t="s">
        <v>1</v>
      </c>
      <c r="BI47" t="s">
        <v>1</v>
      </c>
      <c r="BJ47" t="s">
        <v>273</v>
      </c>
      <c r="BK47" t="s">
        <v>1</v>
      </c>
      <c r="BL47" t="s">
        <v>132</v>
      </c>
      <c r="BM47" t="s">
        <v>1</v>
      </c>
      <c r="BN47">
        <v>12900</v>
      </c>
      <c r="BO47" t="s">
        <v>1</v>
      </c>
      <c r="BP47" t="s">
        <v>1</v>
      </c>
      <c r="BQ47" t="s">
        <v>1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0</v>
      </c>
      <c r="BX47" t="s">
        <v>1</v>
      </c>
      <c r="BY47" t="s">
        <v>1</v>
      </c>
      <c r="BZ47" t="s">
        <v>1</v>
      </c>
      <c r="CA47" t="s">
        <v>1</v>
      </c>
      <c r="CB47" t="s">
        <v>277</v>
      </c>
      <c r="CD47" t="str" cm="1">
        <f t="array" aca="1" ref="CD47" ca="1">eConcatenar(A47:CB47,"|")</f>
        <v>pD2SlpqzlVvBlXkP|PAR2019-0522|3|IMPERIAL DE LUJO|TABASCO|PARAISO|PARAISO|2019-02-28|12900|0|100|50|0|0|0|0|0|0|0|0|0|0|0|0|0|0|0|ESCALANTE|LOPEZ|DAGNOLIA|SOLTERO|X|X|PASANDO ENTRADA LA PALMA|RANCHERIA ORIENTE SEGUNDA SECCION|x|9331506911|x|x|x|PASANDO ENTRADA LA PALMA|x|LUNES|X|X|X|X|X|DOMICILIO |9900|3000|X|X|X|2022-08-03|2022-08-10|X|X|X|X|X|ZCEYT2126ZYSJM7|X|HOMBRE|X|12900|X|X|X|X|X|X|X|X|CARDENAS|X|X|X|X|FINAL</v>
      </c>
    </row>
    <row r="48" spans="1:82" x14ac:dyDescent="0.25">
      <c r="A48" t="s">
        <v>469</v>
      </c>
      <c r="B48" t="s">
        <v>470</v>
      </c>
      <c r="C48">
        <v>3</v>
      </c>
      <c r="D48" t="s">
        <v>145</v>
      </c>
      <c r="E48" t="s">
        <v>150</v>
      </c>
      <c r="F48" t="s">
        <v>153</v>
      </c>
      <c r="G48" t="s">
        <v>153</v>
      </c>
      <c r="H48" t="s">
        <v>165</v>
      </c>
      <c r="I48">
        <v>14800</v>
      </c>
      <c r="J48">
        <v>0</v>
      </c>
      <c r="K48">
        <v>100</v>
      </c>
      <c r="L48">
        <v>50</v>
      </c>
      <c r="M48">
        <v>2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471</v>
      </c>
      <c r="AC48" t="s">
        <v>390</v>
      </c>
      <c r="AD48" t="s">
        <v>190</v>
      </c>
      <c r="AE48" t="s">
        <v>4</v>
      </c>
      <c r="AF48" t="s">
        <v>1</v>
      </c>
      <c r="AG48" t="s">
        <v>1</v>
      </c>
      <c r="AH48" t="s">
        <v>237</v>
      </c>
      <c r="AI48" t="s">
        <v>472</v>
      </c>
      <c r="AJ48" t="s">
        <v>3</v>
      </c>
      <c r="AK48">
        <v>9333258072</v>
      </c>
      <c r="AL48" t="s">
        <v>3</v>
      </c>
      <c r="AM48" t="s">
        <v>3</v>
      </c>
      <c r="AN48" t="s">
        <v>3</v>
      </c>
      <c r="AO48" t="s">
        <v>237</v>
      </c>
      <c r="AP48" t="s">
        <v>3</v>
      </c>
      <c r="AQ48" t="s">
        <v>2</v>
      </c>
      <c r="AR48" t="s">
        <v>1</v>
      </c>
      <c r="AS48" t="s">
        <v>1</v>
      </c>
      <c r="AT48" t="s">
        <v>1</v>
      </c>
      <c r="AU48" t="s">
        <v>1</v>
      </c>
      <c r="AV48" t="s">
        <v>1</v>
      </c>
      <c r="AW48" t="s">
        <v>11</v>
      </c>
      <c r="AX48">
        <f>Tabla1[[#This Row],[precio del paquete]]-Tabla1[[#This Row],[Saldo_Deudor]]</f>
        <v>800</v>
      </c>
      <c r="AY48">
        <v>14000</v>
      </c>
      <c r="AZ48" t="s">
        <v>1</v>
      </c>
      <c r="BA48" t="s">
        <v>1</v>
      </c>
      <c r="BB48" t="s">
        <v>1</v>
      </c>
      <c r="BC48" t="s">
        <v>1142</v>
      </c>
      <c r="BD48" t="s">
        <v>1155</v>
      </c>
      <c r="BE48" t="s">
        <v>1</v>
      </c>
      <c r="BF48" t="s">
        <v>1</v>
      </c>
      <c r="BG48" t="s">
        <v>1</v>
      </c>
      <c r="BH48" t="s">
        <v>1</v>
      </c>
      <c r="BI48" t="s">
        <v>1</v>
      </c>
      <c r="BJ48" t="s">
        <v>273</v>
      </c>
      <c r="BK48" t="s">
        <v>1</v>
      </c>
      <c r="BL48" t="s">
        <v>132</v>
      </c>
      <c r="BM48" t="s">
        <v>1</v>
      </c>
      <c r="BN48">
        <v>14800</v>
      </c>
      <c r="BO48" t="s">
        <v>1</v>
      </c>
      <c r="BP48" t="s">
        <v>1</v>
      </c>
      <c r="BQ48" t="s">
        <v>1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0</v>
      </c>
      <c r="BX48" t="s">
        <v>1</v>
      </c>
      <c r="BY48" t="s">
        <v>1</v>
      </c>
      <c r="BZ48" t="s">
        <v>1</v>
      </c>
      <c r="CA48" t="s">
        <v>1</v>
      </c>
      <c r="CB48" t="s">
        <v>277</v>
      </c>
      <c r="CD48" t="str" cm="1">
        <f t="array" aca="1" ref="CD48" ca="1">eConcatenar(A48:CB48,"|")</f>
        <v>i7vjrzKEa7Ev1uW5|COM2021-3964|3|MEMORIAL|TABASCO|COMALCALCO|COMALCALCO|2021-10-12|14800|0|100|50|2|0|0|0|0|0|0|0|0|0|0|0|0|0|0|ARZAT|VELAZQUEZ|JOSE LUIS|SOLTERO|X|X|CARRETERA PRINCIPAL SIN NUMERO|EJIDO EL ANGEL|x|9333258072|x|x|x|CARRETERA PRINCIPAL SIN NUMERO|x|LUNES|X|X|X|X|X|DOMICILIO |800|14000|X|X|X|2022-08-03|2022-08-10|X|X|X|X|X|ZCEYT2126ZYSJM7|X|HOMBRE|X|14800|X|X|X|X|X|X|X|X|CARDENAS|X|X|X|X|FINAL</v>
      </c>
    </row>
    <row r="49" spans="1:82" x14ac:dyDescent="0.25">
      <c r="A49" t="s">
        <v>473</v>
      </c>
      <c r="B49" t="s">
        <v>474</v>
      </c>
      <c r="C49">
        <v>3</v>
      </c>
      <c r="D49" t="s">
        <v>144</v>
      </c>
      <c r="E49" t="s">
        <v>150</v>
      </c>
      <c r="F49" t="s">
        <v>153</v>
      </c>
      <c r="G49" t="s">
        <v>153</v>
      </c>
      <c r="H49" t="s">
        <v>1062</v>
      </c>
      <c r="I49">
        <v>12900</v>
      </c>
      <c r="J49">
        <v>0</v>
      </c>
      <c r="K49">
        <v>400</v>
      </c>
      <c r="L49">
        <v>50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475</v>
      </c>
      <c r="AC49" t="s">
        <v>209</v>
      </c>
      <c r="AD49" t="s">
        <v>476</v>
      </c>
      <c r="AE49" t="s">
        <v>4</v>
      </c>
      <c r="AF49" t="s">
        <v>1</v>
      </c>
      <c r="AG49" t="s">
        <v>1</v>
      </c>
      <c r="AH49" t="s">
        <v>477</v>
      </c>
      <c r="AI49" t="s">
        <v>478</v>
      </c>
      <c r="AJ49" t="s">
        <v>3</v>
      </c>
      <c r="AK49">
        <v>9332099764</v>
      </c>
      <c r="AL49" t="s">
        <v>3</v>
      </c>
      <c r="AM49" t="s">
        <v>3</v>
      </c>
      <c r="AN49" t="s">
        <v>3</v>
      </c>
      <c r="AO49" t="s">
        <v>477</v>
      </c>
      <c r="AP49" t="s">
        <v>3</v>
      </c>
      <c r="AQ49" t="s">
        <v>2</v>
      </c>
      <c r="AR49" t="s">
        <v>1</v>
      </c>
      <c r="AS49" t="s">
        <v>1</v>
      </c>
      <c r="AT49" t="s">
        <v>1</v>
      </c>
      <c r="AU49" t="s">
        <v>1</v>
      </c>
      <c r="AV49" t="s">
        <v>1</v>
      </c>
      <c r="AW49" t="s">
        <v>11</v>
      </c>
      <c r="AX49">
        <f>Tabla1[[#This Row],[precio del paquete]]-Tabla1[[#This Row],[Saldo_Deudor]]</f>
        <v>6150</v>
      </c>
      <c r="AY49">
        <v>6750</v>
      </c>
      <c r="AZ49" t="s">
        <v>1</v>
      </c>
      <c r="BA49" t="s">
        <v>1</v>
      </c>
      <c r="BB49" t="s">
        <v>1</v>
      </c>
      <c r="BC49" t="s">
        <v>1142</v>
      </c>
      <c r="BD49" t="s">
        <v>1155</v>
      </c>
      <c r="BE49" t="s">
        <v>1</v>
      </c>
      <c r="BF49" t="s">
        <v>1</v>
      </c>
      <c r="BG49" t="s">
        <v>1</v>
      </c>
      <c r="BH49" t="s">
        <v>1</v>
      </c>
      <c r="BI49" t="s">
        <v>1</v>
      </c>
      <c r="BJ49" t="s">
        <v>273</v>
      </c>
      <c r="BK49" t="s">
        <v>1</v>
      </c>
      <c r="BL49" t="s">
        <v>132</v>
      </c>
      <c r="BM49" t="s">
        <v>1</v>
      </c>
      <c r="BN49">
        <v>12900</v>
      </c>
      <c r="BO49" t="s">
        <v>1</v>
      </c>
      <c r="BP49" t="s">
        <v>1</v>
      </c>
      <c r="BQ49" t="s">
        <v>1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0</v>
      </c>
      <c r="BX49" t="s">
        <v>1</v>
      </c>
      <c r="BY49" t="s">
        <v>1</v>
      </c>
      <c r="BZ49" t="s">
        <v>1</v>
      </c>
      <c r="CA49" t="s">
        <v>1</v>
      </c>
      <c r="CB49" t="s">
        <v>277</v>
      </c>
      <c r="CD49" t="str" cm="1">
        <f t="array" aca="1" ref="CD49" ca="1">eConcatenar(A49:CB49,"|")</f>
        <v>qg77WhNV0EOc7kbo|PAR2020-3137|3|IMPERIAL DE LUJO|TABASCO|COMALCALCO|COMALCALCO|2020-11-28|12900|0|400|50|2|0|0|0|0|0|0|0|0|0|0|0|0|0|0|LUNA|CORDOVA|BLANCA ESTELA|SOLTERO|X|X|ENTRADA CAMINO AGRARIO|RANCHERIA SUR CUARTA SECCION|x|9332099764|x|x|x|ENTRADA CAMINO AGRARIO|x|LUNES|X|X|X|X|X|DOMICILIO |6150|6750|X|X|X|2022-08-03|2022-08-10|X|X|X|X|X|ZCEYT2126ZYSJM7|X|HOMBRE|X|12900|X|X|X|X|X|X|X|X|CARDENAS|X|X|X|X|FINAL</v>
      </c>
    </row>
    <row r="50" spans="1:82" x14ac:dyDescent="0.25">
      <c r="A50" t="s">
        <v>479</v>
      </c>
      <c r="B50" t="s">
        <v>480</v>
      </c>
      <c r="C50">
        <v>3</v>
      </c>
      <c r="D50" t="s">
        <v>144</v>
      </c>
      <c r="E50" t="s">
        <v>150</v>
      </c>
      <c r="F50" t="s">
        <v>151</v>
      </c>
      <c r="G50" t="s">
        <v>151</v>
      </c>
      <c r="H50" t="s">
        <v>1063</v>
      </c>
      <c r="I50">
        <v>12900</v>
      </c>
      <c r="J50">
        <v>0</v>
      </c>
      <c r="K50">
        <v>500</v>
      </c>
      <c r="L50">
        <v>50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1</v>
      </c>
      <c r="AC50" t="s">
        <v>218</v>
      </c>
      <c r="AD50" t="s">
        <v>481</v>
      </c>
      <c r="AE50" t="s">
        <v>4</v>
      </c>
      <c r="AF50" t="s">
        <v>1</v>
      </c>
      <c r="AG50" t="s">
        <v>1</v>
      </c>
      <c r="AH50" t="s">
        <v>482</v>
      </c>
      <c r="AI50" t="s">
        <v>458</v>
      </c>
      <c r="AJ50" t="s">
        <v>3</v>
      </c>
      <c r="AK50">
        <v>9331058994</v>
      </c>
      <c r="AL50" t="s">
        <v>3</v>
      </c>
      <c r="AM50" t="s">
        <v>3</v>
      </c>
      <c r="AN50" t="s">
        <v>3</v>
      </c>
      <c r="AO50" t="s">
        <v>482</v>
      </c>
      <c r="AP50" t="s">
        <v>3</v>
      </c>
      <c r="AQ50" t="s">
        <v>2</v>
      </c>
      <c r="AR50" t="s">
        <v>1</v>
      </c>
      <c r="AS50" t="s">
        <v>1</v>
      </c>
      <c r="AT50" t="s">
        <v>1</v>
      </c>
      <c r="AU50" t="s">
        <v>1</v>
      </c>
      <c r="AV50" t="s">
        <v>1</v>
      </c>
      <c r="AW50" t="s">
        <v>11</v>
      </c>
      <c r="AX50">
        <f>Tabla1[[#This Row],[precio del paquete]]-Tabla1[[#This Row],[Saldo_Deudor]]</f>
        <v>11800</v>
      </c>
      <c r="AY50">
        <v>1100</v>
      </c>
      <c r="AZ50" t="s">
        <v>1</v>
      </c>
      <c r="BA50" t="s">
        <v>1</v>
      </c>
      <c r="BB50" t="s">
        <v>1</v>
      </c>
      <c r="BC50" t="s">
        <v>1142</v>
      </c>
      <c r="BD50" t="s">
        <v>1155</v>
      </c>
      <c r="BE50" t="s">
        <v>1</v>
      </c>
      <c r="BF50" t="s">
        <v>1</v>
      </c>
      <c r="BG50" t="s">
        <v>1</v>
      </c>
      <c r="BH50" t="s">
        <v>1</v>
      </c>
      <c r="BI50" t="s">
        <v>1</v>
      </c>
      <c r="BJ50" t="s">
        <v>273</v>
      </c>
      <c r="BK50" t="s">
        <v>1</v>
      </c>
      <c r="BL50" t="s">
        <v>132</v>
      </c>
      <c r="BM50" t="s">
        <v>1</v>
      </c>
      <c r="BN50">
        <v>12900</v>
      </c>
      <c r="BO50" t="s">
        <v>1</v>
      </c>
      <c r="BP50" t="s">
        <v>1</v>
      </c>
      <c r="BQ50" t="s">
        <v>1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0</v>
      </c>
      <c r="BX50" t="s">
        <v>1</v>
      </c>
      <c r="BY50" t="s">
        <v>1</v>
      </c>
      <c r="BZ50" t="s">
        <v>1</v>
      </c>
      <c r="CA50" t="s">
        <v>1</v>
      </c>
      <c r="CB50" t="s">
        <v>277</v>
      </c>
      <c r="CD50" t="str" cm="1">
        <f t="array" aca="1" ref="CD50" ca="1">eConcatenar(A50:CB50,"|")</f>
        <v>bERuAoyDl0uF1zOS|PAR2019-2662|3|IMPERIAL DE LUJO|TABASCO|PARAISO|PARAISO|2019-02-10|12900|0|500|50|2|0|0|0|0|0|0|0|0|0|0|0|0|0|0|X|JIMENEZ|PORFIRIO|SOLTERO|X|X|ENTRADA LAS FLORES |RANCHERIA ORIENTE SEXTA SECCION|x|9331058994|x|x|x|ENTRADA LAS FLORES |x|LUNES|X|X|X|X|X|DOMICILIO |11800|1100|X|X|X|2022-08-03|2022-08-10|X|X|X|X|X|ZCEYT2126ZYSJM7|X|HOMBRE|X|12900|X|X|X|X|X|X|X|X|CARDENAS|X|X|X|X|FINAL</v>
      </c>
    </row>
    <row r="51" spans="1:82" x14ac:dyDescent="0.25">
      <c r="A51" t="s">
        <v>483</v>
      </c>
      <c r="B51" t="s">
        <v>484</v>
      </c>
      <c r="C51">
        <v>3</v>
      </c>
      <c r="D51" t="s">
        <v>144</v>
      </c>
      <c r="E51" t="s">
        <v>150</v>
      </c>
      <c r="F51" t="s">
        <v>151</v>
      </c>
      <c r="G51" t="s">
        <v>151</v>
      </c>
      <c r="H51" t="s">
        <v>1064</v>
      </c>
      <c r="I51">
        <v>12900</v>
      </c>
      <c r="J51">
        <v>0</v>
      </c>
      <c r="K51">
        <v>100</v>
      </c>
      <c r="L51">
        <v>50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485</v>
      </c>
      <c r="AC51" t="s">
        <v>205</v>
      </c>
      <c r="AD51" t="s">
        <v>486</v>
      </c>
      <c r="AE51" t="s">
        <v>4</v>
      </c>
      <c r="AF51" t="s">
        <v>1</v>
      </c>
      <c r="AG51" t="s">
        <v>1</v>
      </c>
      <c r="AH51" t="s">
        <v>487</v>
      </c>
      <c r="AI51" t="s">
        <v>488</v>
      </c>
      <c r="AJ51" t="s">
        <v>3</v>
      </c>
      <c r="AK51">
        <v>9331177040</v>
      </c>
      <c r="AL51" t="s">
        <v>3</v>
      </c>
      <c r="AM51" t="s">
        <v>3</v>
      </c>
      <c r="AN51" t="s">
        <v>3</v>
      </c>
      <c r="AO51" t="s">
        <v>487</v>
      </c>
      <c r="AP51" t="s">
        <v>3</v>
      </c>
      <c r="AQ51" t="s">
        <v>2</v>
      </c>
      <c r="AR51" t="s">
        <v>1</v>
      </c>
      <c r="AS51" t="s">
        <v>1</v>
      </c>
      <c r="AT51" t="s">
        <v>1</v>
      </c>
      <c r="AU51" t="s">
        <v>1</v>
      </c>
      <c r="AV51" t="s">
        <v>1</v>
      </c>
      <c r="AW51" t="s">
        <v>11</v>
      </c>
      <c r="AX51">
        <f>Tabla1[[#This Row],[precio del paquete]]-Tabla1[[#This Row],[Saldo_Deudor]]</f>
        <v>6600</v>
      </c>
      <c r="AY51">
        <v>6300</v>
      </c>
      <c r="AZ51" t="s">
        <v>1</v>
      </c>
      <c r="BA51" t="s">
        <v>1</v>
      </c>
      <c r="BB51" t="s">
        <v>1</v>
      </c>
      <c r="BC51" t="s">
        <v>258</v>
      </c>
      <c r="BD51" t="s">
        <v>266</v>
      </c>
      <c r="BE51" t="s">
        <v>1</v>
      </c>
      <c r="BF51" t="s">
        <v>1</v>
      </c>
      <c r="BG51" t="s">
        <v>1</v>
      </c>
      <c r="BH51" t="s">
        <v>1</v>
      </c>
      <c r="BI51" t="s">
        <v>1</v>
      </c>
      <c r="BJ51" t="s">
        <v>273</v>
      </c>
      <c r="BK51" t="s">
        <v>1</v>
      </c>
      <c r="BL51" t="s">
        <v>132</v>
      </c>
      <c r="BM51" t="s">
        <v>1</v>
      </c>
      <c r="BN51">
        <v>12900</v>
      </c>
      <c r="BO51" t="s">
        <v>1</v>
      </c>
      <c r="BP51" t="s">
        <v>1</v>
      </c>
      <c r="BQ51" t="s">
        <v>1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0</v>
      </c>
      <c r="BX51" t="s">
        <v>1</v>
      </c>
      <c r="BY51" t="s">
        <v>1</v>
      </c>
      <c r="BZ51" t="s">
        <v>1</v>
      </c>
      <c r="CA51" t="s">
        <v>1</v>
      </c>
      <c r="CB51" t="s">
        <v>277</v>
      </c>
      <c r="CD51" t="str" cm="1">
        <f t="array" aca="1" ref="CD51" ca="1">eConcatenar(A51:CB51,"|")</f>
        <v>vZQVpQqHWilntMkN|PAR2019-2843|3|IMPERIAL DE LUJO|TABASCO|PARAISO|PARAISO|2019-10-15|12900|0|100|50|0|0|0|0|0|0|0|0|0|0|0|0|0|0|0|CASTILLO|HERNANDEZ|JOSRGE|SOLTERO|X|X|CARRETERA A TULIPAN|RANCHERIA NICOLAS BRAVO CUARTA SECCION|x|9331177040|x|x|x|CARRETERA A TULIPAN|x|LUNES|X|X|X|X|X|DOMICILIO |6600|6300|X|X|X|2022-02-21|2022-02-28|X|X|X|X|X|ZCEYT2126ZYSJM7|X|HOMBRE|X|12900|X|X|X|X|X|X|X|X|CARDENAS|X|X|X|X|FINAL</v>
      </c>
    </row>
    <row r="52" spans="1:82" x14ac:dyDescent="0.25">
      <c r="A52" t="s">
        <v>489</v>
      </c>
      <c r="B52" t="s">
        <v>490</v>
      </c>
      <c r="C52">
        <v>3</v>
      </c>
      <c r="D52" t="s">
        <v>144</v>
      </c>
      <c r="E52" t="s">
        <v>150</v>
      </c>
      <c r="F52" t="s">
        <v>0</v>
      </c>
      <c r="G52" t="s">
        <v>0</v>
      </c>
      <c r="H52" t="s">
        <v>1065</v>
      </c>
      <c r="I52">
        <v>12900</v>
      </c>
      <c r="J52">
        <v>0</v>
      </c>
      <c r="K52">
        <v>100</v>
      </c>
      <c r="L52">
        <v>50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218</v>
      </c>
      <c r="AC52" t="s">
        <v>212</v>
      </c>
      <c r="AD52" t="s">
        <v>191</v>
      </c>
      <c r="AE52" t="s">
        <v>4</v>
      </c>
      <c r="AF52" t="s">
        <v>1</v>
      </c>
      <c r="AG52" t="s">
        <v>1</v>
      </c>
      <c r="AH52" t="s">
        <v>491</v>
      </c>
      <c r="AI52" t="s">
        <v>248</v>
      </c>
      <c r="AJ52" t="s">
        <v>3</v>
      </c>
      <c r="AK52">
        <v>9332091492</v>
      </c>
      <c r="AL52" t="s">
        <v>3</v>
      </c>
      <c r="AM52" t="s">
        <v>3</v>
      </c>
      <c r="AN52" t="s">
        <v>3</v>
      </c>
      <c r="AO52" t="s">
        <v>491</v>
      </c>
      <c r="AP52" t="s">
        <v>3</v>
      </c>
      <c r="AQ52" t="s">
        <v>2</v>
      </c>
      <c r="AR52" t="s">
        <v>1</v>
      </c>
      <c r="AS52" t="s">
        <v>1</v>
      </c>
      <c r="AT52" t="s">
        <v>1</v>
      </c>
      <c r="AU52" t="s">
        <v>1</v>
      </c>
      <c r="AV52" t="s">
        <v>1</v>
      </c>
      <c r="AW52" t="s">
        <v>11</v>
      </c>
      <c r="AX52">
        <f>Tabla1[[#This Row],[precio del paquete]]-Tabla1[[#This Row],[Saldo_Deudor]]</f>
        <v>11000</v>
      </c>
      <c r="AY52">
        <v>1900</v>
      </c>
      <c r="AZ52" t="s">
        <v>1</v>
      </c>
      <c r="BA52" t="s">
        <v>1</v>
      </c>
      <c r="BB52" t="s">
        <v>1</v>
      </c>
      <c r="BC52" t="s">
        <v>183</v>
      </c>
      <c r="BD52" t="s">
        <v>1088</v>
      </c>
      <c r="BE52" t="s">
        <v>1</v>
      </c>
      <c r="BF52" t="s">
        <v>1</v>
      </c>
      <c r="BG52" t="s">
        <v>1</v>
      </c>
      <c r="BH52" t="s">
        <v>1</v>
      </c>
      <c r="BI52" t="s">
        <v>1</v>
      </c>
      <c r="BJ52" t="s">
        <v>273</v>
      </c>
      <c r="BK52" t="s">
        <v>1</v>
      </c>
      <c r="BL52" t="s">
        <v>132</v>
      </c>
      <c r="BM52" t="s">
        <v>1</v>
      </c>
      <c r="BN52">
        <v>12900</v>
      </c>
      <c r="BO52" t="s">
        <v>1</v>
      </c>
      <c r="BP52" t="s">
        <v>1</v>
      </c>
      <c r="BQ52" t="s">
        <v>1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0</v>
      </c>
      <c r="BX52" t="s">
        <v>1</v>
      </c>
      <c r="BY52" t="s">
        <v>1</v>
      </c>
      <c r="BZ52" t="s">
        <v>1</v>
      </c>
      <c r="CA52" t="s">
        <v>1</v>
      </c>
      <c r="CB52" t="s">
        <v>277</v>
      </c>
      <c r="CD52" t="str" cm="1">
        <f t="array" aca="1" ref="CD52" ca="1">eConcatenar(A52:CB52,"|")</f>
        <v>4MO6Wk2BFYueykEF|PAR2019-0768|3|IMPERIAL DE LUJO|TABASCO|CARDENAS|CARDENAS|2019-04-13|12900|0|100|50|0|0|0|0|0|0|0|0|0|0|0|0|0|0|0|JIMENEZ|DOMINGUEZ|MARIA DEL CARMEN|SOLTERO|X|X|CARRETERA A JESUS CARRANZA|RANCHERIA ZAPOTAL PRIMERA SECCION|x|9332091492|x|x|x|CARRETERA A JESUS CARRANZA|x|LUNES|X|X|X|X|X|DOMICILIO |11000|1900|X|X|X|2022-01-03|2022-01-10|X|X|X|X|X|ZCEYT2126ZYSJM7|X|HOMBRE|X|12900|X|X|X|X|X|X|X|X|CARDENAS|X|X|X|X|FINAL</v>
      </c>
    </row>
    <row r="53" spans="1:82" x14ac:dyDescent="0.25">
      <c r="A53" t="s">
        <v>492</v>
      </c>
      <c r="B53" t="s">
        <v>493</v>
      </c>
      <c r="C53">
        <v>3</v>
      </c>
      <c r="D53" t="s">
        <v>144</v>
      </c>
      <c r="E53" t="s">
        <v>150</v>
      </c>
      <c r="F53" t="s">
        <v>153</v>
      </c>
      <c r="G53" t="s">
        <v>153</v>
      </c>
      <c r="H53" t="s">
        <v>1066</v>
      </c>
      <c r="I53">
        <v>12900</v>
      </c>
      <c r="J53">
        <v>0</v>
      </c>
      <c r="K53">
        <v>100</v>
      </c>
      <c r="L53">
        <v>50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218</v>
      </c>
      <c r="AC53" t="s">
        <v>212</v>
      </c>
      <c r="AD53" t="s">
        <v>494</v>
      </c>
      <c r="AE53" t="s">
        <v>4</v>
      </c>
      <c r="AF53" t="s">
        <v>1</v>
      </c>
      <c r="AG53" t="s">
        <v>1</v>
      </c>
      <c r="AH53" t="s">
        <v>495</v>
      </c>
      <c r="AI53" t="s">
        <v>478</v>
      </c>
      <c r="AJ53" t="s">
        <v>3</v>
      </c>
      <c r="AK53">
        <v>9331569984</v>
      </c>
      <c r="AL53" t="s">
        <v>3</v>
      </c>
      <c r="AM53" t="s">
        <v>3</v>
      </c>
      <c r="AN53" t="s">
        <v>3</v>
      </c>
      <c r="AO53" t="s">
        <v>495</v>
      </c>
      <c r="AP53" t="s">
        <v>3</v>
      </c>
      <c r="AQ53" t="s">
        <v>2</v>
      </c>
      <c r="AR53" t="s">
        <v>1</v>
      </c>
      <c r="AS53" t="s">
        <v>1</v>
      </c>
      <c r="AT53" t="s">
        <v>1</v>
      </c>
      <c r="AU53" t="s">
        <v>1</v>
      </c>
      <c r="AV53" t="s">
        <v>1</v>
      </c>
      <c r="AW53" t="s">
        <v>11</v>
      </c>
      <c r="AX53">
        <f>Tabla1[[#This Row],[precio del paquete]]-Tabla1[[#This Row],[Saldo_Deudor]]</f>
        <v>6600</v>
      </c>
      <c r="AY53">
        <v>6300</v>
      </c>
      <c r="AZ53" t="s">
        <v>1</v>
      </c>
      <c r="BA53" t="s">
        <v>1</v>
      </c>
      <c r="BB53" t="s">
        <v>1</v>
      </c>
      <c r="BC53" t="s">
        <v>183</v>
      </c>
      <c r="BD53" t="s">
        <v>1088</v>
      </c>
      <c r="BE53" t="s">
        <v>1</v>
      </c>
      <c r="BF53" t="s">
        <v>1</v>
      </c>
      <c r="BG53" t="s">
        <v>1</v>
      </c>
      <c r="BH53" t="s">
        <v>1</v>
      </c>
      <c r="BI53" t="s">
        <v>1</v>
      </c>
      <c r="BJ53" t="s">
        <v>273</v>
      </c>
      <c r="BK53" t="s">
        <v>1</v>
      </c>
      <c r="BL53" t="s">
        <v>132</v>
      </c>
      <c r="BM53" t="s">
        <v>1</v>
      </c>
      <c r="BN53">
        <v>12900</v>
      </c>
      <c r="BO53" t="s">
        <v>1</v>
      </c>
      <c r="BP53" t="s">
        <v>1</v>
      </c>
      <c r="BQ53" t="s">
        <v>1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0</v>
      </c>
      <c r="BX53" t="s">
        <v>1</v>
      </c>
      <c r="BY53" t="s">
        <v>1</v>
      </c>
      <c r="BZ53" t="s">
        <v>1</v>
      </c>
      <c r="CA53" t="s">
        <v>1</v>
      </c>
      <c r="CB53" t="s">
        <v>277</v>
      </c>
      <c r="CD53" t="str" cm="1">
        <f t="array" aca="1" ref="CD53" ca="1">eConcatenar(A53:CB53,"|")</f>
        <v>lbpjJO9oBuqb3911|COM2020-3126|3|IMPERIAL DE LUJO|TABASCO|COMALCALCO|COMALCALCO|2020-11-27|12900|0|100|50|0|0|0|0|0|0|0|0|0|0|0|0|0|0|0|JIMENEZ|DOMINGUEZ|ROSA LILIA|SOLTERO|X|X|ENTRADA AL FRACCIONAMIENTO DEL TORO|RANCHERIA SUR CUARTA SECCION|x|9331569984|x|x|x|ENTRADA AL FRACCIONAMIENTO DEL TORO|x|LUNES|X|X|X|X|X|DOMICILIO |6600|6300|X|X|X|2022-01-03|2022-01-10|X|X|X|X|X|ZCEYT2126ZYSJM7|X|HOMBRE|X|12900|X|X|X|X|X|X|X|X|CARDENAS|X|X|X|X|FINAL</v>
      </c>
    </row>
    <row r="54" spans="1:82" x14ac:dyDescent="0.25">
      <c r="A54" t="s">
        <v>496</v>
      </c>
      <c r="B54" t="s">
        <v>497</v>
      </c>
      <c r="C54">
        <v>3</v>
      </c>
      <c r="D54" t="s">
        <v>145</v>
      </c>
      <c r="E54" t="s">
        <v>150</v>
      </c>
      <c r="F54" t="s">
        <v>498</v>
      </c>
      <c r="G54" t="s">
        <v>498</v>
      </c>
      <c r="H54" t="s">
        <v>1067</v>
      </c>
      <c r="I54">
        <v>14800</v>
      </c>
      <c r="J54">
        <v>0</v>
      </c>
      <c r="K54">
        <v>100</v>
      </c>
      <c r="L54">
        <v>50</v>
      </c>
      <c r="M54">
        <v>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499</v>
      </c>
      <c r="AC54" t="s">
        <v>500</v>
      </c>
      <c r="AD54" t="s">
        <v>501</v>
      </c>
      <c r="AE54" t="s">
        <v>4</v>
      </c>
      <c r="AF54" t="s">
        <v>1</v>
      </c>
      <c r="AG54" t="s">
        <v>1</v>
      </c>
      <c r="AH54" t="s">
        <v>502</v>
      </c>
      <c r="AI54" t="s">
        <v>503</v>
      </c>
      <c r="AJ54" t="s">
        <v>3</v>
      </c>
      <c r="AK54">
        <v>9372714728</v>
      </c>
      <c r="AL54" t="s">
        <v>3</v>
      </c>
      <c r="AM54" t="s">
        <v>3</v>
      </c>
      <c r="AN54" t="s">
        <v>3</v>
      </c>
      <c r="AO54" t="s">
        <v>502</v>
      </c>
      <c r="AP54" t="s">
        <v>3</v>
      </c>
      <c r="AQ54" t="s">
        <v>2</v>
      </c>
      <c r="AR54" t="s">
        <v>1</v>
      </c>
      <c r="AS54" t="s">
        <v>1</v>
      </c>
      <c r="AT54" t="s">
        <v>1</v>
      </c>
      <c r="AU54" t="s">
        <v>1</v>
      </c>
      <c r="AV54" t="s">
        <v>1</v>
      </c>
      <c r="AW54" t="s">
        <v>11</v>
      </c>
      <c r="AX54">
        <f>Tabla1[[#This Row],[precio del paquete]]-Tabla1[[#This Row],[Saldo_Deudor]]</f>
        <v>5710</v>
      </c>
      <c r="AY54">
        <v>9090</v>
      </c>
      <c r="AZ54" t="s">
        <v>1</v>
      </c>
      <c r="BA54" t="s">
        <v>1</v>
      </c>
      <c r="BB54" t="s">
        <v>1</v>
      </c>
      <c r="BC54" t="s">
        <v>259</v>
      </c>
      <c r="BD54" t="s">
        <v>1157</v>
      </c>
      <c r="BE54" t="s">
        <v>1</v>
      </c>
      <c r="BF54" t="s">
        <v>1</v>
      </c>
      <c r="BG54" t="s">
        <v>1</v>
      </c>
      <c r="BH54" t="s">
        <v>1</v>
      </c>
      <c r="BI54" t="s">
        <v>1</v>
      </c>
      <c r="BJ54" t="s">
        <v>274</v>
      </c>
      <c r="BK54" t="s">
        <v>1</v>
      </c>
      <c r="BL54" t="s">
        <v>132</v>
      </c>
      <c r="BM54" t="s">
        <v>1</v>
      </c>
      <c r="BN54">
        <v>14800</v>
      </c>
      <c r="BO54" t="s">
        <v>1</v>
      </c>
      <c r="BP54" t="s">
        <v>1</v>
      </c>
      <c r="BQ54" t="s">
        <v>1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0</v>
      </c>
      <c r="BX54" t="s">
        <v>1</v>
      </c>
      <c r="BY54" t="s">
        <v>1</v>
      </c>
      <c r="BZ54" t="s">
        <v>1</v>
      </c>
      <c r="CA54" t="s">
        <v>1</v>
      </c>
      <c r="CB54" t="s">
        <v>277</v>
      </c>
      <c r="CD54" t="str" cm="1">
        <f t="array" aca="1" ref="CD54" ca="1">eConcatenar(A54:CB54,"|")</f>
        <v>vlbBnU8Lwpj42DkL|CAR2021-7045|3|MEMORIAL|TABASCO|HUIAMGUILLO|HUIAMGUILLO|2021-11-19|14800|0|100|50|1|0|0|0|0|0|0|0|0|0|0|0|0|0|0|ARELLANO|ALEJO|ANA GABRIELA|SOLTERO|X|X|CALLE 14 MANZANA 23 DEPARTAMENTO 1 MODULO 1|FRACCIONAMIENTO POMOCA|x|9372714728|x|x|x|CALLE 14 MANZANA 23 DEPARTAMENTO 1 MODULO 1|x|LUNES|X|X|X|X|X|DOMICILIO |5710|9090|X|X|X|2022-03-03|2022-03-10|X|X|X|X|X|QWZBUBTG9KVTQO|X|HOMBRE|X|14800|X|X|X|X|X|X|X|X|CARDENAS|X|X|X|X|FINAL</v>
      </c>
    </row>
    <row r="55" spans="1:82" x14ac:dyDescent="0.25">
      <c r="A55" t="s">
        <v>504</v>
      </c>
      <c r="B55" t="s">
        <v>505</v>
      </c>
      <c r="C55">
        <v>3</v>
      </c>
      <c r="D55" t="s">
        <v>144</v>
      </c>
      <c r="E55" t="s">
        <v>150</v>
      </c>
      <c r="F55" t="s">
        <v>0</v>
      </c>
      <c r="G55" t="s">
        <v>0</v>
      </c>
      <c r="H55" t="s">
        <v>166</v>
      </c>
      <c r="I55">
        <v>12900</v>
      </c>
      <c r="J55">
        <v>0</v>
      </c>
      <c r="K55">
        <v>100</v>
      </c>
      <c r="L55">
        <v>50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506</v>
      </c>
      <c r="AC55" t="s">
        <v>507</v>
      </c>
      <c r="AD55" t="s">
        <v>508</v>
      </c>
      <c r="AE55" t="s">
        <v>4</v>
      </c>
      <c r="AF55" t="s">
        <v>1</v>
      </c>
      <c r="AG55" t="s">
        <v>1</v>
      </c>
      <c r="AH55" t="s">
        <v>509</v>
      </c>
      <c r="AI55" t="s">
        <v>250</v>
      </c>
      <c r="AJ55" t="s">
        <v>3</v>
      </c>
      <c r="AK55">
        <v>9371645537</v>
      </c>
      <c r="AL55" t="s">
        <v>3</v>
      </c>
      <c r="AM55" t="s">
        <v>3</v>
      </c>
      <c r="AN55" t="s">
        <v>3</v>
      </c>
      <c r="AO55" t="s">
        <v>509</v>
      </c>
      <c r="AP55" t="s">
        <v>3</v>
      </c>
      <c r="AQ55" t="s">
        <v>2</v>
      </c>
      <c r="AR55" t="s">
        <v>1</v>
      </c>
      <c r="AS55" t="s">
        <v>1</v>
      </c>
      <c r="AT55" t="s">
        <v>1</v>
      </c>
      <c r="AU55" t="s">
        <v>1</v>
      </c>
      <c r="AV55" t="s">
        <v>1</v>
      </c>
      <c r="AW55" t="s">
        <v>11</v>
      </c>
      <c r="AX55">
        <f>Tabla1[[#This Row],[precio del paquete]]-Tabla1[[#This Row],[Saldo_Deudor]]</f>
        <v>11500</v>
      </c>
      <c r="AY55">
        <v>1400</v>
      </c>
      <c r="AZ55" t="s">
        <v>1</v>
      </c>
      <c r="BA55" t="s">
        <v>1</v>
      </c>
      <c r="BB55" t="s">
        <v>1</v>
      </c>
      <c r="BC55" t="s">
        <v>257</v>
      </c>
      <c r="BD55" t="s">
        <v>265</v>
      </c>
      <c r="BE55" t="s">
        <v>1</v>
      </c>
      <c r="BF55" t="s">
        <v>1</v>
      </c>
      <c r="BG55" t="s">
        <v>1</v>
      </c>
      <c r="BH55" t="s">
        <v>1</v>
      </c>
      <c r="BI55" t="s">
        <v>1</v>
      </c>
      <c r="BJ55" t="s">
        <v>274</v>
      </c>
      <c r="BK55" t="s">
        <v>1</v>
      </c>
      <c r="BL55" t="s">
        <v>132</v>
      </c>
      <c r="BM55" t="s">
        <v>1</v>
      </c>
      <c r="BN55">
        <v>12900</v>
      </c>
      <c r="BO55" t="s">
        <v>1</v>
      </c>
      <c r="BP55" t="s">
        <v>1</v>
      </c>
      <c r="BQ55" t="s">
        <v>1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0</v>
      </c>
      <c r="BX55" t="s">
        <v>1</v>
      </c>
      <c r="BY55" t="s">
        <v>1</v>
      </c>
      <c r="BZ55" t="s">
        <v>1</v>
      </c>
      <c r="CA55" t="s">
        <v>1</v>
      </c>
      <c r="CB55" t="s">
        <v>277</v>
      </c>
      <c r="CD55" t="str" cm="1">
        <f t="array" aca="1" ref="CD55" ca="1">eConcatenar(A55:CB55,"|")</f>
        <v>klSZ0n91UBG5mTlE|CAR2020-4414|3|IMPERIAL DE LUJO|TABASCO|CARDENAS|CARDENAS|2020-10-27|12900|0|100|50|1|0|0|0|0|0|0|0|0|0|0|0|0|0|0|BURGOS|GUZMAN|YOLANDA MERARI|SOLTERO|X|X|CALLE ESQUINA RUMANIA|COLONIA JACINTO LOPEZ|x|9371645537|x|x|x|CALLE ESQUINA RUMANIA|x|LUNES|X|X|X|X|X|DOMICILIO |11500|1400|X|X|X|2022-07-03|2022-07-10|X|X|X|X|X|QWZBUBTG9KVTQO|X|HOMBRE|X|12900|X|X|X|X|X|X|X|X|CARDENAS|X|X|X|X|FINAL</v>
      </c>
    </row>
    <row r="56" spans="1:82" x14ac:dyDescent="0.25">
      <c r="A56" t="s">
        <v>510</v>
      </c>
      <c r="B56" t="s">
        <v>511</v>
      </c>
      <c r="C56">
        <v>3</v>
      </c>
      <c r="D56" t="s">
        <v>379</v>
      </c>
      <c r="E56" t="s">
        <v>150</v>
      </c>
      <c r="F56" t="s">
        <v>0</v>
      </c>
      <c r="G56" t="s">
        <v>0</v>
      </c>
      <c r="H56" t="s">
        <v>1068</v>
      </c>
      <c r="I56">
        <v>14800</v>
      </c>
      <c r="J56">
        <v>0</v>
      </c>
      <c r="K56">
        <v>200</v>
      </c>
      <c r="L56">
        <v>50</v>
      </c>
      <c r="M56">
        <v>1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205</v>
      </c>
      <c r="AC56" t="s">
        <v>512</v>
      </c>
      <c r="AD56" t="s">
        <v>513</v>
      </c>
      <c r="AE56" t="s">
        <v>4</v>
      </c>
      <c r="AF56" t="s">
        <v>1</v>
      </c>
      <c r="AG56" t="s">
        <v>1</v>
      </c>
      <c r="AH56" t="s">
        <v>514</v>
      </c>
      <c r="AI56" t="s">
        <v>515</v>
      </c>
      <c r="AJ56" t="s">
        <v>3</v>
      </c>
      <c r="AK56">
        <v>9373777432</v>
      </c>
      <c r="AL56" t="s">
        <v>3</v>
      </c>
      <c r="AM56" t="s">
        <v>3</v>
      </c>
      <c r="AN56" t="s">
        <v>3</v>
      </c>
      <c r="AO56" t="s">
        <v>514</v>
      </c>
      <c r="AP56" t="s">
        <v>3</v>
      </c>
      <c r="AQ56" t="s">
        <v>2</v>
      </c>
      <c r="AR56" t="s">
        <v>1</v>
      </c>
      <c r="AS56" t="s">
        <v>1</v>
      </c>
      <c r="AT56" t="s">
        <v>1</v>
      </c>
      <c r="AU56" t="s">
        <v>1</v>
      </c>
      <c r="AV56" t="s">
        <v>1</v>
      </c>
      <c r="AW56" t="s">
        <v>11</v>
      </c>
      <c r="AX56">
        <f>Tabla1[[#This Row],[precio del paquete]]-Tabla1[[#This Row],[Saldo_Deudor]]</f>
        <v>5000</v>
      </c>
      <c r="AY56">
        <v>9800</v>
      </c>
      <c r="AZ56" t="s">
        <v>1</v>
      </c>
      <c r="BA56" t="s">
        <v>1</v>
      </c>
      <c r="BB56" t="s">
        <v>1</v>
      </c>
      <c r="BC56" t="s">
        <v>257</v>
      </c>
      <c r="BD56" t="s">
        <v>265</v>
      </c>
      <c r="BE56" t="s">
        <v>1</v>
      </c>
      <c r="BF56" t="s">
        <v>1</v>
      </c>
      <c r="BG56" t="s">
        <v>1</v>
      </c>
      <c r="BH56" t="s">
        <v>1</v>
      </c>
      <c r="BI56" t="s">
        <v>1</v>
      </c>
      <c r="BJ56" t="s">
        <v>274</v>
      </c>
      <c r="BK56" t="s">
        <v>1</v>
      </c>
      <c r="BL56" t="s">
        <v>132</v>
      </c>
      <c r="BM56" t="s">
        <v>1</v>
      </c>
      <c r="BN56">
        <v>14800</v>
      </c>
      <c r="BO56" t="s">
        <v>1</v>
      </c>
      <c r="BP56" t="s">
        <v>1</v>
      </c>
      <c r="BQ56" t="s">
        <v>1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0</v>
      </c>
      <c r="BX56" t="s">
        <v>1</v>
      </c>
      <c r="BY56" t="s">
        <v>1</v>
      </c>
      <c r="BZ56" t="s">
        <v>1</v>
      </c>
      <c r="CA56" t="s">
        <v>1</v>
      </c>
      <c r="CB56" t="s">
        <v>277</v>
      </c>
      <c r="CD56" t="str" cm="1">
        <f t="array" aca="1" ref="CD56" ca="1">eConcatenar(A56:CB56,"|")</f>
        <v>OyrZFfR2Cx3fNaV7|CAR2021-0893|3|MEM0RIAL|TABASCO|CARDENAS|CARDENAS|2021-03-15|14800|0|200|50|1|0|0|0|0|0|0|0|0|0|0|0|0|0|0|HERNANDEZ|LARA|NATIVIVDAD|SOLTERO|X|X|CARRETERA CARDENAS HUIMANGUILLO SIN NUMERO|RANCHERIA PASO Y PLAYA|x|9373777432|x|x|x|CARRETERA CARDENAS HUIMANGUILLO SIN NUMERO|x|LUNES|X|X|X|X|X|DOMICILIO |5000|9800|X|X|X|2022-07-03|2022-07-10|X|X|X|X|X|QWZBUBTG9KVTQO|X|HOMBRE|X|14800|X|X|X|X|X|X|X|X|CARDENAS|X|X|X|X|FINAL</v>
      </c>
    </row>
    <row r="57" spans="1:82" x14ac:dyDescent="0.25">
      <c r="A57" t="s">
        <v>516</v>
      </c>
      <c r="B57" t="s">
        <v>517</v>
      </c>
      <c r="C57">
        <v>3</v>
      </c>
      <c r="D57" t="s">
        <v>148</v>
      </c>
      <c r="E57" t="s">
        <v>150</v>
      </c>
      <c r="F57" t="s">
        <v>0</v>
      </c>
      <c r="G57" t="s">
        <v>0</v>
      </c>
      <c r="H57" t="s">
        <v>167</v>
      </c>
      <c r="I57">
        <v>24500</v>
      </c>
      <c r="J57">
        <v>0</v>
      </c>
      <c r="K57">
        <v>100</v>
      </c>
      <c r="L57">
        <v>50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222</v>
      </c>
      <c r="AC57" t="s">
        <v>518</v>
      </c>
      <c r="AD57" t="s">
        <v>437</v>
      </c>
      <c r="AE57" t="s">
        <v>4</v>
      </c>
      <c r="AF57" t="s">
        <v>1</v>
      </c>
      <c r="AG57" t="s">
        <v>1</v>
      </c>
      <c r="AH57" t="s">
        <v>519</v>
      </c>
      <c r="AI57" t="s">
        <v>520</v>
      </c>
      <c r="AJ57" t="s">
        <v>3</v>
      </c>
      <c r="AK57">
        <v>9371338642</v>
      </c>
      <c r="AL57" t="s">
        <v>3</v>
      </c>
      <c r="AM57" t="s">
        <v>3</v>
      </c>
      <c r="AN57" t="s">
        <v>3</v>
      </c>
      <c r="AO57" t="s">
        <v>519</v>
      </c>
      <c r="AP57" t="s">
        <v>3</v>
      </c>
      <c r="AQ57" t="s">
        <v>2</v>
      </c>
      <c r="AR57" t="s">
        <v>1</v>
      </c>
      <c r="AS57" t="s">
        <v>1</v>
      </c>
      <c r="AT57" t="s">
        <v>1</v>
      </c>
      <c r="AU57" t="s">
        <v>1</v>
      </c>
      <c r="AV57" t="s">
        <v>1</v>
      </c>
      <c r="AW57" t="s">
        <v>11</v>
      </c>
      <c r="AX57">
        <f>Tabla1[[#This Row],[precio del paquete]]-Tabla1[[#This Row],[Saldo_Deudor]]</f>
        <v>1500</v>
      </c>
      <c r="AY57">
        <v>23000</v>
      </c>
      <c r="AZ57" t="s">
        <v>1</v>
      </c>
      <c r="BA57" t="s">
        <v>1</v>
      </c>
      <c r="BB57" t="s">
        <v>1</v>
      </c>
      <c r="BC57" t="s">
        <v>257</v>
      </c>
      <c r="BD57" t="s">
        <v>265</v>
      </c>
      <c r="BE57" t="s">
        <v>1</v>
      </c>
      <c r="BF57" t="s">
        <v>1</v>
      </c>
      <c r="BG57" t="s">
        <v>1</v>
      </c>
      <c r="BH57" t="s">
        <v>1</v>
      </c>
      <c r="BI57" t="s">
        <v>1</v>
      </c>
      <c r="BJ57" t="s">
        <v>274</v>
      </c>
      <c r="BK57" t="s">
        <v>1</v>
      </c>
      <c r="BL57" t="s">
        <v>132</v>
      </c>
      <c r="BM57" t="s">
        <v>1</v>
      </c>
      <c r="BN57">
        <v>24500</v>
      </c>
      <c r="BO57" t="s">
        <v>1</v>
      </c>
      <c r="BP57" t="s">
        <v>1</v>
      </c>
      <c r="BQ57" t="s">
        <v>1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0</v>
      </c>
      <c r="BX57" t="s">
        <v>1</v>
      </c>
      <c r="BY57" t="s">
        <v>1</v>
      </c>
      <c r="BZ57" t="s">
        <v>1</v>
      </c>
      <c r="CA57" t="s">
        <v>1</v>
      </c>
      <c r="CB57" t="s">
        <v>277</v>
      </c>
      <c r="CD57" t="str" cm="1">
        <f t="array" aca="1" ref="CD57" ca="1">eConcatenar(A57:CB57,"|")</f>
        <v>GnzVGxTQaVzzbvx4|CAR2021-7077|3|DIGNITY|TABASCO|CARDENAS|CARDENAS|2021-11-22|24500|0|100|50|0|0|0|0|0|0|0|0|0|0|0|0|0|0|0|RAMIREZ|JUAREZ|EDUARDO|SOLTERO|X|X|CALLE EMILIANO ZAPATA FRENTE AL TEMPLO MONTE HERMON|EJIDO LA PENINSULA|x|9371338642|x|x|x|CALLE EMILIANO ZAPATA FRENTE AL TEMPLO MONTE HERMON|x|LUNES|X|X|X|X|X|DOMICILIO |1500|23000|X|X|X|2022-07-03|2022-07-10|X|X|X|X|X|QWZBUBTG9KVTQO|X|HOMBRE|X|24500|X|X|X|X|X|X|X|X|CARDENAS|X|X|X|X|FINAL</v>
      </c>
    </row>
    <row r="58" spans="1:82" x14ac:dyDescent="0.25">
      <c r="A58" t="s">
        <v>521</v>
      </c>
      <c r="B58" t="s">
        <v>522</v>
      </c>
      <c r="C58">
        <v>3</v>
      </c>
      <c r="D58" t="s">
        <v>145</v>
      </c>
      <c r="E58" t="s">
        <v>150</v>
      </c>
      <c r="F58" t="s">
        <v>0</v>
      </c>
      <c r="G58" t="s">
        <v>0</v>
      </c>
      <c r="H58" t="s">
        <v>1049</v>
      </c>
      <c r="I58">
        <v>14800</v>
      </c>
      <c r="J58">
        <v>0</v>
      </c>
      <c r="K58">
        <v>500</v>
      </c>
      <c r="L58">
        <v>50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523</v>
      </c>
      <c r="AC58" t="s">
        <v>524</v>
      </c>
      <c r="AD58" t="s">
        <v>525</v>
      </c>
      <c r="AE58" t="s">
        <v>4</v>
      </c>
      <c r="AF58" t="s">
        <v>1</v>
      </c>
      <c r="AG58" t="s">
        <v>1</v>
      </c>
      <c r="AH58" t="s">
        <v>526</v>
      </c>
      <c r="AI58" t="s">
        <v>515</v>
      </c>
      <c r="AJ58" t="s">
        <v>3</v>
      </c>
      <c r="AK58">
        <v>9371688772</v>
      </c>
      <c r="AL58" t="s">
        <v>3</v>
      </c>
      <c r="AM58" t="s">
        <v>3</v>
      </c>
      <c r="AN58" t="s">
        <v>3</v>
      </c>
      <c r="AO58" t="s">
        <v>526</v>
      </c>
      <c r="AP58" t="s">
        <v>3</v>
      </c>
      <c r="AQ58" t="s">
        <v>2</v>
      </c>
      <c r="AR58" t="s">
        <v>1</v>
      </c>
      <c r="AS58" t="s">
        <v>1</v>
      </c>
      <c r="AT58" t="s">
        <v>1</v>
      </c>
      <c r="AU58" t="s">
        <v>1</v>
      </c>
      <c r="AV58" t="s">
        <v>1</v>
      </c>
      <c r="AW58" t="s">
        <v>11</v>
      </c>
      <c r="AX58">
        <f>Tabla1[[#This Row],[precio del paquete]]-Tabla1[[#This Row],[Saldo_Deudor]]</f>
        <v>2200</v>
      </c>
      <c r="AY58">
        <v>12600</v>
      </c>
      <c r="AZ58" t="s">
        <v>1</v>
      </c>
      <c r="BA58" t="s">
        <v>1</v>
      </c>
      <c r="BB58" t="s">
        <v>1</v>
      </c>
      <c r="BC58" t="s">
        <v>257</v>
      </c>
      <c r="BD58" t="s">
        <v>265</v>
      </c>
      <c r="BE58" t="s">
        <v>1</v>
      </c>
      <c r="BF58" t="s">
        <v>1</v>
      </c>
      <c r="BG58" t="s">
        <v>1</v>
      </c>
      <c r="BH58" t="s">
        <v>1</v>
      </c>
      <c r="BI58" t="s">
        <v>1</v>
      </c>
      <c r="BJ58" t="s">
        <v>274</v>
      </c>
      <c r="BK58" t="s">
        <v>1</v>
      </c>
      <c r="BL58" t="s">
        <v>132</v>
      </c>
      <c r="BM58" t="s">
        <v>1</v>
      </c>
      <c r="BN58">
        <v>14800</v>
      </c>
      <c r="BO58" t="s">
        <v>1</v>
      </c>
      <c r="BP58" t="s">
        <v>1</v>
      </c>
      <c r="BQ58" t="s">
        <v>1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0</v>
      </c>
      <c r="BX58" t="s">
        <v>1</v>
      </c>
      <c r="BY58" t="s">
        <v>1</v>
      </c>
      <c r="BZ58" t="s">
        <v>1</v>
      </c>
      <c r="CA58" t="s">
        <v>1</v>
      </c>
      <c r="CB58" t="s">
        <v>277</v>
      </c>
      <c r="CD58" t="str" cm="1">
        <f t="array" aca="1" ref="CD58" ca="1">eConcatenar(A58:CB58,"|")</f>
        <v>ZhGgNQPKYE9vvt5y|CAR2021-7263|3|MEMORIAL|TABASCO|CARDENAS|CARDENAS|2021-11-27|14800|0|500|50|0|0|0|0|0|0|0|0|0|0|0|0|0|0|0|VALENZUELA|ALVARADO|YOLIDABET|SOLTERO|X|X|CARRETERA HUIMAGUILLO-CARDENAS|RANCHERIA PASO Y PLAYA|x|9371688772|x|x|x|CARRETERA HUIMAGUILLO-CARDENAS|x|LUNES|X|X|X|X|X|DOMICILIO |2200|12600|X|X|X|2022-07-03|2022-07-10|X|X|X|X|X|QWZBUBTG9KVTQO|X|HOMBRE|X|14800|X|X|X|X|X|X|X|X|CARDENAS|X|X|X|X|FINAL</v>
      </c>
    </row>
    <row r="59" spans="1:82" x14ac:dyDescent="0.25">
      <c r="A59" t="s">
        <v>527</v>
      </c>
      <c r="B59" t="s">
        <v>528</v>
      </c>
      <c r="C59">
        <v>3</v>
      </c>
      <c r="D59" t="s">
        <v>144</v>
      </c>
      <c r="E59" t="s">
        <v>150</v>
      </c>
      <c r="F59" t="s">
        <v>0</v>
      </c>
      <c r="G59" t="s">
        <v>0</v>
      </c>
      <c r="H59" t="s">
        <v>1069</v>
      </c>
      <c r="I59">
        <v>12900</v>
      </c>
      <c r="J59">
        <v>0</v>
      </c>
      <c r="K59">
        <v>200</v>
      </c>
      <c r="L59">
        <v>50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223</v>
      </c>
      <c r="AC59" t="s">
        <v>208</v>
      </c>
      <c r="AD59" t="s">
        <v>529</v>
      </c>
      <c r="AE59" t="s">
        <v>4</v>
      </c>
      <c r="AF59" t="s">
        <v>1</v>
      </c>
      <c r="AG59" t="s">
        <v>1</v>
      </c>
      <c r="AH59" t="s">
        <v>530</v>
      </c>
      <c r="AI59" t="s">
        <v>251</v>
      </c>
      <c r="AJ59" t="s">
        <v>3</v>
      </c>
      <c r="AK59">
        <v>9371108355</v>
      </c>
      <c r="AL59" t="s">
        <v>3</v>
      </c>
      <c r="AM59" t="s">
        <v>3</v>
      </c>
      <c r="AN59" t="s">
        <v>3</v>
      </c>
      <c r="AO59" t="s">
        <v>530</v>
      </c>
      <c r="AP59" t="s">
        <v>3</v>
      </c>
      <c r="AQ59" t="s">
        <v>2</v>
      </c>
      <c r="AR59" t="s">
        <v>1</v>
      </c>
      <c r="AS59" t="s">
        <v>1</v>
      </c>
      <c r="AT59" t="s">
        <v>1</v>
      </c>
      <c r="AU59" t="s">
        <v>1</v>
      </c>
      <c r="AV59" t="s">
        <v>1</v>
      </c>
      <c r="AW59" t="s">
        <v>11</v>
      </c>
      <c r="AX59">
        <f>Tabla1[[#This Row],[precio del paquete]]-Tabla1[[#This Row],[Saldo_Deudor]]</f>
        <v>7200</v>
      </c>
      <c r="AY59">
        <v>5700</v>
      </c>
      <c r="AZ59" t="s">
        <v>1</v>
      </c>
      <c r="BA59" t="s">
        <v>1</v>
      </c>
      <c r="BB59" t="s">
        <v>1</v>
      </c>
      <c r="BC59" t="s">
        <v>257</v>
      </c>
      <c r="BD59" t="s">
        <v>265</v>
      </c>
      <c r="BE59" t="s">
        <v>1</v>
      </c>
      <c r="BF59" t="s">
        <v>1</v>
      </c>
      <c r="BG59" t="s">
        <v>1</v>
      </c>
      <c r="BH59" t="s">
        <v>1</v>
      </c>
      <c r="BI59" t="s">
        <v>1</v>
      </c>
      <c r="BJ59" t="s">
        <v>274</v>
      </c>
      <c r="BK59" t="s">
        <v>1</v>
      </c>
      <c r="BL59" t="s">
        <v>132</v>
      </c>
      <c r="BM59" t="s">
        <v>1</v>
      </c>
      <c r="BN59">
        <v>12900</v>
      </c>
      <c r="BO59" t="s">
        <v>1</v>
      </c>
      <c r="BP59" t="s">
        <v>1</v>
      </c>
      <c r="BQ59" t="s">
        <v>1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0</v>
      </c>
      <c r="BX59" t="s">
        <v>1</v>
      </c>
      <c r="BY59" t="s">
        <v>1</v>
      </c>
      <c r="BZ59" t="s">
        <v>1</v>
      </c>
      <c r="CA59" t="s">
        <v>1</v>
      </c>
      <c r="CB59" t="s">
        <v>277</v>
      </c>
      <c r="CD59" t="str" cm="1">
        <f t="array" aca="1" ref="CD59" ca="1">eConcatenar(A59:CB59,"|")</f>
        <v>PRC06J5a4O5XJNBO|CAR2020-3235|3|IMPERIAL DE LUJO|TABASCO|CARDENAS|CARDENAS|2020-09-17|12900|0|200|50|1|0|0|0|0|0|0|0|0|0|0|0|0|0|0|GONZALEZ|MARTINEZ|LEYDI PATRICIA|SOLTERO|X|X|CALLE FRANCISCO I MADERO NUMERO 11|COLONIA OBRERA|x|9371108355|x|x|x|CALLE FRANCISCO I MADERO NUMERO 11|x|LUNES|X|X|X|X|X|DOMICILIO |7200|5700|X|X|X|2022-07-03|2022-07-10|X|X|X|X|X|QWZBUBTG9KVTQO|X|HOMBRE|X|12900|X|X|X|X|X|X|X|X|CARDENAS|X|X|X|X|FINAL</v>
      </c>
    </row>
    <row r="60" spans="1:82" x14ac:dyDescent="0.25">
      <c r="A60" t="s">
        <v>531</v>
      </c>
      <c r="B60" t="s">
        <v>532</v>
      </c>
      <c r="C60">
        <v>3</v>
      </c>
      <c r="D60" t="s">
        <v>144</v>
      </c>
      <c r="E60" t="s">
        <v>150</v>
      </c>
      <c r="F60" t="s">
        <v>0</v>
      </c>
      <c r="G60" t="s">
        <v>0</v>
      </c>
      <c r="H60" t="s">
        <v>1070</v>
      </c>
      <c r="I60">
        <v>12900</v>
      </c>
      <c r="J60">
        <v>0</v>
      </c>
      <c r="K60">
        <v>200</v>
      </c>
      <c r="L60">
        <v>50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211</v>
      </c>
      <c r="AC60" t="s">
        <v>533</v>
      </c>
      <c r="AD60" t="s">
        <v>332</v>
      </c>
      <c r="AE60" t="s">
        <v>4</v>
      </c>
      <c r="AF60" t="s">
        <v>1</v>
      </c>
      <c r="AG60" t="s">
        <v>1</v>
      </c>
      <c r="AH60" t="s">
        <v>534</v>
      </c>
      <c r="AI60" t="s">
        <v>515</v>
      </c>
      <c r="AJ60" t="s">
        <v>3</v>
      </c>
      <c r="AK60">
        <v>9371029105</v>
      </c>
      <c r="AL60" t="s">
        <v>3</v>
      </c>
      <c r="AM60" t="s">
        <v>3</v>
      </c>
      <c r="AN60" t="s">
        <v>3</v>
      </c>
      <c r="AO60" t="s">
        <v>534</v>
      </c>
      <c r="AP60" t="s">
        <v>3</v>
      </c>
      <c r="AQ60" t="s">
        <v>2</v>
      </c>
      <c r="AR60" t="s">
        <v>1</v>
      </c>
      <c r="AS60" t="s">
        <v>1</v>
      </c>
      <c r="AT60" t="s">
        <v>1</v>
      </c>
      <c r="AU60" t="s">
        <v>1</v>
      </c>
      <c r="AV60" t="s">
        <v>1</v>
      </c>
      <c r="AW60" t="s">
        <v>11</v>
      </c>
      <c r="AX60">
        <f>Tabla1[[#This Row],[precio del paquete]]-Tabla1[[#This Row],[Saldo_Deudor]]</f>
        <v>8500</v>
      </c>
      <c r="AY60">
        <v>4400</v>
      </c>
      <c r="AZ60" t="s">
        <v>1</v>
      </c>
      <c r="BA60" t="s">
        <v>1</v>
      </c>
      <c r="BB60" t="s">
        <v>1</v>
      </c>
      <c r="BC60" t="s">
        <v>257</v>
      </c>
      <c r="BD60" t="s">
        <v>265</v>
      </c>
      <c r="BE60" t="s">
        <v>1</v>
      </c>
      <c r="BF60" t="s">
        <v>1</v>
      </c>
      <c r="BG60" t="s">
        <v>1</v>
      </c>
      <c r="BH60" t="s">
        <v>1</v>
      </c>
      <c r="BI60" t="s">
        <v>1</v>
      </c>
      <c r="BJ60" t="s">
        <v>274</v>
      </c>
      <c r="BK60" t="s">
        <v>1</v>
      </c>
      <c r="BL60" t="s">
        <v>132</v>
      </c>
      <c r="BM60" t="s">
        <v>1</v>
      </c>
      <c r="BN60">
        <v>12900</v>
      </c>
      <c r="BO60" t="s">
        <v>1</v>
      </c>
      <c r="BP60" t="s">
        <v>1</v>
      </c>
      <c r="BQ60" t="s">
        <v>1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0</v>
      </c>
      <c r="BX60" t="s">
        <v>1</v>
      </c>
      <c r="BY60" t="s">
        <v>1</v>
      </c>
      <c r="BZ60" t="s">
        <v>1</v>
      </c>
      <c r="CA60" t="s">
        <v>1</v>
      </c>
      <c r="CB60" t="s">
        <v>277</v>
      </c>
      <c r="CD60" t="str" cm="1">
        <f t="array" aca="1" ref="CD60" ca="1">eConcatenar(A60:CB60,"|")</f>
        <v>mDRb7mLU3UXRUFNX|CAR2020-3856|3|IMPERIAL DE LUJO|TABASCO|CARDENAS|CARDENAS|2020-10-10|12900|0|200|50|1|0|0|0|0|0|0|0|0|0|0|0|0|0|0|LANDERO|PONZ|ROSA MARIA|SOLTERO|X|X|CARRETERA CARDENAS-HUIMANGUILLO|RANCHERIA PASO Y PLAYA|x|9371029105|x|x|x|CARRETERA CARDENAS-HUIMANGUILLO|x|LUNES|X|X|X|X|X|DOMICILIO |8500|4400|X|X|X|2022-07-03|2022-07-10|X|X|X|X|X|QWZBUBTG9KVTQO|X|HOMBRE|X|12900|X|X|X|X|X|X|X|X|CARDENAS|X|X|X|X|FINAL</v>
      </c>
    </row>
    <row r="61" spans="1:82" x14ac:dyDescent="0.25">
      <c r="A61" t="s">
        <v>535</v>
      </c>
      <c r="B61" t="s">
        <v>536</v>
      </c>
      <c r="C61">
        <v>3</v>
      </c>
      <c r="D61" t="s">
        <v>144</v>
      </c>
      <c r="E61" t="s">
        <v>150</v>
      </c>
      <c r="F61" t="s">
        <v>0</v>
      </c>
      <c r="G61" t="s">
        <v>0</v>
      </c>
      <c r="H61" t="s">
        <v>1071</v>
      </c>
      <c r="I61">
        <v>12900</v>
      </c>
      <c r="J61">
        <v>0</v>
      </c>
      <c r="K61">
        <v>200</v>
      </c>
      <c r="L61">
        <v>50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537</v>
      </c>
      <c r="AC61" t="s">
        <v>538</v>
      </c>
      <c r="AD61" t="s">
        <v>539</v>
      </c>
      <c r="AE61" t="s">
        <v>4</v>
      </c>
      <c r="AF61" t="s">
        <v>1</v>
      </c>
      <c r="AG61" t="s">
        <v>1</v>
      </c>
      <c r="AH61" t="s">
        <v>540</v>
      </c>
      <c r="AI61" t="s">
        <v>252</v>
      </c>
      <c r="AJ61" t="s">
        <v>3</v>
      </c>
      <c r="AK61">
        <v>9371333272</v>
      </c>
      <c r="AL61" t="s">
        <v>3</v>
      </c>
      <c r="AM61" t="s">
        <v>3</v>
      </c>
      <c r="AN61" t="s">
        <v>3</v>
      </c>
      <c r="AO61" t="s">
        <v>540</v>
      </c>
      <c r="AP61" t="s">
        <v>3</v>
      </c>
      <c r="AQ61" t="s">
        <v>2</v>
      </c>
      <c r="AR61" t="s">
        <v>1</v>
      </c>
      <c r="AS61" t="s">
        <v>1</v>
      </c>
      <c r="AT61" t="s">
        <v>1</v>
      </c>
      <c r="AU61" t="s">
        <v>1</v>
      </c>
      <c r="AV61" t="s">
        <v>1</v>
      </c>
      <c r="AW61" t="s">
        <v>11</v>
      </c>
      <c r="AX61">
        <f>Tabla1[[#This Row],[precio del paquete]]-Tabla1[[#This Row],[Saldo_Deudor]]</f>
        <v>5400</v>
      </c>
      <c r="AY61">
        <v>7500</v>
      </c>
      <c r="AZ61" t="s">
        <v>1</v>
      </c>
      <c r="BA61" t="s">
        <v>1</v>
      </c>
      <c r="BB61" t="s">
        <v>1</v>
      </c>
      <c r="BC61" t="s">
        <v>257</v>
      </c>
      <c r="BD61" t="s">
        <v>265</v>
      </c>
      <c r="BE61" t="s">
        <v>1</v>
      </c>
      <c r="BF61" t="s">
        <v>1</v>
      </c>
      <c r="BG61" t="s">
        <v>1</v>
      </c>
      <c r="BH61" t="s">
        <v>1</v>
      </c>
      <c r="BI61" t="s">
        <v>1</v>
      </c>
      <c r="BJ61" t="s">
        <v>274</v>
      </c>
      <c r="BK61" t="s">
        <v>1</v>
      </c>
      <c r="BL61" t="s">
        <v>132</v>
      </c>
      <c r="BM61" t="s">
        <v>1</v>
      </c>
      <c r="BN61">
        <v>12900</v>
      </c>
      <c r="BO61" t="s">
        <v>1</v>
      </c>
      <c r="BP61" t="s">
        <v>1</v>
      </c>
      <c r="BQ61" t="s">
        <v>1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0</v>
      </c>
      <c r="BX61" t="s">
        <v>1</v>
      </c>
      <c r="BY61" t="s">
        <v>1</v>
      </c>
      <c r="BZ61" t="s">
        <v>1</v>
      </c>
      <c r="CA61" t="s">
        <v>1</v>
      </c>
      <c r="CB61" t="s">
        <v>277</v>
      </c>
      <c r="CD61" t="str" cm="1">
        <f t="array" aca="1" ref="CD61" ca="1">eConcatenar(A61:CB61,"|")</f>
        <v>ECUX5bLyLe86sGCc|CAR2021-0269|3|IMPERIAL DE LUJO|TABASCO|CARDENAS|CARDENAS|2021-01-27|12900|0|200|50|1|0|0|0|0|0|0|0|0|0|0|0|0|0|0|ESTRADA|DE DIOS|JULIAN|SOLTERO|X|X|CALLE ERNESTO AGUIRRE COLORADO|COLONIA PUEBLO NUEVO|x|9371333272|x|x|x|CALLE ERNESTO AGUIRRE COLORADO|x|LUNES|X|X|X|X|X|DOMICILIO |5400|7500|X|X|X|2022-07-03|2022-07-10|X|X|X|X|X|QWZBUBTG9KVTQO|X|HOMBRE|X|12900|X|X|X|X|X|X|X|X|CARDENAS|X|X|X|X|FINAL</v>
      </c>
    </row>
    <row r="62" spans="1:82" x14ac:dyDescent="0.25">
      <c r="A62" t="s">
        <v>541</v>
      </c>
      <c r="B62" t="s">
        <v>542</v>
      </c>
      <c r="C62">
        <v>3</v>
      </c>
      <c r="D62" t="s">
        <v>144</v>
      </c>
      <c r="E62" t="s">
        <v>150</v>
      </c>
      <c r="F62" t="s">
        <v>0</v>
      </c>
      <c r="G62" t="s">
        <v>0</v>
      </c>
      <c r="H62" t="s">
        <v>1035</v>
      </c>
      <c r="I62">
        <v>12900</v>
      </c>
      <c r="J62">
        <v>1000</v>
      </c>
      <c r="K62">
        <v>200</v>
      </c>
      <c r="L62">
        <v>50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212</v>
      </c>
      <c r="AC62" t="s">
        <v>214</v>
      </c>
      <c r="AD62" t="s">
        <v>543</v>
      </c>
      <c r="AE62" t="s">
        <v>4</v>
      </c>
      <c r="AF62" t="s">
        <v>1</v>
      </c>
      <c r="AG62" t="s">
        <v>1</v>
      </c>
      <c r="AH62" t="s">
        <v>544</v>
      </c>
      <c r="AI62" t="s">
        <v>249</v>
      </c>
      <c r="AJ62" t="s">
        <v>3</v>
      </c>
      <c r="AK62">
        <v>9371705310</v>
      </c>
      <c r="AL62" t="s">
        <v>3</v>
      </c>
      <c r="AM62" t="s">
        <v>3</v>
      </c>
      <c r="AN62" t="s">
        <v>3</v>
      </c>
      <c r="AO62" t="s">
        <v>544</v>
      </c>
      <c r="AP62" t="s">
        <v>3</v>
      </c>
      <c r="AQ62" t="s">
        <v>2</v>
      </c>
      <c r="AR62" t="s">
        <v>1</v>
      </c>
      <c r="AS62" t="s">
        <v>1</v>
      </c>
      <c r="AT62" t="s">
        <v>1</v>
      </c>
      <c r="AU62" t="s">
        <v>1</v>
      </c>
      <c r="AV62" t="s">
        <v>1</v>
      </c>
      <c r="AW62" t="s">
        <v>11</v>
      </c>
      <c r="AX62">
        <f>Tabla1[[#This Row],[precio del paquete]]-Tabla1[[#This Row],[Saldo_Deudor]]</f>
        <v>6200</v>
      </c>
      <c r="AY62">
        <v>6700</v>
      </c>
      <c r="AZ62" t="s">
        <v>1</v>
      </c>
      <c r="BA62" t="s">
        <v>1</v>
      </c>
      <c r="BB62" t="s">
        <v>1</v>
      </c>
      <c r="BC62" t="s">
        <v>257</v>
      </c>
      <c r="BD62" t="s">
        <v>265</v>
      </c>
      <c r="BE62" t="s">
        <v>1</v>
      </c>
      <c r="BF62" t="s">
        <v>1</v>
      </c>
      <c r="BG62" t="s">
        <v>1</v>
      </c>
      <c r="BH62" t="s">
        <v>1</v>
      </c>
      <c r="BI62" t="s">
        <v>1</v>
      </c>
      <c r="BJ62" t="s">
        <v>274</v>
      </c>
      <c r="BK62" t="s">
        <v>1</v>
      </c>
      <c r="BL62" t="s">
        <v>132</v>
      </c>
      <c r="BM62" t="s">
        <v>1</v>
      </c>
      <c r="BN62">
        <v>12900</v>
      </c>
      <c r="BO62" t="s">
        <v>1</v>
      </c>
      <c r="BP62" t="s">
        <v>1</v>
      </c>
      <c r="BQ62" t="s">
        <v>1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0</v>
      </c>
      <c r="BX62" t="s">
        <v>1</v>
      </c>
      <c r="BY62" t="s">
        <v>1</v>
      </c>
      <c r="BZ62" t="s">
        <v>1</v>
      </c>
      <c r="CA62" t="s">
        <v>1</v>
      </c>
      <c r="CB62" t="s">
        <v>277</v>
      </c>
      <c r="CD62" t="str" cm="1">
        <f t="array" aca="1" ref="CD62" ca="1">eConcatenar(A62:CB62,"|")</f>
        <v>q0KcGECtwazTBQQD|CAR2021-0229|3|IMPERIAL DE LUJO|TABASCO|CARDENAS|CARDENAS|2021-01-23|12900|1000|200|50|1|0|0|0|0|0|0|0|0|0|0|0|0|0|0|DOMINGUEZ|PEREZ|ARACELI|SOLTERO|X|X|CALLE AURELIO SOSA TORRES NUMERO 114|COLONIA CARDENAS CENTRO|x|9371705310|x|x|x|CALLE AURELIO SOSA TORRES NUMERO 114|x|LUNES|X|X|X|X|X|DOMICILIO |6200|6700|X|X|X|2022-07-03|2022-07-10|X|X|X|X|X|QWZBUBTG9KVTQO|X|HOMBRE|X|12900|X|X|X|X|X|X|X|X|CARDENAS|X|X|X|X|FINAL</v>
      </c>
    </row>
    <row r="63" spans="1:82" x14ac:dyDescent="0.25">
      <c r="A63" t="s">
        <v>545</v>
      </c>
      <c r="B63" t="s">
        <v>546</v>
      </c>
      <c r="C63">
        <v>3</v>
      </c>
      <c r="D63" t="s">
        <v>145</v>
      </c>
      <c r="E63" t="s">
        <v>150</v>
      </c>
      <c r="F63" t="s">
        <v>0</v>
      </c>
      <c r="G63" t="s">
        <v>0</v>
      </c>
      <c r="H63" t="s">
        <v>1072</v>
      </c>
      <c r="I63">
        <v>14800</v>
      </c>
      <c r="J63">
        <v>0</v>
      </c>
      <c r="K63">
        <v>200</v>
      </c>
      <c r="L63">
        <v>50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203</v>
      </c>
      <c r="AC63" t="s">
        <v>206</v>
      </c>
      <c r="AD63" t="s">
        <v>547</v>
      </c>
      <c r="AE63" t="s">
        <v>4</v>
      </c>
      <c r="AF63" t="s">
        <v>1</v>
      </c>
      <c r="AG63" t="s">
        <v>1</v>
      </c>
      <c r="AH63" t="s">
        <v>548</v>
      </c>
      <c r="AI63" t="s">
        <v>549</v>
      </c>
      <c r="AJ63" t="s">
        <v>3</v>
      </c>
      <c r="AK63">
        <v>9371697093</v>
      </c>
      <c r="AL63" t="s">
        <v>3</v>
      </c>
      <c r="AM63" t="s">
        <v>3</v>
      </c>
      <c r="AN63" t="s">
        <v>3</v>
      </c>
      <c r="AO63" t="s">
        <v>548</v>
      </c>
      <c r="AP63" t="s">
        <v>3</v>
      </c>
      <c r="AQ63" t="s">
        <v>2</v>
      </c>
      <c r="AR63" t="s">
        <v>1</v>
      </c>
      <c r="AS63" t="s">
        <v>1</v>
      </c>
      <c r="AT63" t="s">
        <v>1</v>
      </c>
      <c r="AU63" t="s">
        <v>1</v>
      </c>
      <c r="AV63" t="s">
        <v>1</v>
      </c>
      <c r="AW63" t="s">
        <v>11</v>
      </c>
      <c r="AX63">
        <f>Tabla1[[#This Row],[precio del paquete]]-Tabla1[[#This Row],[Saldo_Deudor]]</f>
        <v>2100</v>
      </c>
      <c r="AY63">
        <v>12700</v>
      </c>
      <c r="AZ63" t="s">
        <v>1</v>
      </c>
      <c r="BA63" t="s">
        <v>1</v>
      </c>
      <c r="BB63" t="s">
        <v>1</v>
      </c>
      <c r="BC63" t="s">
        <v>257</v>
      </c>
      <c r="BD63" t="s">
        <v>265</v>
      </c>
      <c r="BE63" t="s">
        <v>1</v>
      </c>
      <c r="BF63" t="s">
        <v>1</v>
      </c>
      <c r="BG63" t="s">
        <v>1</v>
      </c>
      <c r="BH63" t="s">
        <v>1</v>
      </c>
      <c r="BI63" t="s">
        <v>1</v>
      </c>
      <c r="BJ63" t="s">
        <v>274</v>
      </c>
      <c r="BK63" t="s">
        <v>1</v>
      </c>
      <c r="BL63" t="s">
        <v>132</v>
      </c>
      <c r="BM63" t="s">
        <v>1</v>
      </c>
      <c r="BN63">
        <v>14800</v>
      </c>
      <c r="BO63" t="s">
        <v>1</v>
      </c>
      <c r="BP63" t="s">
        <v>1</v>
      </c>
      <c r="BQ63" t="s">
        <v>1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0</v>
      </c>
      <c r="BX63" t="s">
        <v>1</v>
      </c>
      <c r="BY63" t="s">
        <v>1</v>
      </c>
      <c r="BZ63" t="s">
        <v>1</v>
      </c>
      <c r="CA63" t="s">
        <v>1</v>
      </c>
      <c r="CB63" t="s">
        <v>277</v>
      </c>
      <c r="CD63" t="str" cm="1">
        <f t="array" aca="1" ref="CD63" ca="1">eConcatenar(A63:CB63,"|")</f>
        <v>iKsk7x3hD4VhlC9T|CAR2021-7567|3|MEMORIAL|TABASCO|CARDENAS|CARDENAS|2021-12-15|14800|0|200|50|0|0|0|0|0|0|0|0|0|0|0|0|0|0|0|GARCIA|RODRIGUEZ|GLORIA GARCIA|SOLTERO|X|X|CALLE GUADALUPE SIN NUMERO|COLONIA SANTA CATALINA|x|9371697093|x|x|x|CALLE GUADALUPE SIN NUMERO|x|LUNES|X|X|X|X|X|DOMICILIO |2100|12700|X|X|X|2022-07-03|2022-07-10|X|X|X|X|X|QWZBUBTG9KVTQO|X|HOMBRE|X|14800|X|X|X|X|X|X|X|X|CARDENAS|X|X|X|X|FINAL</v>
      </c>
    </row>
    <row r="64" spans="1:82" x14ac:dyDescent="0.25">
      <c r="A64" t="s">
        <v>550</v>
      </c>
      <c r="B64" t="s">
        <v>551</v>
      </c>
      <c r="C64">
        <v>3</v>
      </c>
      <c r="D64" t="s">
        <v>145</v>
      </c>
      <c r="E64" t="s">
        <v>150</v>
      </c>
      <c r="F64" t="s">
        <v>0</v>
      </c>
      <c r="G64" t="s">
        <v>0</v>
      </c>
      <c r="H64" t="s">
        <v>1073</v>
      </c>
      <c r="I64">
        <v>14800</v>
      </c>
      <c r="J64">
        <v>0</v>
      </c>
      <c r="K64">
        <v>100</v>
      </c>
      <c r="L64">
        <v>50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7</v>
      </c>
      <c r="AC64" t="s">
        <v>8</v>
      </c>
      <c r="AD64" t="s">
        <v>552</v>
      </c>
      <c r="AE64" t="s">
        <v>4</v>
      </c>
      <c r="AF64" t="s">
        <v>1</v>
      </c>
      <c r="AG64" t="s">
        <v>1</v>
      </c>
      <c r="AH64" t="s">
        <v>553</v>
      </c>
      <c r="AI64" t="s">
        <v>252</v>
      </c>
      <c r="AJ64" t="s">
        <v>3</v>
      </c>
      <c r="AK64">
        <v>9371673418</v>
      </c>
      <c r="AL64" t="s">
        <v>3</v>
      </c>
      <c r="AM64" t="s">
        <v>3</v>
      </c>
      <c r="AN64" t="s">
        <v>3</v>
      </c>
      <c r="AO64" t="s">
        <v>553</v>
      </c>
      <c r="AP64" t="s">
        <v>3</v>
      </c>
      <c r="AQ64" t="s">
        <v>2</v>
      </c>
      <c r="AR64" t="s">
        <v>1</v>
      </c>
      <c r="AS64" t="s">
        <v>1</v>
      </c>
      <c r="AT64" t="s">
        <v>1</v>
      </c>
      <c r="AU64" t="s">
        <v>1</v>
      </c>
      <c r="AV64" t="s">
        <v>1</v>
      </c>
      <c r="AW64" t="s">
        <v>11</v>
      </c>
      <c r="AX64">
        <f>Tabla1[[#This Row],[precio del paquete]]-Tabla1[[#This Row],[Saldo_Deudor]]</f>
        <v>2600</v>
      </c>
      <c r="AY64">
        <v>12200</v>
      </c>
      <c r="AZ64" t="s">
        <v>1</v>
      </c>
      <c r="BA64" t="s">
        <v>1</v>
      </c>
      <c r="BB64" t="s">
        <v>1</v>
      </c>
      <c r="BC64" t="s">
        <v>257</v>
      </c>
      <c r="BD64" t="s">
        <v>265</v>
      </c>
      <c r="BE64" t="s">
        <v>1</v>
      </c>
      <c r="BF64" t="s">
        <v>1</v>
      </c>
      <c r="BG64" t="s">
        <v>1</v>
      </c>
      <c r="BH64" t="s">
        <v>1</v>
      </c>
      <c r="BI64" t="s">
        <v>1</v>
      </c>
      <c r="BJ64" t="s">
        <v>274</v>
      </c>
      <c r="BK64" t="s">
        <v>1</v>
      </c>
      <c r="BL64" t="s">
        <v>132</v>
      </c>
      <c r="BM64" t="s">
        <v>1</v>
      </c>
      <c r="BN64">
        <v>14800</v>
      </c>
      <c r="BO64" t="s">
        <v>1</v>
      </c>
      <c r="BP64" t="s">
        <v>1</v>
      </c>
      <c r="BQ64" t="s">
        <v>1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0</v>
      </c>
      <c r="BX64" t="s">
        <v>1</v>
      </c>
      <c r="BY64" t="s">
        <v>1</v>
      </c>
      <c r="BZ64" t="s">
        <v>1</v>
      </c>
      <c r="CA64" t="s">
        <v>1</v>
      </c>
      <c r="CB64" t="s">
        <v>277</v>
      </c>
      <c r="CD64" t="str" cm="1">
        <f t="array" aca="1" ref="CD64" ca="1">eConcatenar(A64:CB64,"|")</f>
        <v>3xX9ho7XAYE9v6WZ|CAR2021-5210|3|MEMORIAL|TABASCO|CARDENAS|CARDENAS|2021-07-09|14800|0|100|50|0|0|0|0|0|0|0|0|0|0|0|0|0|0|0|LOPEZ|GOMEZ|GEORGINA|SOLTERO|X|X|LA MARGARITA PROLONGACION 27 DE FEBRERO NUMERO 150|COLONIA PUEBLO NUEVO|x|9371673418|x|x|x|LA MARGARITA PROLONGACION 27 DE FEBRERO NUMERO 150|x|LUNES|X|X|X|X|X|DOMICILIO |2600|12200|X|X|X|2022-07-03|2022-07-10|X|X|X|X|X|QWZBUBTG9KVTQO|X|HOMBRE|X|14800|X|X|X|X|X|X|X|X|CARDENAS|X|X|X|X|FINAL</v>
      </c>
    </row>
    <row r="65" spans="1:82" x14ac:dyDescent="0.25">
      <c r="A65" t="s">
        <v>554</v>
      </c>
      <c r="B65" t="s">
        <v>555</v>
      </c>
      <c r="C65">
        <v>3</v>
      </c>
      <c r="D65" t="s">
        <v>145</v>
      </c>
      <c r="E65" t="s">
        <v>150</v>
      </c>
      <c r="F65" t="s">
        <v>0</v>
      </c>
      <c r="G65" t="s">
        <v>0</v>
      </c>
      <c r="H65" t="s">
        <v>1074</v>
      </c>
      <c r="I65">
        <v>14800</v>
      </c>
      <c r="J65">
        <v>0</v>
      </c>
      <c r="K65">
        <v>100</v>
      </c>
      <c r="L65">
        <v>50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556</v>
      </c>
      <c r="AC65" t="s">
        <v>203</v>
      </c>
      <c r="AD65" t="s">
        <v>557</v>
      </c>
      <c r="AE65" t="s">
        <v>4</v>
      </c>
      <c r="AF65" t="s">
        <v>1</v>
      </c>
      <c r="AG65" t="s">
        <v>1</v>
      </c>
      <c r="AH65" t="s">
        <v>558</v>
      </c>
      <c r="AI65" t="s">
        <v>250</v>
      </c>
      <c r="AJ65" t="s">
        <v>3</v>
      </c>
      <c r="AK65">
        <v>9371540075</v>
      </c>
      <c r="AL65" t="s">
        <v>3</v>
      </c>
      <c r="AM65" t="s">
        <v>3</v>
      </c>
      <c r="AN65" t="s">
        <v>3</v>
      </c>
      <c r="AO65" t="s">
        <v>558</v>
      </c>
      <c r="AP65" t="s">
        <v>3</v>
      </c>
      <c r="AQ65" t="s">
        <v>2</v>
      </c>
      <c r="AR65" t="s">
        <v>1</v>
      </c>
      <c r="AS65" t="s">
        <v>1</v>
      </c>
      <c r="AT65" t="s">
        <v>1</v>
      </c>
      <c r="AU65" t="s">
        <v>1</v>
      </c>
      <c r="AV65" t="s">
        <v>1</v>
      </c>
      <c r="AW65" t="s">
        <v>11</v>
      </c>
      <c r="AX65">
        <f>Tabla1[[#This Row],[precio del paquete]]-Tabla1[[#This Row],[Saldo_Deudor]]</f>
        <v>1400</v>
      </c>
      <c r="AY65">
        <v>13400</v>
      </c>
      <c r="AZ65" t="s">
        <v>1</v>
      </c>
      <c r="BA65" t="s">
        <v>1</v>
      </c>
      <c r="BB65" t="s">
        <v>1</v>
      </c>
      <c r="BC65" t="s">
        <v>1142</v>
      </c>
      <c r="BD65" t="s">
        <v>1155</v>
      </c>
      <c r="BE65" t="s">
        <v>1</v>
      </c>
      <c r="BF65" t="s">
        <v>1</v>
      </c>
      <c r="BG65" t="s">
        <v>1</v>
      </c>
      <c r="BH65" t="s">
        <v>1</v>
      </c>
      <c r="BI65" t="s">
        <v>1</v>
      </c>
      <c r="BJ65" t="s">
        <v>274</v>
      </c>
      <c r="BK65" t="s">
        <v>1</v>
      </c>
      <c r="BL65" t="s">
        <v>132</v>
      </c>
      <c r="BM65" t="s">
        <v>1</v>
      </c>
      <c r="BN65">
        <v>14800</v>
      </c>
      <c r="BO65" t="s">
        <v>1</v>
      </c>
      <c r="BP65" t="s">
        <v>1</v>
      </c>
      <c r="BQ65" t="s">
        <v>1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0</v>
      </c>
      <c r="BX65" t="s">
        <v>1</v>
      </c>
      <c r="BY65" t="s">
        <v>1</v>
      </c>
      <c r="BZ65" t="s">
        <v>1</v>
      </c>
      <c r="CA65" t="s">
        <v>1</v>
      </c>
      <c r="CB65" t="s">
        <v>277</v>
      </c>
      <c r="CD65" t="str" cm="1">
        <f t="array" aca="1" ref="CD65" ca="1">eConcatenar(A65:CB65,"|")</f>
        <v>w6FU2N1I0h2DOljW|CAR2021-7225|3|MEMORIAL|TABASCO|CARDENAS|CARDENAS|2021-11-25|14800|0|100|50|0|0|0|0|0|0|0|0|0|0|0|0|0|0|0|SERVIN|GARCIA|MERIDA|SOLTERO|X|X|CALLE DIABLO TERCERA SIN NUMERO|COLONIA JACINTO LOPEZ|x|9371540075|x|x|x|CALLE DIABLO TERCERA SIN NUMERO|x|LUNES|X|X|X|X|X|DOMICILIO |1400|13400|X|X|X|2022-08-03|2022-08-10|X|X|X|X|X|QWZBUBTG9KVTQO|X|HOMBRE|X|14800|X|X|X|X|X|X|X|X|CARDENAS|X|X|X|X|FINAL</v>
      </c>
    </row>
    <row r="66" spans="1:82" x14ac:dyDescent="0.25">
      <c r="A66" t="s">
        <v>559</v>
      </c>
      <c r="B66" t="s">
        <v>560</v>
      </c>
      <c r="C66">
        <v>3</v>
      </c>
      <c r="D66" t="s">
        <v>148</v>
      </c>
      <c r="E66" t="s">
        <v>150</v>
      </c>
      <c r="F66" t="s">
        <v>0</v>
      </c>
      <c r="G66" t="s">
        <v>0</v>
      </c>
      <c r="H66" t="s">
        <v>1075</v>
      </c>
      <c r="I66">
        <v>24500</v>
      </c>
      <c r="J66">
        <v>0</v>
      </c>
      <c r="K66">
        <v>50</v>
      </c>
      <c r="L66">
        <v>50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561</v>
      </c>
      <c r="AC66" t="s">
        <v>562</v>
      </c>
      <c r="AD66" t="s">
        <v>563</v>
      </c>
      <c r="AE66" t="s">
        <v>4</v>
      </c>
      <c r="AF66" t="s">
        <v>1</v>
      </c>
      <c r="AG66" t="s">
        <v>1</v>
      </c>
      <c r="AH66" t="s">
        <v>564</v>
      </c>
      <c r="AI66" t="s">
        <v>250</v>
      </c>
      <c r="AJ66" t="s">
        <v>3</v>
      </c>
      <c r="AK66">
        <v>9371200250</v>
      </c>
      <c r="AL66" t="s">
        <v>3</v>
      </c>
      <c r="AM66" t="s">
        <v>3</v>
      </c>
      <c r="AN66" t="s">
        <v>3</v>
      </c>
      <c r="AO66" t="s">
        <v>564</v>
      </c>
      <c r="AP66" t="s">
        <v>3</v>
      </c>
      <c r="AQ66" t="s">
        <v>2</v>
      </c>
      <c r="AR66" t="s">
        <v>1</v>
      </c>
      <c r="AS66" t="s">
        <v>1</v>
      </c>
      <c r="AT66" t="s">
        <v>1</v>
      </c>
      <c r="AU66" t="s">
        <v>1</v>
      </c>
      <c r="AV66" t="s">
        <v>1</v>
      </c>
      <c r="AW66" t="s">
        <v>11</v>
      </c>
      <c r="AX66">
        <f>Tabla1[[#This Row],[precio del paquete]]-Tabla1[[#This Row],[Saldo_Deudor]]</f>
        <v>2150</v>
      </c>
      <c r="AY66">
        <v>22350</v>
      </c>
      <c r="AZ66" t="s">
        <v>1</v>
      </c>
      <c r="BA66" t="s">
        <v>1</v>
      </c>
      <c r="BB66" t="s">
        <v>1</v>
      </c>
      <c r="BC66" t="s">
        <v>1142</v>
      </c>
      <c r="BD66" t="s">
        <v>1155</v>
      </c>
      <c r="BE66" t="s">
        <v>1</v>
      </c>
      <c r="BF66" t="s">
        <v>1</v>
      </c>
      <c r="BG66" t="s">
        <v>1</v>
      </c>
      <c r="BH66" t="s">
        <v>1</v>
      </c>
      <c r="BI66" t="s">
        <v>1</v>
      </c>
      <c r="BJ66" t="s">
        <v>274</v>
      </c>
      <c r="BK66" t="s">
        <v>1</v>
      </c>
      <c r="BL66" t="s">
        <v>132</v>
      </c>
      <c r="BM66" t="s">
        <v>1</v>
      </c>
      <c r="BN66">
        <v>24500</v>
      </c>
      <c r="BO66" t="s">
        <v>1</v>
      </c>
      <c r="BP66" t="s">
        <v>1</v>
      </c>
      <c r="BQ66" t="s">
        <v>1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0</v>
      </c>
      <c r="BX66" t="s">
        <v>1</v>
      </c>
      <c r="BY66" t="s">
        <v>1</v>
      </c>
      <c r="BZ66" t="s">
        <v>1</v>
      </c>
      <c r="CA66" t="s">
        <v>1</v>
      </c>
      <c r="CB66" t="s">
        <v>277</v>
      </c>
      <c r="CD66" t="str" cm="1">
        <f t="array" aca="1" ref="CD66" ca="1">eConcatenar(A66:CB66,"|")</f>
        <v>rVh8wcLWMh4KKYlV|CAR2021-7087|3|DIGNITY|TABASCO|CARDENAS|CARDENAS|2021-11-20|24500|0|50|50|0|0|0|0|0|0|0|0|0|0|0|0|0|0|0|BARRIOS|RUEDA|ANGELICA|SOLTERO|X|X|CALLE ARABIA 1|COLONIA JACINTO LOPEZ|x|9371200250|x|x|x|CALLE ARABIA 1|x|LUNES|X|X|X|X|X|DOMICILIO |2150|22350|X|X|X|2022-08-03|2022-08-10|X|X|X|X|X|QWZBUBTG9KVTQO|X|HOMBRE|X|24500|X|X|X|X|X|X|X|X|CARDENAS|X|X|X|X|FINAL</v>
      </c>
    </row>
    <row r="67" spans="1:82" x14ac:dyDescent="0.25">
      <c r="A67" t="s">
        <v>565</v>
      </c>
      <c r="B67" t="s">
        <v>566</v>
      </c>
      <c r="C67">
        <v>3</v>
      </c>
      <c r="D67" t="s">
        <v>144</v>
      </c>
      <c r="E67" t="s">
        <v>150</v>
      </c>
      <c r="F67" t="s">
        <v>0</v>
      </c>
      <c r="G67" t="s">
        <v>0</v>
      </c>
      <c r="H67" t="s">
        <v>1076</v>
      </c>
      <c r="I67">
        <v>12900</v>
      </c>
      <c r="J67">
        <v>0</v>
      </c>
      <c r="K67">
        <v>100</v>
      </c>
      <c r="L67">
        <v>50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8</v>
      </c>
      <c r="AC67" t="s">
        <v>224</v>
      </c>
      <c r="AD67" t="s">
        <v>567</v>
      </c>
      <c r="AE67" t="s">
        <v>4</v>
      </c>
      <c r="AF67" t="s">
        <v>1</v>
      </c>
      <c r="AG67" t="s">
        <v>1</v>
      </c>
      <c r="AH67" t="s">
        <v>568</v>
      </c>
      <c r="AI67" t="s">
        <v>568</v>
      </c>
      <c r="AJ67" t="s">
        <v>3</v>
      </c>
      <c r="AK67" t="s">
        <v>1</v>
      </c>
      <c r="AL67" t="s">
        <v>3</v>
      </c>
      <c r="AM67" t="s">
        <v>3</v>
      </c>
      <c r="AN67" t="s">
        <v>3</v>
      </c>
      <c r="AO67" t="s">
        <v>568</v>
      </c>
      <c r="AP67" t="s">
        <v>3</v>
      </c>
      <c r="AQ67" t="s">
        <v>2</v>
      </c>
      <c r="AR67" t="s">
        <v>1</v>
      </c>
      <c r="AS67" t="s">
        <v>1</v>
      </c>
      <c r="AT67" t="s">
        <v>1</v>
      </c>
      <c r="AU67" t="s">
        <v>1</v>
      </c>
      <c r="AV67" t="s">
        <v>1</v>
      </c>
      <c r="AW67" t="s">
        <v>11</v>
      </c>
      <c r="AX67">
        <f>Tabla1[[#This Row],[precio del paquete]]-Tabla1[[#This Row],[Saldo_Deudor]]</f>
        <v>5250</v>
      </c>
      <c r="AY67">
        <v>7650</v>
      </c>
      <c r="AZ67" t="s">
        <v>1</v>
      </c>
      <c r="BA67" t="s">
        <v>1</v>
      </c>
      <c r="BB67" t="s">
        <v>1</v>
      </c>
      <c r="BC67" t="s">
        <v>1142</v>
      </c>
      <c r="BD67" t="s">
        <v>1155</v>
      </c>
      <c r="BE67" t="s">
        <v>1</v>
      </c>
      <c r="BF67" t="s">
        <v>1</v>
      </c>
      <c r="BG67" t="s">
        <v>1</v>
      </c>
      <c r="BH67" t="s">
        <v>1</v>
      </c>
      <c r="BI67" t="s">
        <v>1</v>
      </c>
      <c r="BJ67" t="s">
        <v>274</v>
      </c>
      <c r="BK67" t="s">
        <v>1</v>
      </c>
      <c r="BL67" t="s">
        <v>132</v>
      </c>
      <c r="BM67" t="s">
        <v>1</v>
      </c>
      <c r="BN67">
        <v>12900</v>
      </c>
      <c r="BO67" t="s">
        <v>1</v>
      </c>
      <c r="BP67" t="s">
        <v>1</v>
      </c>
      <c r="BQ67" t="s">
        <v>1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0</v>
      </c>
      <c r="BX67" t="s">
        <v>1</v>
      </c>
      <c r="BY67" t="s">
        <v>1</v>
      </c>
      <c r="BZ67" t="s">
        <v>1</v>
      </c>
      <c r="CA67" t="s">
        <v>1</v>
      </c>
      <c r="CB67" t="s">
        <v>277</v>
      </c>
      <c r="CD67" t="str" cm="1">
        <f t="array" aca="1" ref="CD67" ca="1">eConcatenar(A67:CB67,"|")</f>
        <v>FkrOMMFpx6qhjS9g|CAR2021-0426|3|IMPERIAL DE LUJO|TABASCO|CARDENAS|CARDENAS|2021-02-04|12900|0|100|50|0|0|0|0|0|0|0|0|0|0|0|0|0|0|0|GOMEZ|TORREZ|BARTOLA|SOLTERO|X|X|FRACCIONAMIENTO INDEPENDENCIA|FRACCIONAMIENTO INDEPENDENCIA|x|X|x|x|x|FRACCIONAMIENTO INDEPENDENCIA|x|LUNES|X|X|X|X|X|DOMICILIO |5250|7650|X|X|X|2022-08-03|2022-08-10|X|X|X|X|X|QWZBUBTG9KVTQO|X|HOMBRE|X|12900|X|X|X|X|X|X|X|X|CARDENAS|X|X|X|X|FINAL</v>
      </c>
    </row>
    <row r="68" spans="1:82" x14ac:dyDescent="0.25">
      <c r="A68" t="s">
        <v>569</v>
      </c>
      <c r="B68" t="s">
        <v>570</v>
      </c>
      <c r="C68">
        <v>3</v>
      </c>
      <c r="D68" t="s">
        <v>144</v>
      </c>
      <c r="E68" t="s">
        <v>150</v>
      </c>
      <c r="F68" t="s">
        <v>0</v>
      </c>
      <c r="G68" t="s">
        <v>0</v>
      </c>
      <c r="H68" t="s">
        <v>1077</v>
      </c>
      <c r="I68">
        <v>12900</v>
      </c>
      <c r="J68">
        <v>0</v>
      </c>
      <c r="K68">
        <v>200</v>
      </c>
      <c r="L68">
        <v>50</v>
      </c>
      <c r="M68">
        <v>1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214</v>
      </c>
      <c r="AC68" t="s">
        <v>571</v>
      </c>
      <c r="AD68" t="s">
        <v>572</v>
      </c>
      <c r="AE68" t="s">
        <v>4</v>
      </c>
      <c r="AF68" t="s">
        <v>1</v>
      </c>
      <c r="AG68" t="s">
        <v>1</v>
      </c>
      <c r="AH68" t="s">
        <v>573</v>
      </c>
      <c r="AI68" t="s">
        <v>249</v>
      </c>
      <c r="AJ68" t="s">
        <v>3</v>
      </c>
      <c r="AK68">
        <v>9371400295</v>
      </c>
      <c r="AL68" t="s">
        <v>3</v>
      </c>
      <c r="AM68" t="s">
        <v>3</v>
      </c>
      <c r="AN68" t="s">
        <v>3</v>
      </c>
      <c r="AO68" t="s">
        <v>573</v>
      </c>
      <c r="AP68" t="s">
        <v>3</v>
      </c>
      <c r="AQ68" t="s">
        <v>2</v>
      </c>
      <c r="AR68" t="s">
        <v>1</v>
      </c>
      <c r="AS68" t="s">
        <v>1</v>
      </c>
      <c r="AT68" t="s">
        <v>1</v>
      </c>
      <c r="AU68" t="s">
        <v>1</v>
      </c>
      <c r="AV68" t="s">
        <v>1</v>
      </c>
      <c r="AW68" t="s">
        <v>11</v>
      </c>
      <c r="AX68">
        <f>Tabla1[[#This Row],[precio del paquete]]-Tabla1[[#This Row],[Saldo_Deudor]]</f>
        <v>5500</v>
      </c>
      <c r="AY68">
        <v>7400</v>
      </c>
      <c r="AZ68" t="s">
        <v>1</v>
      </c>
      <c r="BA68" t="s">
        <v>1</v>
      </c>
      <c r="BB68" t="s">
        <v>1</v>
      </c>
      <c r="BC68" t="s">
        <v>1142</v>
      </c>
      <c r="BD68" t="s">
        <v>1155</v>
      </c>
      <c r="BE68" t="s">
        <v>1</v>
      </c>
      <c r="BF68" t="s">
        <v>1</v>
      </c>
      <c r="BG68" t="s">
        <v>1</v>
      </c>
      <c r="BH68" t="s">
        <v>1</v>
      </c>
      <c r="BI68" t="s">
        <v>1</v>
      </c>
      <c r="BJ68" t="s">
        <v>274</v>
      </c>
      <c r="BK68" t="s">
        <v>1</v>
      </c>
      <c r="BL68" t="s">
        <v>132</v>
      </c>
      <c r="BM68" t="s">
        <v>1</v>
      </c>
      <c r="BN68">
        <v>12900</v>
      </c>
      <c r="BO68" t="s">
        <v>1</v>
      </c>
      <c r="BP68" t="s">
        <v>1</v>
      </c>
      <c r="BQ68" t="s">
        <v>1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0</v>
      </c>
      <c r="BX68" t="s">
        <v>1</v>
      </c>
      <c r="BY68" t="s">
        <v>1</v>
      </c>
      <c r="BZ68" t="s">
        <v>1</v>
      </c>
      <c r="CA68" t="s">
        <v>1</v>
      </c>
      <c r="CB68" t="s">
        <v>277</v>
      </c>
      <c r="CD68" t="str" cm="1">
        <f t="array" aca="1" ref="CD68" ca="1">eConcatenar(A68:CB68,"|")</f>
        <v>LIzqoYeSQTyiGtlj|CAR2021-0027|3|IMPERIAL DE LUJO|TABASCO|CARDENAS|CARDENAS|2021-07-01|12900|0|200|50|1|0|0|0|0|0|0|0|0|0|0|0|0|0|0|PEREZ|XACHAUSTEGUI|JOSE RAMON|SOLTERO|X|X|CALLE REFORMA|COLONIA CARDENAS CENTRO|x|9371400295|x|x|x|CALLE REFORMA|x|LUNES|X|X|X|X|X|DOMICILIO |5500|7400|X|X|X|2022-08-03|2022-08-10|X|X|X|X|X|QWZBUBTG9KVTQO|X|HOMBRE|X|12900|X|X|X|X|X|X|X|X|CARDENAS|X|X|X|X|FINAL</v>
      </c>
    </row>
    <row r="69" spans="1:82" x14ac:dyDescent="0.25">
      <c r="A69" t="s">
        <v>574</v>
      </c>
      <c r="B69" t="s">
        <v>575</v>
      </c>
      <c r="C69">
        <v>3</v>
      </c>
      <c r="D69" t="s">
        <v>149</v>
      </c>
      <c r="E69" t="s">
        <v>150</v>
      </c>
      <c r="F69" t="s">
        <v>154</v>
      </c>
      <c r="G69" t="s">
        <v>154</v>
      </c>
      <c r="H69" t="s">
        <v>1078</v>
      </c>
      <c r="I69">
        <v>19800</v>
      </c>
      <c r="J69">
        <v>1000</v>
      </c>
      <c r="K69">
        <v>200</v>
      </c>
      <c r="L69">
        <v>50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576</v>
      </c>
      <c r="AC69" t="s">
        <v>204</v>
      </c>
      <c r="AD69" t="s">
        <v>577</v>
      </c>
      <c r="AE69" t="s">
        <v>4</v>
      </c>
      <c r="AF69" t="s">
        <v>1</v>
      </c>
      <c r="AG69" t="s">
        <v>1</v>
      </c>
      <c r="AH69" t="s">
        <v>578</v>
      </c>
      <c r="AI69" t="s">
        <v>503</v>
      </c>
      <c r="AJ69" t="s">
        <v>3</v>
      </c>
      <c r="AK69">
        <v>9931959645</v>
      </c>
      <c r="AL69" t="s">
        <v>3</v>
      </c>
      <c r="AM69" t="s">
        <v>3</v>
      </c>
      <c r="AN69" t="s">
        <v>3</v>
      </c>
      <c r="AO69" t="s">
        <v>578</v>
      </c>
      <c r="AP69" t="s">
        <v>3</v>
      </c>
      <c r="AQ69" t="s">
        <v>2</v>
      </c>
      <c r="AR69" t="s">
        <v>1</v>
      </c>
      <c r="AS69" t="s">
        <v>1</v>
      </c>
      <c r="AT69" t="s">
        <v>1</v>
      </c>
      <c r="AU69" t="s">
        <v>1</v>
      </c>
      <c r="AV69" t="s">
        <v>1</v>
      </c>
      <c r="AW69" t="s">
        <v>11</v>
      </c>
      <c r="AX69">
        <f>Tabla1[[#This Row],[precio del paquete]]-Tabla1[[#This Row],[Saldo_Deudor]]</f>
        <v>7100</v>
      </c>
      <c r="AY69">
        <v>12700</v>
      </c>
      <c r="AZ69" t="s">
        <v>1</v>
      </c>
      <c r="BA69" t="s">
        <v>1</v>
      </c>
      <c r="BB69" t="s">
        <v>1</v>
      </c>
      <c r="BC69" t="s">
        <v>1142</v>
      </c>
      <c r="BD69" t="s">
        <v>1155</v>
      </c>
      <c r="BE69" t="s">
        <v>1</v>
      </c>
      <c r="BF69" t="s">
        <v>1</v>
      </c>
      <c r="BG69" t="s">
        <v>1</v>
      </c>
      <c r="BH69" t="s">
        <v>1</v>
      </c>
      <c r="BI69" t="s">
        <v>1</v>
      </c>
      <c r="BJ69" t="s">
        <v>274</v>
      </c>
      <c r="BK69" t="s">
        <v>1</v>
      </c>
      <c r="BL69" t="s">
        <v>132</v>
      </c>
      <c r="BM69" t="s">
        <v>1</v>
      </c>
      <c r="BN69">
        <v>19800</v>
      </c>
      <c r="BO69" t="s">
        <v>1</v>
      </c>
      <c r="BP69" t="s">
        <v>1</v>
      </c>
      <c r="BQ69" t="s">
        <v>1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0</v>
      </c>
      <c r="BX69" t="s">
        <v>1</v>
      </c>
      <c r="BY69" t="s">
        <v>1</v>
      </c>
      <c r="BZ69" t="s">
        <v>1</v>
      </c>
      <c r="CA69" t="s">
        <v>1</v>
      </c>
      <c r="CB69" t="s">
        <v>277</v>
      </c>
      <c r="CD69" t="str" cm="1">
        <f t="array" aca="1" ref="CD69" ca="1">eConcatenar(A69:CB69,"|")</f>
        <v>WWnK082OuJqfuGpK|CAR2021-0200|3|ZAFIRO|TABASCO|HUIMANGUILLO|HUIMANGUILLO|2021-01-21|19800|1000|200|50|1|0|0|0|0|0|0|0|0|0|0|0|0|0|0|GUILLEN|DIAZ|ANA YARITZI|SOLTERO|X|X|CERRADA 5-13-1|FRACCIONAMIENTO POMOCA|x|9931959645|x|x|x|CERRADA 5-13-1|x|LUNES|X|X|X|X|X|DOMICILIO |7100|12700|X|X|X|2022-08-03|2022-08-10|X|X|X|X|X|QWZBUBTG9KVTQO|X|HOMBRE|X|19800|X|X|X|X|X|X|X|X|CARDENAS|X|X|X|X|FINAL</v>
      </c>
    </row>
    <row r="70" spans="1:82" x14ac:dyDescent="0.25">
      <c r="A70" t="s">
        <v>579</v>
      </c>
      <c r="B70" t="s">
        <v>580</v>
      </c>
      <c r="C70">
        <v>3</v>
      </c>
      <c r="D70" t="s">
        <v>145</v>
      </c>
      <c r="E70" t="s">
        <v>150</v>
      </c>
      <c r="F70" t="s">
        <v>154</v>
      </c>
      <c r="G70" t="s">
        <v>154</v>
      </c>
      <c r="H70" t="s">
        <v>1079</v>
      </c>
      <c r="I70">
        <v>14800</v>
      </c>
      <c r="J70">
        <v>0</v>
      </c>
      <c r="K70">
        <v>4950</v>
      </c>
      <c r="L70">
        <v>50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218</v>
      </c>
      <c r="AC70" t="s">
        <v>581</v>
      </c>
      <c r="AD70" t="s">
        <v>193</v>
      </c>
      <c r="AE70" t="s">
        <v>4</v>
      </c>
      <c r="AF70" t="s">
        <v>1</v>
      </c>
      <c r="AG70" t="s">
        <v>1</v>
      </c>
      <c r="AH70" t="s">
        <v>582</v>
      </c>
      <c r="AI70" t="s">
        <v>583</v>
      </c>
      <c r="AJ70" t="s">
        <v>3</v>
      </c>
      <c r="AK70">
        <v>9371401174</v>
      </c>
      <c r="AL70" t="s">
        <v>3</v>
      </c>
      <c r="AM70" t="s">
        <v>3</v>
      </c>
      <c r="AN70" t="s">
        <v>3</v>
      </c>
      <c r="AO70" t="s">
        <v>582</v>
      </c>
      <c r="AP70" t="s">
        <v>3</v>
      </c>
      <c r="AQ70" t="s">
        <v>2</v>
      </c>
      <c r="AR70" t="s">
        <v>1</v>
      </c>
      <c r="AS70" t="s">
        <v>1</v>
      </c>
      <c r="AT70" t="s">
        <v>1</v>
      </c>
      <c r="AU70" t="s">
        <v>1</v>
      </c>
      <c r="AV70" t="s">
        <v>1</v>
      </c>
      <c r="AW70" t="s">
        <v>11</v>
      </c>
      <c r="AX70">
        <f>Tabla1[[#This Row],[precio del paquete]]-Tabla1[[#This Row],[Saldo_Deudor]]</f>
        <v>5750</v>
      </c>
      <c r="AY70">
        <v>9050</v>
      </c>
      <c r="AZ70" t="s">
        <v>1</v>
      </c>
      <c r="BA70" t="s">
        <v>1</v>
      </c>
      <c r="BB70" t="s">
        <v>1</v>
      </c>
      <c r="BC70" t="s">
        <v>1142</v>
      </c>
      <c r="BD70" t="s">
        <v>1155</v>
      </c>
      <c r="BE70" t="s">
        <v>1</v>
      </c>
      <c r="BF70" t="s">
        <v>1</v>
      </c>
      <c r="BG70" t="s">
        <v>1</v>
      </c>
      <c r="BH70" t="s">
        <v>1</v>
      </c>
      <c r="BI70" t="s">
        <v>1</v>
      </c>
      <c r="BJ70" t="s">
        <v>274</v>
      </c>
      <c r="BK70" t="s">
        <v>1</v>
      </c>
      <c r="BL70" t="s">
        <v>132</v>
      </c>
      <c r="BM70" t="s">
        <v>1</v>
      </c>
      <c r="BN70">
        <v>14800</v>
      </c>
      <c r="BO70" t="s">
        <v>1</v>
      </c>
      <c r="BP70" t="s">
        <v>1</v>
      </c>
      <c r="BQ70" t="s">
        <v>1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0</v>
      </c>
      <c r="BX70" t="s">
        <v>1</v>
      </c>
      <c r="BY70" t="s">
        <v>1</v>
      </c>
      <c r="BZ70" t="s">
        <v>1</v>
      </c>
      <c r="CA70" t="s">
        <v>1</v>
      </c>
      <c r="CB70" t="s">
        <v>277</v>
      </c>
      <c r="CD70" t="str" cm="1">
        <f t="array" aca="1" ref="CD70" ca="1">eConcatenar(A70:CB70,"|")</f>
        <v>DzH9gRrge49rTpgo|CAR2021-1480|3|MEMORIAL|TABASCO|HUIMANGUILLO|HUIMANGUILLO|2022-01-15|14800|0|4950|50|0|0|0|0|0|0|0|0|0|0|0|0|0|0|0|JIMENEZ|ACUÑA|MARIA JESUS|SOLTERO|X|X|CARRETERA A LAS GALAXIAS SIN NUMERO|RANCHERIA RIO SECO Y MONTAÑA SEGUNDA SECCION|x|9371401174|x|x|x|CARRETERA A LAS GALAXIAS SIN NUMERO|x|LUNES|X|X|X|X|X|DOMICILIO |5750|9050|X|X|X|2022-08-03|2022-08-10|X|X|X|X|X|QWZBUBTG9KVTQO|X|HOMBRE|X|14800|X|X|X|X|X|X|X|X|CARDENAS|X|X|X|X|FINAL</v>
      </c>
    </row>
    <row r="71" spans="1:82" x14ac:dyDescent="0.25">
      <c r="A71" t="s">
        <v>584</v>
      </c>
      <c r="B71" t="s">
        <v>585</v>
      </c>
      <c r="C71">
        <v>3</v>
      </c>
      <c r="D71" t="s">
        <v>145</v>
      </c>
      <c r="E71" t="s">
        <v>150</v>
      </c>
      <c r="F71" t="s">
        <v>0</v>
      </c>
      <c r="G71" t="s">
        <v>0</v>
      </c>
      <c r="H71" t="s">
        <v>1080</v>
      </c>
      <c r="I71">
        <v>14800</v>
      </c>
      <c r="J71">
        <v>0</v>
      </c>
      <c r="K71">
        <v>200</v>
      </c>
      <c r="L71">
        <v>50</v>
      </c>
      <c r="M71">
        <v>1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586</v>
      </c>
      <c r="AC71" t="s">
        <v>538</v>
      </c>
      <c r="AD71" t="s">
        <v>587</v>
      </c>
      <c r="AE71" t="s">
        <v>4</v>
      </c>
      <c r="AF71" t="s">
        <v>1</v>
      </c>
      <c r="AG71" t="s">
        <v>1</v>
      </c>
      <c r="AH71" t="s">
        <v>588</v>
      </c>
      <c r="AI71" t="s">
        <v>589</v>
      </c>
      <c r="AJ71" t="s">
        <v>3</v>
      </c>
      <c r="AK71">
        <v>9371033231</v>
      </c>
      <c r="AL71" t="s">
        <v>3</v>
      </c>
      <c r="AM71" t="s">
        <v>3</v>
      </c>
      <c r="AN71" t="s">
        <v>3</v>
      </c>
      <c r="AO71" t="s">
        <v>588</v>
      </c>
      <c r="AP71" t="s">
        <v>3</v>
      </c>
      <c r="AQ71" t="s">
        <v>2</v>
      </c>
      <c r="AR71" t="s">
        <v>1</v>
      </c>
      <c r="AS71" t="s">
        <v>1</v>
      </c>
      <c r="AT71" t="s">
        <v>1</v>
      </c>
      <c r="AU71" t="s">
        <v>1</v>
      </c>
      <c r="AV71" t="s">
        <v>1</v>
      </c>
      <c r="AW71" t="s">
        <v>11</v>
      </c>
      <c r="AX71">
        <f>Tabla1[[#This Row],[precio del paquete]]-Tabla1[[#This Row],[Saldo_Deudor]]</f>
        <v>1000</v>
      </c>
      <c r="AY71">
        <v>13800</v>
      </c>
      <c r="AZ71" t="s">
        <v>1</v>
      </c>
      <c r="BA71" t="s">
        <v>1</v>
      </c>
      <c r="BB71" t="s">
        <v>1</v>
      </c>
      <c r="BC71" t="s">
        <v>1138</v>
      </c>
      <c r="BD71" t="s">
        <v>1151</v>
      </c>
      <c r="BE71" t="s">
        <v>1</v>
      </c>
      <c r="BF71" t="s">
        <v>1</v>
      </c>
      <c r="BG71" t="s">
        <v>1</v>
      </c>
      <c r="BH71" t="s">
        <v>1</v>
      </c>
      <c r="BI71" t="s">
        <v>1</v>
      </c>
      <c r="BJ71" t="s">
        <v>274</v>
      </c>
      <c r="BK71" t="s">
        <v>1</v>
      </c>
      <c r="BL71" t="s">
        <v>132</v>
      </c>
      <c r="BM71" t="s">
        <v>1</v>
      </c>
      <c r="BN71">
        <v>14800</v>
      </c>
      <c r="BO71" t="s">
        <v>1</v>
      </c>
      <c r="BP71" t="s">
        <v>1</v>
      </c>
      <c r="BQ71" t="s">
        <v>1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0</v>
      </c>
      <c r="BX71" t="s">
        <v>1</v>
      </c>
      <c r="BY71" t="s">
        <v>1</v>
      </c>
      <c r="BZ71" t="s">
        <v>1</v>
      </c>
      <c r="CA71" t="s">
        <v>1</v>
      </c>
      <c r="CB71" t="s">
        <v>277</v>
      </c>
      <c r="CD71" t="str" cm="1">
        <f t="array" aca="1" ref="CD71" ca="1">eConcatenar(A71:CB71,"|")</f>
        <v>VTBrgy8q8XdY6YBB|CAR2022-0025|3|MEMORIAL|TABASCO|CARDENAS|CARDENAS|2022-06-01|14800|0|200|50|1|0|0|0|0|0|0|0|0|0|0|0|0|0|0|RAMON|DE DIOS|MARTHA PATRICIA|SOLTERO|X|X|PRIVADA MANGOS CASA NUMERO 108|FRACCIONAMIENTO EL ENCANTO|x|9371033231|x|x|x|PRIVADA MANGOS CASA NUMERO 108|x|LUNES|X|X|X|X|X|DOMICILIO |1000|13800|X|X|X|2022-03-08|2022-03-15|X|X|X|X|X|QWZBUBTG9KVTQO|X|HOMBRE|X|14800|X|X|X|X|X|X|X|X|CARDENAS|X|X|X|X|FINAL</v>
      </c>
    </row>
    <row r="72" spans="1:82" x14ac:dyDescent="0.25">
      <c r="A72" t="s">
        <v>590</v>
      </c>
      <c r="B72" t="s">
        <v>591</v>
      </c>
      <c r="C72">
        <v>3</v>
      </c>
      <c r="D72" t="s">
        <v>145</v>
      </c>
      <c r="E72" t="s">
        <v>150</v>
      </c>
      <c r="F72" t="s">
        <v>0</v>
      </c>
      <c r="G72" t="s">
        <v>0</v>
      </c>
      <c r="H72" t="s">
        <v>1081</v>
      </c>
      <c r="I72">
        <v>14800</v>
      </c>
      <c r="J72">
        <v>0</v>
      </c>
      <c r="K72">
        <v>50</v>
      </c>
      <c r="L72">
        <v>50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203</v>
      </c>
      <c r="AC72" t="s">
        <v>212</v>
      </c>
      <c r="AD72" t="s">
        <v>592</v>
      </c>
      <c r="AE72" t="s">
        <v>4</v>
      </c>
      <c r="AF72" t="s">
        <v>1</v>
      </c>
      <c r="AG72" t="s">
        <v>1</v>
      </c>
      <c r="AH72" t="s">
        <v>593</v>
      </c>
      <c r="AI72" t="s">
        <v>594</v>
      </c>
      <c r="AJ72" t="s">
        <v>3</v>
      </c>
      <c r="AK72">
        <v>9373742733</v>
      </c>
      <c r="AL72" t="s">
        <v>3</v>
      </c>
      <c r="AM72" t="s">
        <v>3</v>
      </c>
      <c r="AN72" t="s">
        <v>3</v>
      </c>
      <c r="AO72" t="s">
        <v>593</v>
      </c>
      <c r="AP72" t="s">
        <v>3</v>
      </c>
      <c r="AQ72" t="s">
        <v>2</v>
      </c>
      <c r="AR72" t="s">
        <v>1</v>
      </c>
      <c r="AS72" t="s">
        <v>1</v>
      </c>
      <c r="AT72" t="s">
        <v>1</v>
      </c>
      <c r="AU72" t="s">
        <v>1</v>
      </c>
      <c r="AV72" t="s">
        <v>1</v>
      </c>
      <c r="AW72" t="s">
        <v>11</v>
      </c>
      <c r="AX72">
        <f>Tabla1[[#This Row],[precio del paquete]]-Tabla1[[#This Row],[Saldo_Deudor]]</f>
        <v>550</v>
      </c>
      <c r="AY72">
        <v>14250</v>
      </c>
      <c r="AZ72" t="s">
        <v>1</v>
      </c>
      <c r="BA72" t="s">
        <v>1</v>
      </c>
      <c r="BB72" t="s">
        <v>1</v>
      </c>
      <c r="BC72" t="s">
        <v>1142</v>
      </c>
      <c r="BD72" t="s">
        <v>1155</v>
      </c>
      <c r="BE72" t="s">
        <v>1</v>
      </c>
      <c r="BF72" t="s">
        <v>1</v>
      </c>
      <c r="BG72" t="s">
        <v>1</v>
      </c>
      <c r="BH72" t="s">
        <v>1</v>
      </c>
      <c r="BI72" t="s">
        <v>1</v>
      </c>
      <c r="BJ72" t="s">
        <v>274</v>
      </c>
      <c r="BK72" t="s">
        <v>1</v>
      </c>
      <c r="BL72" t="s">
        <v>132</v>
      </c>
      <c r="BM72" t="s">
        <v>1</v>
      </c>
      <c r="BN72">
        <v>14800</v>
      </c>
      <c r="BO72" t="s">
        <v>1</v>
      </c>
      <c r="BP72" t="s">
        <v>1</v>
      </c>
      <c r="BQ72" t="s">
        <v>1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0</v>
      </c>
      <c r="BX72" t="s">
        <v>1</v>
      </c>
      <c r="BY72" t="s">
        <v>1</v>
      </c>
      <c r="BZ72" t="s">
        <v>1</v>
      </c>
      <c r="CA72" t="s">
        <v>1</v>
      </c>
      <c r="CB72" t="s">
        <v>277</v>
      </c>
      <c r="CD72" t="str" cm="1">
        <f t="array" aca="1" ref="CD72" ca="1">eConcatenar(A72:CB72,"|")</f>
        <v>pM76xbTWoNo9HQZr|CAR2021-7619|3|MEMORIAL|TABASCO|CARDENAS|CARDENAS|2021-12-17|14800|0|50|50|0|0|0|0|0|0|0|0|0|0|0|0|0|0|0|GARCIA|DOMINGUEZ|NOELIA|SOLTERO|X|X|CALLE GUAYACANES SIN NUMERO|COLONIA ADA ISABEL|x|9373742733|x|x|x|CALLE GUAYACANES SIN NUMERO|x|LUNES|X|X|X|X|X|DOMICILIO |550|14250|X|X|X|2022-08-03|2022-08-10|X|X|X|X|X|QWZBUBTG9KVTQO|X|HOMBRE|X|14800|X|X|X|X|X|X|X|X|CARDENAS|X|X|X|X|FINAL</v>
      </c>
    </row>
    <row r="73" spans="1:82" x14ac:dyDescent="0.25">
      <c r="A73" t="s">
        <v>595</v>
      </c>
      <c r="B73" t="s">
        <v>596</v>
      </c>
      <c r="C73">
        <v>3</v>
      </c>
      <c r="D73" t="s">
        <v>145</v>
      </c>
      <c r="E73" t="s">
        <v>150</v>
      </c>
      <c r="F73" t="s">
        <v>0</v>
      </c>
      <c r="G73" t="s">
        <v>0</v>
      </c>
      <c r="H73" t="s">
        <v>1082</v>
      </c>
      <c r="I73">
        <v>14800</v>
      </c>
      <c r="J73">
        <v>0</v>
      </c>
      <c r="K73">
        <v>50</v>
      </c>
      <c r="L73">
        <v>50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205</v>
      </c>
      <c r="AC73" t="s">
        <v>215</v>
      </c>
      <c r="AD73" t="s">
        <v>597</v>
      </c>
      <c r="AE73" t="s">
        <v>4</v>
      </c>
      <c r="AF73" t="s">
        <v>1</v>
      </c>
      <c r="AG73" t="s">
        <v>1</v>
      </c>
      <c r="AH73" t="s">
        <v>598</v>
      </c>
      <c r="AI73" t="s">
        <v>594</v>
      </c>
      <c r="AJ73" t="s">
        <v>3</v>
      </c>
      <c r="AK73">
        <v>9371037225</v>
      </c>
      <c r="AL73" t="s">
        <v>3</v>
      </c>
      <c r="AM73" t="s">
        <v>3</v>
      </c>
      <c r="AN73" t="s">
        <v>3</v>
      </c>
      <c r="AO73" t="s">
        <v>598</v>
      </c>
      <c r="AP73" t="s">
        <v>3</v>
      </c>
      <c r="AQ73" t="s">
        <v>2</v>
      </c>
      <c r="AR73" t="s">
        <v>1</v>
      </c>
      <c r="AS73" t="s">
        <v>1</v>
      </c>
      <c r="AT73" t="s">
        <v>1</v>
      </c>
      <c r="AU73" t="s">
        <v>1</v>
      </c>
      <c r="AV73" t="s">
        <v>1</v>
      </c>
      <c r="AW73" t="s">
        <v>11</v>
      </c>
      <c r="AX73">
        <f>Tabla1[[#This Row],[precio del paquete]]-Tabla1[[#This Row],[Saldo_Deudor]]</f>
        <v>550</v>
      </c>
      <c r="AY73">
        <v>14250</v>
      </c>
      <c r="AZ73" t="s">
        <v>1</v>
      </c>
      <c r="BA73" t="s">
        <v>1</v>
      </c>
      <c r="BB73" t="s">
        <v>1</v>
      </c>
      <c r="BC73" t="s">
        <v>1144</v>
      </c>
      <c r="BD73" t="s">
        <v>1158</v>
      </c>
      <c r="BE73" t="s">
        <v>1</v>
      </c>
      <c r="BF73" t="s">
        <v>1</v>
      </c>
      <c r="BG73" t="s">
        <v>1</v>
      </c>
      <c r="BH73" t="s">
        <v>1</v>
      </c>
      <c r="BI73" t="s">
        <v>1</v>
      </c>
      <c r="BJ73" t="s">
        <v>274</v>
      </c>
      <c r="BK73" t="s">
        <v>1</v>
      </c>
      <c r="BL73" t="s">
        <v>132</v>
      </c>
      <c r="BM73" t="s">
        <v>1</v>
      </c>
      <c r="BN73">
        <v>14800</v>
      </c>
      <c r="BO73" t="s">
        <v>1</v>
      </c>
      <c r="BP73" t="s">
        <v>1</v>
      </c>
      <c r="BQ73" t="s">
        <v>1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0</v>
      </c>
      <c r="BX73" t="s">
        <v>1</v>
      </c>
      <c r="BY73" t="s">
        <v>1</v>
      </c>
      <c r="BZ73" t="s">
        <v>1</v>
      </c>
      <c r="CA73" t="s">
        <v>1</v>
      </c>
      <c r="CB73" t="s">
        <v>277</v>
      </c>
      <c r="CD73" t="str" cm="1">
        <f t="array" aca="1" ref="CD73" ca="1">eConcatenar(A73:CB73,"|")</f>
        <v>hu4mLtK6Fu2ctHEh|CAR2021-7618|3|MEMORIAL|TABASCO|CARDENAS|CARDENAS|2021-02-17|14800|0|50|50|0|0|0|0|0|0|0|0|0|0|0|0|0|0|0|HERNANDEZ|SANCHEZ|ROSALINO|SOLTERO|X|X|CALLE FRAMBOYANES SIN NUMERO|COLONIA ADA ISABEL|x|9371037225|x|x|x|CALLE FRAMBOYANES SIN NUMERO|x|LUNES|X|X|X|X|X|DOMICILIO |550|14250|X|X|X|2021-08-03|2021-08-10|X|X|X|X|X|QWZBUBTG9KVTQO|X|HOMBRE|X|14800|X|X|X|X|X|X|X|X|CARDENAS|X|X|X|X|FINAL</v>
      </c>
    </row>
    <row r="74" spans="1:82" x14ac:dyDescent="0.25">
      <c r="A74" t="s">
        <v>599</v>
      </c>
      <c r="B74" t="s">
        <v>600</v>
      </c>
      <c r="C74">
        <v>3</v>
      </c>
      <c r="D74" t="s">
        <v>144</v>
      </c>
      <c r="E74" t="s">
        <v>12</v>
      </c>
      <c r="F74" t="s">
        <v>151</v>
      </c>
      <c r="G74" t="s">
        <v>151</v>
      </c>
      <c r="H74" t="s">
        <v>1083</v>
      </c>
      <c r="I74">
        <v>12900</v>
      </c>
      <c r="J74">
        <v>0</v>
      </c>
      <c r="K74">
        <v>100</v>
      </c>
      <c r="L74">
        <v>50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D74" t="s">
        <v>601</v>
      </c>
      <c r="AE74" t="s">
        <v>4</v>
      </c>
      <c r="AF74" t="s">
        <v>1</v>
      </c>
      <c r="AG74" t="s">
        <v>1</v>
      </c>
      <c r="AH74" t="s">
        <v>241</v>
      </c>
      <c r="AI74" t="s">
        <v>408</v>
      </c>
      <c r="AJ74" t="s">
        <v>3</v>
      </c>
      <c r="AK74">
        <v>9331602420</v>
      </c>
      <c r="AL74" t="s">
        <v>3</v>
      </c>
      <c r="AM74" t="s">
        <v>3</v>
      </c>
      <c r="AN74" t="s">
        <v>3</v>
      </c>
      <c r="AO74" t="s">
        <v>241</v>
      </c>
      <c r="AP74" t="s">
        <v>3</v>
      </c>
      <c r="AQ74" t="s">
        <v>2</v>
      </c>
      <c r="AR74" t="s">
        <v>1</v>
      </c>
      <c r="AS74" t="s">
        <v>1</v>
      </c>
      <c r="AT74" t="s">
        <v>1</v>
      </c>
      <c r="AU74" t="s">
        <v>1</v>
      </c>
      <c r="AV74" t="s">
        <v>1</v>
      </c>
      <c r="AW74" t="s">
        <v>11</v>
      </c>
      <c r="AX74">
        <f>Tabla1[[#This Row],[precio del paquete]]-Tabla1[[#This Row],[Saldo_Deudor]]</f>
        <v>6400</v>
      </c>
      <c r="AY74">
        <v>6500</v>
      </c>
      <c r="AZ74" t="s">
        <v>1</v>
      </c>
      <c r="BA74" t="s">
        <v>1</v>
      </c>
      <c r="BB74" t="s">
        <v>1</v>
      </c>
      <c r="BC74" t="s">
        <v>173</v>
      </c>
      <c r="BD74" t="s">
        <v>159</v>
      </c>
      <c r="BE74" t="s">
        <v>1</v>
      </c>
      <c r="BF74" t="s">
        <v>1</v>
      </c>
      <c r="BG74" t="s">
        <v>1</v>
      </c>
      <c r="BH74" t="s">
        <v>1</v>
      </c>
      <c r="BI74" t="s">
        <v>1</v>
      </c>
      <c r="BJ74" t="s">
        <v>275</v>
      </c>
      <c r="BK74" t="s">
        <v>1</v>
      </c>
      <c r="BL74" t="s">
        <v>132</v>
      </c>
      <c r="BM74" t="s">
        <v>1</v>
      </c>
      <c r="BN74">
        <v>12900</v>
      </c>
      <c r="BO74" t="s">
        <v>1</v>
      </c>
      <c r="BP74" t="s">
        <v>1</v>
      </c>
      <c r="BQ74" t="s">
        <v>1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0</v>
      </c>
      <c r="BX74" t="s">
        <v>1</v>
      </c>
      <c r="BY74" t="s">
        <v>1</v>
      </c>
      <c r="BZ74" t="s">
        <v>1</v>
      </c>
      <c r="CA74" t="s">
        <v>1</v>
      </c>
      <c r="CB74" t="s">
        <v>277</v>
      </c>
      <c r="CD74" t="str" cm="1">
        <f t="array" aca="1" ref="CD74" ca="1">eConcatenar(A74:CB74,"|")</f>
        <v>ssMpeUmvHnLbtbWV|PAR2021-0381|3|IMPERIAL DE LUJO|TABASCO |PARAISO|PARAISO|2021-02-06|12900|0|100|50|0|0|0|0|0|0|0|0|0|0|0|0|0|0|0|||MATILDE|SOLTERO|X|X|CARRETERA PRINCIPAL|RANCHERIA QUINTIN ARAUZ|x|9331602420|x|x|x|CARRETERA PRINCIPAL|x|LUNES|X|X|X|X|X|DOMICILIO |6400|6500|X|X|X|2022-02-03|2022-02-10|X|X|X|X|X|QWZBUE029KVTQO|X|HOMBRE|X|12900|X|X|X|X|X|X|X|X|CARDENAS|X|X|X|X|FINAL</v>
      </c>
    </row>
    <row r="75" spans="1:82" x14ac:dyDescent="0.25">
      <c r="A75" t="s">
        <v>602</v>
      </c>
      <c r="B75" t="s">
        <v>603</v>
      </c>
      <c r="C75">
        <v>3</v>
      </c>
      <c r="D75" t="s">
        <v>149</v>
      </c>
      <c r="E75" t="s">
        <v>12</v>
      </c>
      <c r="F75" t="s">
        <v>151</v>
      </c>
      <c r="G75" t="s">
        <v>151</v>
      </c>
      <c r="H75" t="s">
        <v>1076</v>
      </c>
      <c r="I75">
        <v>19800</v>
      </c>
      <c r="J75">
        <v>0</v>
      </c>
      <c r="K75">
        <v>400</v>
      </c>
      <c r="L75">
        <v>50</v>
      </c>
      <c r="M75">
        <v>1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206</v>
      </c>
      <c r="AC75" t="s">
        <v>214</v>
      </c>
      <c r="AD75" t="s">
        <v>604</v>
      </c>
      <c r="AE75" t="s">
        <v>4</v>
      </c>
      <c r="AF75" t="s">
        <v>1</v>
      </c>
      <c r="AG75" t="s">
        <v>1</v>
      </c>
      <c r="AH75" t="s">
        <v>605</v>
      </c>
      <c r="AI75" t="s">
        <v>253</v>
      </c>
      <c r="AJ75" t="s">
        <v>3</v>
      </c>
      <c r="AK75">
        <v>9331660228</v>
      </c>
      <c r="AL75" t="s">
        <v>3</v>
      </c>
      <c r="AM75" t="s">
        <v>3</v>
      </c>
      <c r="AN75" t="s">
        <v>3</v>
      </c>
      <c r="AO75" t="s">
        <v>605</v>
      </c>
      <c r="AP75" t="s">
        <v>3</v>
      </c>
      <c r="AQ75" t="s">
        <v>2</v>
      </c>
      <c r="AR75" t="s">
        <v>1</v>
      </c>
      <c r="AS75" t="s">
        <v>1</v>
      </c>
      <c r="AT75" t="s">
        <v>1</v>
      </c>
      <c r="AU75" t="s">
        <v>1</v>
      </c>
      <c r="AV75" t="s">
        <v>1</v>
      </c>
      <c r="AW75" t="s">
        <v>11</v>
      </c>
      <c r="AX75">
        <f>Tabla1[[#This Row],[precio del paquete]]-Tabla1[[#This Row],[Saldo_Deudor]]</f>
        <v>4300</v>
      </c>
      <c r="AY75">
        <v>15500</v>
      </c>
      <c r="AZ75" t="s">
        <v>1</v>
      </c>
      <c r="BA75" t="s">
        <v>1</v>
      </c>
      <c r="BB75" t="s">
        <v>1</v>
      </c>
      <c r="BC75" t="s">
        <v>259</v>
      </c>
      <c r="BD75" t="s">
        <v>1157</v>
      </c>
      <c r="BE75" t="s">
        <v>1</v>
      </c>
      <c r="BF75" t="s">
        <v>1</v>
      </c>
      <c r="BG75" t="s">
        <v>1</v>
      </c>
      <c r="BH75" t="s">
        <v>1</v>
      </c>
      <c r="BI75" t="s">
        <v>1</v>
      </c>
      <c r="BJ75" t="s">
        <v>275</v>
      </c>
      <c r="BK75" t="s">
        <v>1</v>
      </c>
      <c r="BL75" t="s">
        <v>132</v>
      </c>
      <c r="BM75" t="s">
        <v>1</v>
      </c>
      <c r="BN75">
        <v>19800</v>
      </c>
      <c r="BO75" t="s">
        <v>1</v>
      </c>
      <c r="BP75" t="s">
        <v>1</v>
      </c>
      <c r="BQ75" t="s">
        <v>1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0</v>
      </c>
      <c r="BX75" t="s">
        <v>1</v>
      </c>
      <c r="BY75" t="s">
        <v>1</v>
      </c>
      <c r="BZ75" t="s">
        <v>1</v>
      </c>
      <c r="CA75" t="s">
        <v>1</v>
      </c>
      <c r="CB75" t="s">
        <v>277</v>
      </c>
      <c r="CD75" t="str" cm="1">
        <f t="array" aca="1" ref="CD75" ca="1">eConcatenar(A75:CB75,"|")</f>
        <v>ZnoZ9T6In7sfEvxL|PAR2021-0361|3|ZAFIRO|TABASCO |PARAISO|PARAISO|2021-02-04|19800|0|400|50|1|0|0|0|0|0|0|0|0|0|0|0|0|0|0|RODRIGUEZ|PEREZ|MIGUEL |SOLTERO|X|X|CALLE DEL HOSPITAL REGIONAL CALLEJON ANTES DE PRIVADA BETO BRIZANTE|COLONIA QUINTIN ARAUZ|x|9331660228|x|x|x|CALLE DEL HOSPITAL REGIONAL CALLEJON ANTES DE PRIVADA BETO BRIZANTE|x|LUNES|X|X|X|X|X|DOMICILIO |4300|15500|X|X|X|2022-03-03|2022-03-10|X|X|X|X|X|QWZBUE029KVTQO|X|HOMBRE|X|19800|X|X|X|X|X|X|X|X|CARDENAS|X|X|X|X|FINAL</v>
      </c>
    </row>
    <row r="76" spans="1:82" x14ac:dyDescent="0.25">
      <c r="A76" t="s">
        <v>606</v>
      </c>
      <c r="B76" t="s">
        <v>607</v>
      </c>
      <c r="C76">
        <v>3</v>
      </c>
      <c r="D76" t="s">
        <v>145</v>
      </c>
      <c r="E76" t="s">
        <v>12</v>
      </c>
      <c r="F76" t="s">
        <v>151</v>
      </c>
      <c r="G76" t="s">
        <v>151</v>
      </c>
      <c r="H76" t="s">
        <v>1084</v>
      </c>
      <c r="I76">
        <v>14800</v>
      </c>
      <c r="J76">
        <v>4700</v>
      </c>
      <c r="K76">
        <v>100</v>
      </c>
      <c r="L76">
        <v>50</v>
      </c>
      <c r="M76">
        <v>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608</v>
      </c>
      <c r="AC76" t="s">
        <v>225</v>
      </c>
      <c r="AD76" t="s">
        <v>609</v>
      </c>
      <c r="AE76" t="s">
        <v>4</v>
      </c>
      <c r="AF76" t="s">
        <v>1</v>
      </c>
      <c r="AG76" t="s">
        <v>1</v>
      </c>
      <c r="AH76" t="s">
        <v>610</v>
      </c>
      <c r="AI76" t="s">
        <v>611</v>
      </c>
      <c r="AJ76" t="s">
        <v>3</v>
      </c>
      <c r="AK76">
        <v>9331037153</v>
      </c>
      <c r="AL76" t="s">
        <v>3</v>
      </c>
      <c r="AM76" t="s">
        <v>3</v>
      </c>
      <c r="AN76" t="s">
        <v>3</v>
      </c>
      <c r="AO76" t="s">
        <v>610</v>
      </c>
      <c r="AP76" t="s">
        <v>3</v>
      </c>
      <c r="AQ76" t="s">
        <v>2</v>
      </c>
      <c r="AR76" t="s">
        <v>1</v>
      </c>
      <c r="AS76" t="s">
        <v>1</v>
      </c>
      <c r="AT76" t="s">
        <v>1</v>
      </c>
      <c r="AU76" t="s">
        <v>1</v>
      </c>
      <c r="AV76" t="s">
        <v>1</v>
      </c>
      <c r="AW76" t="s">
        <v>11</v>
      </c>
      <c r="AX76">
        <f>Tabla1[[#This Row],[precio del paquete]]-Tabla1[[#This Row],[Saldo_Deudor]]</f>
        <v>5200</v>
      </c>
      <c r="AY76">
        <v>9600</v>
      </c>
      <c r="AZ76" t="s">
        <v>1</v>
      </c>
      <c r="BA76" t="s">
        <v>1</v>
      </c>
      <c r="BB76" t="s">
        <v>1</v>
      </c>
      <c r="BC76" t="s">
        <v>259</v>
      </c>
      <c r="BD76" t="s">
        <v>1157</v>
      </c>
      <c r="BE76" t="s">
        <v>1</v>
      </c>
      <c r="BF76" t="s">
        <v>1</v>
      </c>
      <c r="BG76" t="s">
        <v>1</v>
      </c>
      <c r="BH76" t="s">
        <v>1</v>
      </c>
      <c r="BI76" t="s">
        <v>1</v>
      </c>
      <c r="BJ76" t="s">
        <v>275</v>
      </c>
      <c r="BK76" t="s">
        <v>1</v>
      </c>
      <c r="BL76" t="s">
        <v>132</v>
      </c>
      <c r="BM76" t="s">
        <v>1</v>
      </c>
      <c r="BN76">
        <v>14800</v>
      </c>
      <c r="BO76" t="s">
        <v>1</v>
      </c>
      <c r="BP76" t="s">
        <v>1</v>
      </c>
      <c r="BQ76" t="s">
        <v>1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0</v>
      </c>
      <c r="BX76" t="s">
        <v>1</v>
      </c>
      <c r="BY76" t="s">
        <v>1</v>
      </c>
      <c r="BZ76" t="s">
        <v>1</v>
      </c>
      <c r="CA76" t="s">
        <v>1</v>
      </c>
      <c r="CB76" t="s">
        <v>277</v>
      </c>
      <c r="CD76" t="str" cm="1">
        <f t="array" aca="1" ref="CD76" ca="1">eConcatenar(A76:CB76,"|")</f>
        <v>uPorr5GFKj8AOFsc|PAR2022-0501|3|MEMORIAL|TABASCO |PARAISO|PARAISO|2022-02-08|14800|4700|100|50|2|0|0|0|0|0|0|0|0|0|0|0|0|0|0|NOTARIO|AVALOS|JULIO CESAR|SOLTERO|X|X|CALLE NUEVO LEON MANZANA 4 LOTE 17|COLONIA CONTINUIDAD|x|9331037153|x|x|x|CALLE NUEVO LEON MANZANA 4 LOTE 17|x|LUNES|X|X|X|X|X|DOMICILIO |5200|9600|X|X|X|2022-03-03|2022-03-10|X|X|X|X|X|QWZBUE029KVTQO|X|HOMBRE|X|14800|X|X|X|X|X|X|X|X|CARDENAS|X|X|X|X|FINAL</v>
      </c>
    </row>
    <row r="77" spans="1:82" x14ac:dyDescent="0.25">
      <c r="A77" t="s">
        <v>612</v>
      </c>
      <c r="B77" t="s">
        <v>613</v>
      </c>
      <c r="C77">
        <v>3</v>
      </c>
      <c r="D77" t="s">
        <v>147</v>
      </c>
      <c r="E77" t="s">
        <v>12</v>
      </c>
      <c r="F77" t="s">
        <v>151</v>
      </c>
      <c r="G77" t="s">
        <v>151</v>
      </c>
      <c r="H77" t="s">
        <v>1085</v>
      </c>
      <c r="I77">
        <v>12900</v>
      </c>
      <c r="J77">
        <v>0</v>
      </c>
      <c r="K77">
        <v>100</v>
      </c>
      <c r="L77">
        <v>50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331</v>
      </c>
      <c r="AC77" t="s">
        <v>215</v>
      </c>
      <c r="AD77" t="s">
        <v>614</v>
      </c>
      <c r="AE77" t="s">
        <v>4</v>
      </c>
      <c r="AF77" t="s">
        <v>1</v>
      </c>
      <c r="AG77" t="s">
        <v>1</v>
      </c>
      <c r="AH77" t="s">
        <v>615</v>
      </c>
      <c r="AI77" t="s">
        <v>616</v>
      </c>
      <c r="AJ77" t="s">
        <v>3</v>
      </c>
      <c r="AK77">
        <v>9331364819</v>
      </c>
      <c r="AL77" t="s">
        <v>3</v>
      </c>
      <c r="AM77" t="s">
        <v>3</v>
      </c>
      <c r="AN77" t="s">
        <v>3</v>
      </c>
      <c r="AO77" t="s">
        <v>615</v>
      </c>
      <c r="AP77" t="s">
        <v>3</v>
      </c>
      <c r="AQ77" t="s">
        <v>2</v>
      </c>
      <c r="AR77" t="s">
        <v>1</v>
      </c>
      <c r="AS77" t="s">
        <v>1</v>
      </c>
      <c r="AT77" t="s">
        <v>1</v>
      </c>
      <c r="AU77" t="s">
        <v>1</v>
      </c>
      <c r="AV77" t="s">
        <v>1</v>
      </c>
      <c r="AW77" t="s">
        <v>11</v>
      </c>
      <c r="AX77">
        <f>Tabla1[[#This Row],[precio del paquete]]-Tabla1[[#This Row],[Saldo_Deudor]]</f>
        <v>9210</v>
      </c>
      <c r="AY77">
        <v>3690</v>
      </c>
      <c r="AZ77" t="s">
        <v>1</v>
      </c>
      <c r="BA77" t="s">
        <v>1</v>
      </c>
      <c r="BB77" t="s">
        <v>1</v>
      </c>
      <c r="BC77" t="s">
        <v>259</v>
      </c>
      <c r="BD77" t="s">
        <v>1157</v>
      </c>
      <c r="BE77" t="s">
        <v>1</v>
      </c>
      <c r="BF77" t="s">
        <v>1</v>
      </c>
      <c r="BG77" t="s">
        <v>1</v>
      </c>
      <c r="BH77" t="s">
        <v>1</v>
      </c>
      <c r="BI77" t="s">
        <v>1</v>
      </c>
      <c r="BJ77" t="s">
        <v>275</v>
      </c>
      <c r="BK77" t="s">
        <v>1</v>
      </c>
      <c r="BL77" t="s">
        <v>132</v>
      </c>
      <c r="BM77" t="s">
        <v>1</v>
      </c>
      <c r="BN77">
        <v>12900</v>
      </c>
      <c r="BO77" t="s">
        <v>1</v>
      </c>
      <c r="BP77" t="s">
        <v>1</v>
      </c>
      <c r="BQ77" t="s">
        <v>1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0</v>
      </c>
      <c r="BX77" t="s">
        <v>1</v>
      </c>
      <c r="BY77" t="s">
        <v>1</v>
      </c>
      <c r="BZ77" t="s">
        <v>1</v>
      </c>
      <c r="CA77" t="s">
        <v>1</v>
      </c>
      <c r="CB77" t="s">
        <v>277</v>
      </c>
      <c r="CD77" t="str" cm="1">
        <f t="array" aca="1" ref="CD77" ca="1">eConcatenar(A77:CB77,"|")</f>
        <v>J4lErVJp5IiNbVau|PAR2018-2771|3|ECONOLINE|TABASCO |PARAISO|PARAISO|2018-12-06|12900|0|100|50|0|0|0|0|0|0|0|0|0|0|0|0|0|0|0|RABANALES|SANCHEZ|JUAN|SOLTERO|X|X|CALLE PRIMERO DE JUNIO|PUERTO CEIBA|x|9331364819|x|x|x|CALLE PRIMERO DE JUNIO|x|LUNES|X|X|X|X|X|DOMICILIO |9210|3690|X|X|X|2022-03-03|2022-03-10|X|X|X|X|X|QWZBUE029KVTQO|X|HOMBRE|X|12900|X|X|X|X|X|X|X|X|CARDENAS|X|X|X|X|FINAL</v>
      </c>
    </row>
    <row r="78" spans="1:82" x14ac:dyDescent="0.25">
      <c r="A78" t="s">
        <v>617</v>
      </c>
      <c r="B78" t="s">
        <v>618</v>
      </c>
      <c r="C78">
        <v>3</v>
      </c>
      <c r="D78" t="s">
        <v>144</v>
      </c>
      <c r="E78" t="s">
        <v>12</v>
      </c>
      <c r="F78" t="s">
        <v>151</v>
      </c>
      <c r="G78" t="s">
        <v>151</v>
      </c>
      <c r="H78" t="s">
        <v>1086</v>
      </c>
      <c r="I78">
        <v>12900</v>
      </c>
      <c r="J78">
        <v>0</v>
      </c>
      <c r="K78">
        <v>200</v>
      </c>
      <c r="L78">
        <v>50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619</v>
      </c>
      <c r="AC78" t="s">
        <v>436</v>
      </c>
      <c r="AD78" t="s">
        <v>552</v>
      </c>
      <c r="AE78" t="s">
        <v>4</v>
      </c>
      <c r="AF78" t="s">
        <v>1</v>
      </c>
      <c r="AG78" t="s">
        <v>1</v>
      </c>
      <c r="AH78" t="s">
        <v>620</v>
      </c>
      <c r="AI78" t="s">
        <v>616</v>
      </c>
      <c r="AJ78" t="s">
        <v>3</v>
      </c>
      <c r="AK78">
        <v>9335696790</v>
      </c>
      <c r="AL78" t="s">
        <v>3</v>
      </c>
      <c r="AM78" t="s">
        <v>3</v>
      </c>
      <c r="AN78" t="s">
        <v>3</v>
      </c>
      <c r="AO78" t="s">
        <v>620</v>
      </c>
      <c r="AP78" t="s">
        <v>3</v>
      </c>
      <c r="AQ78" t="s">
        <v>2</v>
      </c>
      <c r="AR78" t="s">
        <v>1</v>
      </c>
      <c r="AS78" t="s">
        <v>1</v>
      </c>
      <c r="AT78" t="s">
        <v>1</v>
      </c>
      <c r="AU78" t="s">
        <v>1</v>
      </c>
      <c r="AV78" t="s">
        <v>1</v>
      </c>
      <c r="AW78" t="s">
        <v>11</v>
      </c>
      <c r="AX78">
        <f>Tabla1[[#This Row],[precio del paquete]]-Tabla1[[#This Row],[Saldo_Deudor]]</f>
        <v>6400</v>
      </c>
      <c r="AY78">
        <v>6500</v>
      </c>
      <c r="AZ78" t="s">
        <v>1</v>
      </c>
      <c r="BA78" t="s">
        <v>1</v>
      </c>
      <c r="BB78" t="s">
        <v>1</v>
      </c>
      <c r="BC78" t="s">
        <v>259</v>
      </c>
      <c r="BD78" t="s">
        <v>1157</v>
      </c>
      <c r="BE78" t="s">
        <v>1</v>
      </c>
      <c r="BF78" t="s">
        <v>1</v>
      </c>
      <c r="BG78" t="s">
        <v>1</v>
      </c>
      <c r="BH78" t="s">
        <v>1</v>
      </c>
      <c r="BI78" t="s">
        <v>1</v>
      </c>
      <c r="BJ78" t="s">
        <v>275</v>
      </c>
      <c r="BK78" t="s">
        <v>1</v>
      </c>
      <c r="BL78" t="s">
        <v>132</v>
      </c>
      <c r="BM78" t="s">
        <v>1</v>
      </c>
      <c r="BN78">
        <v>12900</v>
      </c>
      <c r="BO78" t="s">
        <v>1</v>
      </c>
      <c r="BP78" t="s">
        <v>1</v>
      </c>
      <c r="BQ78" t="s">
        <v>1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0</v>
      </c>
      <c r="BX78" t="s">
        <v>1</v>
      </c>
      <c r="BY78" t="s">
        <v>1</v>
      </c>
      <c r="BZ78" t="s">
        <v>1</v>
      </c>
      <c r="CA78" t="s">
        <v>1</v>
      </c>
      <c r="CB78" t="s">
        <v>277</v>
      </c>
      <c r="CD78" t="str" cm="1">
        <f t="array" aca="1" ref="CD78" ca="1">eConcatenar(A78:CB78,"|")</f>
        <v>knD8086UkaTxRTtY|PAR2021-1354|3|IMPERIAL DE LUJO|TABASCO |PARAISO|PARAISO|2021-04-14|12900|0|200|50|0|0|0|0|0|0|0|0|0|0|0|0|0|0|0|CANDELERO|MARQUEZ|GEORGINA|SOLTERO|X|X|CALLE D12 DE OCTUBRE|PUERTO CEIBA|x|9335696790|x|x|x|CALLE D12 DE OCTUBRE|x|LUNES|X|X|X|X|X|DOMICILIO |6400|6500|X|X|X|2022-03-03|2022-03-10|X|X|X|X|X|QWZBUE029KVTQO|X|HOMBRE|X|12900|X|X|X|X|X|X|X|X|CARDENAS|X|X|X|X|FINAL</v>
      </c>
    </row>
    <row r="79" spans="1:82" x14ac:dyDescent="0.25">
      <c r="A79" t="s">
        <v>621</v>
      </c>
      <c r="B79" t="s">
        <v>622</v>
      </c>
      <c r="C79">
        <v>3</v>
      </c>
      <c r="D79" t="s">
        <v>144</v>
      </c>
      <c r="E79" t="s">
        <v>12</v>
      </c>
      <c r="F79" t="s">
        <v>151</v>
      </c>
      <c r="G79" t="s">
        <v>151</v>
      </c>
      <c r="H79" t="s">
        <v>1057</v>
      </c>
      <c r="I79">
        <v>12900</v>
      </c>
      <c r="J79">
        <v>0</v>
      </c>
      <c r="K79">
        <v>200</v>
      </c>
      <c r="L79">
        <v>50</v>
      </c>
      <c r="M79">
        <v>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225</v>
      </c>
      <c r="AC79" t="s">
        <v>205</v>
      </c>
      <c r="AD79" t="s">
        <v>623</v>
      </c>
      <c r="AE79" t="s">
        <v>4</v>
      </c>
      <c r="AF79" t="s">
        <v>1</v>
      </c>
      <c r="AG79" t="s">
        <v>1</v>
      </c>
      <c r="AH79" t="s">
        <v>624</v>
      </c>
      <c r="AI79" t="s">
        <v>625</v>
      </c>
      <c r="AJ79" t="s">
        <v>3</v>
      </c>
      <c r="AK79">
        <v>9331345164</v>
      </c>
      <c r="AL79" t="s">
        <v>3</v>
      </c>
      <c r="AM79" t="s">
        <v>3</v>
      </c>
      <c r="AN79" t="s">
        <v>3</v>
      </c>
      <c r="AO79" t="s">
        <v>624</v>
      </c>
      <c r="AP79" t="s">
        <v>3</v>
      </c>
      <c r="AQ79" t="s">
        <v>2</v>
      </c>
      <c r="AR79" t="s">
        <v>1</v>
      </c>
      <c r="AS79" t="s">
        <v>1</v>
      </c>
      <c r="AT79" t="s">
        <v>1</v>
      </c>
      <c r="AU79" t="s">
        <v>1</v>
      </c>
      <c r="AV79" t="s">
        <v>1</v>
      </c>
      <c r="AW79" t="s">
        <v>11</v>
      </c>
      <c r="AX79">
        <f>Tabla1[[#This Row],[precio del paquete]]-Tabla1[[#This Row],[Saldo_Deudor]]</f>
        <v>5400</v>
      </c>
      <c r="AY79">
        <v>7500</v>
      </c>
      <c r="AZ79" t="s">
        <v>1</v>
      </c>
      <c r="BA79" t="s">
        <v>1</v>
      </c>
      <c r="BB79" t="s">
        <v>1</v>
      </c>
      <c r="BC79" t="s">
        <v>259</v>
      </c>
      <c r="BD79" t="s">
        <v>1157</v>
      </c>
      <c r="BE79" t="s">
        <v>1</v>
      </c>
      <c r="BF79" t="s">
        <v>1</v>
      </c>
      <c r="BG79" t="s">
        <v>1</v>
      </c>
      <c r="BH79" t="s">
        <v>1</v>
      </c>
      <c r="BI79" t="s">
        <v>1</v>
      </c>
      <c r="BJ79" t="s">
        <v>275</v>
      </c>
      <c r="BK79" t="s">
        <v>1</v>
      </c>
      <c r="BL79" t="s">
        <v>132</v>
      </c>
      <c r="BM79" t="s">
        <v>1</v>
      </c>
      <c r="BN79">
        <v>12900</v>
      </c>
      <c r="BO79" t="s">
        <v>1</v>
      </c>
      <c r="BP79" t="s">
        <v>1</v>
      </c>
      <c r="BQ79" t="s">
        <v>1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0</v>
      </c>
      <c r="BX79" t="s">
        <v>1</v>
      </c>
      <c r="BY79" t="s">
        <v>1</v>
      </c>
      <c r="BZ79" t="s">
        <v>1</v>
      </c>
      <c r="CA79" t="s">
        <v>1</v>
      </c>
      <c r="CB79" t="s">
        <v>277</v>
      </c>
      <c r="CD79" t="str" cm="1">
        <f t="array" aca="1" ref="CD79" ca="1">eConcatenar(A79:CB79,"|")</f>
        <v>bGOUSM9wNs5KEvOG|PAR2021-0386|3|IMPERIAL DE LUJO|TABASCO |PARAISO|PARAISO|2021-06-09|12900|0|200|50|2|0|0|0|0|0|0|0|0|0|0|0|0|0|0|AVALOS|HERNANDEZ|RAMIRO|SOLTERO|X|X|CALLE CARACOL|COLONIA NUEVO TORNO LARGO|x|9331345164|x|x|x|CALLE CARACOL|x|LUNES|X|X|X|X|X|DOMICILIO |5400|7500|X|X|X|2022-03-03|2022-03-10|X|X|X|X|X|QWZBUE029KVTQO|X|HOMBRE|X|12900|X|X|X|X|X|X|X|X|CARDENAS|X|X|X|X|FINAL</v>
      </c>
    </row>
    <row r="80" spans="1:82" x14ac:dyDescent="0.25">
      <c r="A80" t="s">
        <v>626</v>
      </c>
      <c r="B80" t="s">
        <v>627</v>
      </c>
      <c r="C80">
        <v>3</v>
      </c>
      <c r="D80" t="s">
        <v>144</v>
      </c>
      <c r="E80" t="s">
        <v>12</v>
      </c>
      <c r="F80" t="s">
        <v>151</v>
      </c>
      <c r="G80" t="s">
        <v>151</v>
      </c>
      <c r="H80" t="s">
        <v>1087</v>
      </c>
      <c r="I80">
        <v>12900</v>
      </c>
      <c r="J80">
        <v>0</v>
      </c>
      <c r="K80">
        <v>100</v>
      </c>
      <c r="L80">
        <v>50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538</v>
      </c>
      <c r="AC80" t="s">
        <v>213</v>
      </c>
      <c r="AD80" t="s">
        <v>628</v>
      </c>
      <c r="AE80" t="s">
        <v>4</v>
      </c>
      <c r="AF80" t="s">
        <v>1</v>
      </c>
      <c r="AG80" t="s">
        <v>1</v>
      </c>
      <c r="AH80" t="s">
        <v>629</v>
      </c>
      <c r="AI80" t="s">
        <v>630</v>
      </c>
      <c r="AJ80" t="s">
        <v>3</v>
      </c>
      <c r="AK80">
        <v>9331343560</v>
      </c>
      <c r="AL80" t="s">
        <v>3</v>
      </c>
      <c r="AM80" t="s">
        <v>3</v>
      </c>
      <c r="AN80" t="s">
        <v>3</v>
      </c>
      <c r="AO80" t="s">
        <v>629</v>
      </c>
      <c r="AP80" t="s">
        <v>3</v>
      </c>
      <c r="AQ80" t="s">
        <v>2</v>
      </c>
      <c r="AR80" t="s">
        <v>1</v>
      </c>
      <c r="AS80" t="s">
        <v>1</v>
      </c>
      <c r="AT80" t="s">
        <v>1</v>
      </c>
      <c r="AU80" t="s">
        <v>1</v>
      </c>
      <c r="AV80" t="s">
        <v>1</v>
      </c>
      <c r="AW80" t="s">
        <v>11</v>
      </c>
      <c r="AX80">
        <f>Tabla1[[#This Row],[precio del paquete]]-Tabla1[[#This Row],[Saldo_Deudor]]</f>
        <v>7400</v>
      </c>
      <c r="AY80">
        <v>5500</v>
      </c>
      <c r="AZ80" t="s">
        <v>1</v>
      </c>
      <c r="BA80" t="s">
        <v>1</v>
      </c>
      <c r="BB80" t="s">
        <v>1</v>
      </c>
      <c r="BC80" t="s">
        <v>259</v>
      </c>
      <c r="BD80" t="s">
        <v>1157</v>
      </c>
      <c r="BE80" t="s">
        <v>1</v>
      </c>
      <c r="BF80" t="s">
        <v>1</v>
      </c>
      <c r="BG80" t="s">
        <v>1</v>
      </c>
      <c r="BH80" t="s">
        <v>1</v>
      </c>
      <c r="BI80" t="s">
        <v>1</v>
      </c>
      <c r="BJ80" t="s">
        <v>275</v>
      </c>
      <c r="BK80" t="s">
        <v>1</v>
      </c>
      <c r="BL80" t="s">
        <v>132</v>
      </c>
      <c r="BM80" t="s">
        <v>1</v>
      </c>
      <c r="BN80">
        <v>12900</v>
      </c>
      <c r="BO80" t="s">
        <v>1</v>
      </c>
      <c r="BP80" t="s">
        <v>1</v>
      </c>
      <c r="BQ80" t="s">
        <v>1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0</v>
      </c>
      <c r="BX80" t="s">
        <v>1</v>
      </c>
      <c r="BY80" t="s">
        <v>1</v>
      </c>
      <c r="BZ80" t="s">
        <v>1</v>
      </c>
      <c r="CA80" t="s">
        <v>1</v>
      </c>
      <c r="CB80" t="s">
        <v>277</v>
      </c>
      <c r="CD80" t="str" cm="1">
        <f t="array" aca="1" ref="CD80" ca="1">eConcatenar(A80:CB80,"|")</f>
        <v>yzKMAvegSIcY8U0A|PAR2021-0153|3|IMPERIAL DE LUJO|TABASCO |PARAISO|PARAISO|2021-01-15|12900|0|100|50|0|0|0|0|0|0|0|0|0|0|0|0|0|0|0|DE DIOS|OLAN|DOMINGO|SOLTERO|X|X|ENTRADA DEL PANTEON|COLONIA EL BELLOTE|x|9331343560|x|x|x|ENTRADA DEL PANTEON|x|LUNES|X|X|X|X|X|DOMICILIO |7400|5500|X|X|X|2022-03-03|2022-03-10|X|X|X|X|X|QWZBUE029KVTQO|X|HOMBRE|X|12900|X|X|X|X|X|X|X|X|CARDENAS|X|X|X|X|FINAL</v>
      </c>
    </row>
    <row r="81" spans="1:82" x14ac:dyDescent="0.25">
      <c r="A81" t="s">
        <v>631</v>
      </c>
      <c r="B81" t="s">
        <v>632</v>
      </c>
      <c r="C81">
        <v>3</v>
      </c>
      <c r="D81" t="s">
        <v>145</v>
      </c>
      <c r="E81" t="s">
        <v>12</v>
      </c>
      <c r="F81" t="s">
        <v>151</v>
      </c>
      <c r="G81" t="s">
        <v>151</v>
      </c>
      <c r="H81" t="s">
        <v>1088</v>
      </c>
      <c r="I81">
        <v>14800</v>
      </c>
      <c r="J81">
        <v>0</v>
      </c>
      <c r="K81">
        <v>100</v>
      </c>
      <c r="L81">
        <v>50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217</v>
      </c>
      <c r="AC81" t="s">
        <v>210</v>
      </c>
      <c r="AD81" t="s">
        <v>633</v>
      </c>
      <c r="AE81" t="s">
        <v>4</v>
      </c>
      <c r="AF81" t="s">
        <v>1</v>
      </c>
      <c r="AG81" t="s">
        <v>1</v>
      </c>
      <c r="AH81" t="s">
        <v>634</v>
      </c>
      <c r="AI81" t="s">
        <v>635</v>
      </c>
      <c r="AJ81" t="s">
        <v>3</v>
      </c>
      <c r="AK81">
        <v>9332861957</v>
      </c>
      <c r="AL81" t="s">
        <v>3</v>
      </c>
      <c r="AM81" t="s">
        <v>3</v>
      </c>
      <c r="AN81" t="s">
        <v>3</v>
      </c>
      <c r="AO81" t="s">
        <v>634</v>
      </c>
      <c r="AP81" t="s">
        <v>3</v>
      </c>
      <c r="AQ81" t="s">
        <v>2</v>
      </c>
      <c r="AR81" t="s">
        <v>1</v>
      </c>
      <c r="AS81" t="s">
        <v>1</v>
      </c>
      <c r="AT81" t="s">
        <v>1</v>
      </c>
      <c r="AU81" t="s">
        <v>1</v>
      </c>
      <c r="AV81" t="s">
        <v>1</v>
      </c>
      <c r="AW81" t="s">
        <v>11</v>
      </c>
      <c r="AX81">
        <f>Tabla1[[#This Row],[precio del paquete]]-Tabla1[[#This Row],[Saldo_Deudor]]</f>
        <v>600</v>
      </c>
      <c r="AY81">
        <v>14200</v>
      </c>
      <c r="AZ81" t="s">
        <v>1</v>
      </c>
      <c r="BA81" t="s">
        <v>1</v>
      </c>
      <c r="BB81" t="s">
        <v>1</v>
      </c>
      <c r="BC81" t="s">
        <v>256</v>
      </c>
      <c r="BD81" t="s">
        <v>264</v>
      </c>
      <c r="BE81" t="s">
        <v>1</v>
      </c>
      <c r="BF81" t="s">
        <v>1</v>
      </c>
      <c r="BG81" t="s">
        <v>1</v>
      </c>
      <c r="BH81" t="s">
        <v>1</v>
      </c>
      <c r="BI81" t="s">
        <v>1</v>
      </c>
      <c r="BJ81" t="s">
        <v>275</v>
      </c>
      <c r="BK81" t="s">
        <v>1</v>
      </c>
      <c r="BL81" t="s">
        <v>132</v>
      </c>
      <c r="BM81" t="s">
        <v>1</v>
      </c>
      <c r="BN81">
        <v>14800</v>
      </c>
      <c r="BO81" t="s">
        <v>1</v>
      </c>
      <c r="BP81" t="s">
        <v>1</v>
      </c>
      <c r="BQ81" t="s">
        <v>1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0</v>
      </c>
      <c r="BX81" t="s">
        <v>1</v>
      </c>
      <c r="BY81" t="s">
        <v>1</v>
      </c>
      <c r="BZ81" t="s">
        <v>1</v>
      </c>
      <c r="CA81" t="s">
        <v>1</v>
      </c>
      <c r="CB81" t="s">
        <v>277</v>
      </c>
      <c r="CD81" t="str" cm="1">
        <f t="array" aca="1" ref="CD81" ca="1">eConcatenar(A81:CB81,"|")</f>
        <v>E2IfrtqCb6qkMmiv|PAR2022-0135|3|MEMORIAL|TABASCO |PARAISO|PARAISO|2022-01-10|14800|0|100|50|1|0|0|0|0|0|0|0|0|0|0|0|0|0|0|MENDEZ|DE LA CRUZ|ERMELITA|SOLTERO|X|X|CARRETERA A JALAPITA SIN NUMERO|EJIDO AQUILES SERDAN|x|9332861957|x|x|x|CARRETERA A JALAPITA SIN NUMERO|x|LUNES|X|X|X|X|X|DOMICILIO |600|14200|X|X|X|2022-03-02|2022-03-09|X|X|X|X|X|QWZBUE029KVTQO|X|HOMBRE|X|14800|X|X|X|X|X|X|X|X|CARDENAS|X|X|X|X|FINAL</v>
      </c>
    </row>
    <row r="82" spans="1:82" x14ac:dyDescent="0.25">
      <c r="A82" t="s">
        <v>636</v>
      </c>
      <c r="B82" t="s">
        <v>637</v>
      </c>
      <c r="C82">
        <v>3</v>
      </c>
      <c r="D82" t="s">
        <v>144</v>
      </c>
      <c r="E82" t="s">
        <v>12</v>
      </c>
      <c r="F82" t="s">
        <v>151</v>
      </c>
      <c r="G82" t="s">
        <v>151</v>
      </c>
      <c r="H82" t="s">
        <v>168</v>
      </c>
      <c r="I82">
        <v>12900</v>
      </c>
      <c r="J82">
        <v>0</v>
      </c>
      <c r="K82">
        <v>100</v>
      </c>
      <c r="L82">
        <v>50</v>
      </c>
      <c r="M82">
        <v>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8</v>
      </c>
      <c r="AC82" t="s">
        <v>222</v>
      </c>
      <c r="AD82" t="s">
        <v>552</v>
      </c>
      <c r="AE82" t="s">
        <v>4</v>
      </c>
      <c r="AF82" t="s">
        <v>1</v>
      </c>
      <c r="AG82" t="s">
        <v>1</v>
      </c>
      <c r="AH82" t="s">
        <v>638</v>
      </c>
      <c r="AI82" t="s">
        <v>635</v>
      </c>
      <c r="AJ82" t="s">
        <v>3</v>
      </c>
      <c r="AK82">
        <v>9331360481</v>
      </c>
      <c r="AL82" t="s">
        <v>3</v>
      </c>
      <c r="AM82" t="s">
        <v>3</v>
      </c>
      <c r="AN82" t="s">
        <v>3</v>
      </c>
      <c r="AO82" t="s">
        <v>638</v>
      </c>
      <c r="AP82" t="s">
        <v>3</v>
      </c>
      <c r="AQ82" t="s">
        <v>2</v>
      </c>
      <c r="AR82" t="s">
        <v>1</v>
      </c>
      <c r="AS82" t="s">
        <v>1</v>
      </c>
      <c r="AT82" t="s">
        <v>1</v>
      </c>
      <c r="AU82" t="s">
        <v>1</v>
      </c>
      <c r="AV82" t="s">
        <v>1</v>
      </c>
      <c r="AW82" t="s">
        <v>11</v>
      </c>
      <c r="AX82">
        <f>Tabla1[[#This Row],[precio del paquete]]-Tabla1[[#This Row],[Saldo_Deudor]]</f>
        <v>5000</v>
      </c>
      <c r="AY82">
        <v>7900</v>
      </c>
      <c r="AZ82" t="s">
        <v>1</v>
      </c>
      <c r="BA82" t="s">
        <v>1</v>
      </c>
      <c r="BB82" t="s">
        <v>1</v>
      </c>
      <c r="BC82" t="s">
        <v>259</v>
      </c>
      <c r="BD82" t="s">
        <v>1157</v>
      </c>
      <c r="BE82" t="s">
        <v>1</v>
      </c>
      <c r="BF82" t="s">
        <v>1</v>
      </c>
      <c r="BG82" t="s">
        <v>1</v>
      </c>
      <c r="BH82" t="s">
        <v>1</v>
      </c>
      <c r="BI82" t="s">
        <v>1</v>
      </c>
      <c r="BJ82" t="s">
        <v>275</v>
      </c>
      <c r="BK82" t="s">
        <v>1</v>
      </c>
      <c r="BL82" t="s">
        <v>132</v>
      </c>
      <c r="BM82" t="s">
        <v>1</v>
      </c>
      <c r="BN82">
        <v>12900</v>
      </c>
      <c r="BO82" t="s">
        <v>1</v>
      </c>
      <c r="BP82" t="s">
        <v>1</v>
      </c>
      <c r="BQ82" t="s">
        <v>1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0</v>
      </c>
      <c r="BX82" t="s">
        <v>1</v>
      </c>
      <c r="BY82" t="s">
        <v>1</v>
      </c>
      <c r="BZ82" t="s">
        <v>1</v>
      </c>
      <c r="CA82" t="s">
        <v>1</v>
      </c>
      <c r="CB82" t="s">
        <v>277</v>
      </c>
      <c r="CD82" t="str" cm="1">
        <f t="array" aca="1" ref="CD82" ca="1">eConcatenar(A82:CB82,"|")</f>
        <v>CUKr5lFjUcEu9KBP|PAR2021-0302|3|IMPERIAL DE LUJO|TABASCO |PARAISO|PARAISO|2021-01-26|12900|0|100|50|2|0|0|0|0|0|0|0|0|0|0|0|0|0|0|GOMEZ|RAMIREZ|GEORGINA|SOLTERO|X|X|CARRETERA A JALAPITA |EJIDO AQUILES SERDAN|x|9331360481|x|x|x|CARRETERA A JALAPITA |x|LUNES|X|X|X|X|X|DOMICILIO |5000|7900|X|X|X|2022-03-03|2022-03-10|X|X|X|X|X|QWZBUE029KVTQO|X|HOMBRE|X|12900|X|X|X|X|X|X|X|X|CARDENAS|X|X|X|X|FINAL</v>
      </c>
    </row>
    <row r="83" spans="1:82" x14ac:dyDescent="0.25">
      <c r="A83" t="s">
        <v>639</v>
      </c>
      <c r="B83" t="s">
        <v>640</v>
      </c>
      <c r="C83">
        <v>3</v>
      </c>
      <c r="D83" t="s">
        <v>145</v>
      </c>
      <c r="E83" t="s">
        <v>12</v>
      </c>
      <c r="F83" t="s">
        <v>155</v>
      </c>
      <c r="G83" t="s">
        <v>155</v>
      </c>
      <c r="H83" t="s">
        <v>1089</v>
      </c>
      <c r="I83">
        <v>14800</v>
      </c>
      <c r="J83">
        <v>0</v>
      </c>
      <c r="K83">
        <v>100</v>
      </c>
      <c r="L83">
        <v>50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210</v>
      </c>
      <c r="AC83" t="s">
        <v>641</v>
      </c>
      <c r="AD83" t="s">
        <v>642</v>
      </c>
      <c r="AE83" t="s">
        <v>4</v>
      </c>
      <c r="AF83" t="s">
        <v>1</v>
      </c>
      <c r="AG83" t="s">
        <v>1</v>
      </c>
      <c r="AH83" t="s">
        <v>643</v>
      </c>
      <c r="AI83" t="s">
        <v>244</v>
      </c>
      <c r="AJ83" t="s">
        <v>3</v>
      </c>
      <c r="AK83">
        <v>9931528120</v>
      </c>
      <c r="AL83" t="s">
        <v>3</v>
      </c>
      <c r="AM83" t="s">
        <v>3</v>
      </c>
      <c r="AN83" t="s">
        <v>3</v>
      </c>
      <c r="AO83" t="s">
        <v>643</v>
      </c>
      <c r="AP83" t="s">
        <v>3</v>
      </c>
      <c r="AQ83" t="s">
        <v>2</v>
      </c>
      <c r="AR83" t="s">
        <v>1</v>
      </c>
      <c r="AS83" t="s">
        <v>1</v>
      </c>
      <c r="AT83" t="s">
        <v>1</v>
      </c>
      <c r="AU83" t="s">
        <v>1</v>
      </c>
      <c r="AV83" t="s">
        <v>1</v>
      </c>
      <c r="AW83" t="s">
        <v>11</v>
      </c>
      <c r="AX83">
        <f>Tabla1[[#This Row],[precio del paquete]]-Tabla1[[#This Row],[Saldo_Deudor]]</f>
        <v>2700</v>
      </c>
      <c r="AY83">
        <v>12100</v>
      </c>
      <c r="AZ83" t="s">
        <v>1</v>
      </c>
      <c r="BA83" t="s">
        <v>1</v>
      </c>
      <c r="BB83" t="s">
        <v>1</v>
      </c>
      <c r="BC83" t="s">
        <v>259</v>
      </c>
      <c r="BD83" t="s">
        <v>1157</v>
      </c>
      <c r="BE83" t="s">
        <v>1</v>
      </c>
      <c r="BF83" t="s">
        <v>1</v>
      </c>
      <c r="BG83" t="s">
        <v>1</v>
      </c>
      <c r="BH83" t="s">
        <v>1</v>
      </c>
      <c r="BI83" t="s">
        <v>1</v>
      </c>
      <c r="BJ83" t="s">
        <v>275</v>
      </c>
      <c r="BK83" t="s">
        <v>1</v>
      </c>
      <c r="BL83" t="s">
        <v>132</v>
      </c>
      <c r="BM83" t="s">
        <v>1</v>
      </c>
      <c r="BN83">
        <v>14800</v>
      </c>
      <c r="BO83" t="s">
        <v>1</v>
      </c>
      <c r="BP83" t="s">
        <v>1</v>
      </c>
      <c r="BQ83" t="s">
        <v>1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0</v>
      </c>
      <c r="BX83" t="s">
        <v>1</v>
      </c>
      <c r="BY83" t="s">
        <v>1</v>
      </c>
      <c r="BZ83" t="s">
        <v>1</v>
      </c>
      <c r="CA83" t="s">
        <v>1</v>
      </c>
      <c r="CB83" t="s">
        <v>277</v>
      </c>
      <c r="CD83" t="str" cm="1">
        <f t="array" aca="1" ref="CD83" ca="1">eConcatenar(A83:CB83,"|")</f>
        <v>dSLmlQovv5sUuUSx|CAR2021-2924|3|MEMORIAL|TABASCO |CENTLA|CENTLA|2011-12-15|14800|0|100|50|1|0|0|0|0|0|0|0|0|0|0|0|0|0|0|DE LA CRUZ|GALMICHE|CAROLINA|SOLTERO|X|X|ENTRADA EL MORRAL|RANCHERIA JALAPITA|x|9931528120|x|x|x|ENTRADA EL MORRAL|x|LUNES|X|X|X|X|X|DOMICILIO |2700|12100|X|X|X|2022-03-03|2022-03-10|X|X|X|X|X|QWZBUE029KVTQO|X|HOMBRE|X|14800|X|X|X|X|X|X|X|X|CARDENAS|X|X|X|X|FINAL</v>
      </c>
    </row>
    <row r="84" spans="1:82" x14ac:dyDescent="0.25">
      <c r="A84" t="s">
        <v>644</v>
      </c>
      <c r="B84" t="s">
        <v>645</v>
      </c>
      <c r="C84">
        <v>3</v>
      </c>
      <c r="D84" t="s">
        <v>145</v>
      </c>
      <c r="E84" t="s">
        <v>12</v>
      </c>
      <c r="F84" t="s">
        <v>151</v>
      </c>
      <c r="G84" t="s">
        <v>151</v>
      </c>
      <c r="H84" t="s">
        <v>159</v>
      </c>
      <c r="I84">
        <v>14800</v>
      </c>
      <c r="J84">
        <v>0</v>
      </c>
      <c r="K84">
        <v>100</v>
      </c>
      <c r="L84">
        <v>50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205</v>
      </c>
      <c r="AC84" t="s">
        <v>646</v>
      </c>
      <c r="AD84" t="s">
        <v>647</v>
      </c>
      <c r="AE84" t="s">
        <v>4</v>
      </c>
      <c r="AF84" t="s">
        <v>1</v>
      </c>
      <c r="AG84" t="s">
        <v>1</v>
      </c>
      <c r="AH84" t="s">
        <v>648</v>
      </c>
      <c r="AI84" t="s">
        <v>635</v>
      </c>
      <c r="AJ84" t="s">
        <v>3</v>
      </c>
      <c r="AK84">
        <v>9331356388</v>
      </c>
      <c r="AL84" t="s">
        <v>3</v>
      </c>
      <c r="AM84" t="s">
        <v>3</v>
      </c>
      <c r="AN84" t="s">
        <v>3</v>
      </c>
      <c r="AO84" t="s">
        <v>648</v>
      </c>
      <c r="AP84" t="s">
        <v>3</v>
      </c>
      <c r="AQ84" t="s">
        <v>2</v>
      </c>
      <c r="AR84" t="s">
        <v>1</v>
      </c>
      <c r="AS84" t="s">
        <v>1</v>
      </c>
      <c r="AT84" t="s">
        <v>1</v>
      </c>
      <c r="AU84" t="s">
        <v>1</v>
      </c>
      <c r="AV84" t="s">
        <v>1</v>
      </c>
      <c r="AW84" t="s">
        <v>11</v>
      </c>
      <c r="AX84">
        <f>Tabla1[[#This Row],[precio del paquete]]-Tabla1[[#This Row],[Saldo_Deudor]]</f>
        <v>250</v>
      </c>
      <c r="AY84">
        <v>14550</v>
      </c>
      <c r="AZ84" t="s">
        <v>1</v>
      </c>
      <c r="BA84" t="s">
        <v>1</v>
      </c>
      <c r="BB84" t="s">
        <v>1</v>
      </c>
      <c r="BC84" t="s">
        <v>259</v>
      </c>
      <c r="BD84" t="s">
        <v>1157</v>
      </c>
      <c r="BE84" t="s">
        <v>1</v>
      </c>
      <c r="BF84" t="s">
        <v>1</v>
      </c>
      <c r="BG84" t="s">
        <v>1</v>
      </c>
      <c r="BH84" t="s">
        <v>1</v>
      </c>
      <c r="BI84" t="s">
        <v>1</v>
      </c>
      <c r="BJ84" t="s">
        <v>275</v>
      </c>
      <c r="BK84" t="s">
        <v>1</v>
      </c>
      <c r="BL84" t="s">
        <v>132</v>
      </c>
      <c r="BM84" t="s">
        <v>1</v>
      </c>
      <c r="BN84">
        <v>14800</v>
      </c>
      <c r="BO84" t="s">
        <v>1</v>
      </c>
      <c r="BP84" t="s">
        <v>1</v>
      </c>
      <c r="BQ84" t="s">
        <v>1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0</v>
      </c>
      <c r="BX84" t="s">
        <v>1</v>
      </c>
      <c r="BY84" t="s">
        <v>1</v>
      </c>
      <c r="BZ84" t="s">
        <v>1</v>
      </c>
      <c r="CA84" t="s">
        <v>1</v>
      </c>
      <c r="CB84" t="s">
        <v>277</v>
      </c>
      <c r="CD84" t="str" cm="1">
        <f t="array" aca="1" ref="CD84" ca="1">eConcatenar(A84:CB84,"|")</f>
        <v>lBQRdng6mag02zl0|PAR2022-0514|3|MEMORIAL|TABASCO |PARAISO|PARAISO|2022-02-10|14800|0|100|50|0|0|0|0|0|0|0|0|0|0|0|0|0|0|0|HERNANDEZ|DIONISIO|MARIA|SOLTERO|X|X|AQUILES SERDAN SIN NOMBRE|EJIDO AQUILES SERDAN|x|9331356388|x|x|x|AQUILES SERDAN SIN NOMBRE|x|LUNES|X|X|X|X|X|DOMICILIO |250|14550|X|X|X|2022-03-03|2022-03-10|X|X|X|X|X|QWZBUE029KVTQO|X|HOMBRE|X|14800|X|X|X|X|X|X|X|X|CARDENAS|X|X|X|X|FINAL</v>
      </c>
    </row>
    <row r="85" spans="1:82" x14ac:dyDescent="0.25">
      <c r="A85" t="s">
        <v>649</v>
      </c>
      <c r="B85" t="s">
        <v>650</v>
      </c>
      <c r="C85">
        <v>3</v>
      </c>
      <c r="D85" t="s">
        <v>145</v>
      </c>
      <c r="E85" t="s">
        <v>12</v>
      </c>
      <c r="F85" t="s">
        <v>151</v>
      </c>
      <c r="G85" t="s">
        <v>151</v>
      </c>
      <c r="H85" t="s">
        <v>169</v>
      </c>
      <c r="I85">
        <v>14800</v>
      </c>
      <c r="J85">
        <v>0</v>
      </c>
      <c r="K85">
        <v>100</v>
      </c>
      <c r="L85">
        <v>50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209</v>
      </c>
      <c r="AC85" t="s">
        <v>206</v>
      </c>
      <c r="AD85" t="s">
        <v>651</v>
      </c>
      <c r="AE85" t="s">
        <v>4</v>
      </c>
      <c r="AF85" t="s">
        <v>1</v>
      </c>
      <c r="AG85" t="s">
        <v>1</v>
      </c>
      <c r="AH85" t="s">
        <v>652</v>
      </c>
      <c r="AI85" t="s">
        <v>625</v>
      </c>
      <c r="AJ85" t="s">
        <v>3</v>
      </c>
      <c r="AK85">
        <v>9334068357</v>
      </c>
      <c r="AL85" t="s">
        <v>3</v>
      </c>
      <c r="AM85" t="s">
        <v>3</v>
      </c>
      <c r="AN85" t="s">
        <v>3</v>
      </c>
      <c r="AO85" t="s">
        <v>652</v>
      </c>
      <c r="AP85" t="s">
        <v>3</v>
      </c>
      <c r="AQ85" t="s">
        <v>2</v>
      </c>
      <c r="AR85" t="s">
        <v>1</v>
      </c>
      <c r="AS85" t="s">
        <v>1</v>
      </c>
      <c r="AT85" t="s">
        <v>1</v>
      </c>
      <c r="AU85" t="s">
        <v>1</v>
      </c>
      <c r="AV85" t="s">
        <v>1</v>
      </c>
      <c r="AW85" t="s">
        <v>11</v>
      </c>
      <c r="AX85">
        <f>Tabla1[[#This Row],[precio del paquete]]-Tabla1[[#This Row],[Saldo_Deudor]]</f>
        <v>400</v>
      </c>
      <c r="AY85">
        <v>14400</v>
      </c>
      <c r="AZ85" t="s">
        <v>1</v>
      </c>
      <c r="BA85" t="s">
        <v>1</v>
      </c>
      <c r="BB85" t="s">
        <v>1</v>
      </c>
      <c r="BC85" t="s">
        <v>259</v>
      </c>
      <c r="BD85" t="s">
        <v>1157</v>
      </c>
      <c r="BE85" t="s">
        <v>1</v>
      </c>
      <c r="BF85" t="s">
        <v>1</v>
      </c>
      <c r="BG85" t="s">
        <v>1</v>
      </c>
      <c r="BH85" t="s">
        <v>1</v>
      </c>
      <c r="BI85" t="s">
        <v>1</v>
      </c>
      <c r="BJ85" t="s">
        <v>275</v>
      </c>
      <c r="BK85" t="s">
        <v>1</v>
      </c>
      <c r="BL85" t="s">
        <v>132</v>
      </c>
      <c r="BM85" t="s">
        <v>1</v>
      </c>
      <c r="BN85">
        <v>14800</v>
      </c>
      <c r="BO85" t="s">
        <v>1</v>
      </c>
      <c r="BP85" t="s">
        <v>1</v>
      </c>
      <c r="BQ85" t="s">
        <v>1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0</v>
      </c>
      <c r="BX85" t="s">
        <v>1</v>
      </c>
      <c r="BY85" t="s">
        <v>1</v>
      </c>
      <c r="BZ85" t="s">
        <v>1</v>
      </c>
      <c r="CA85" t="s">
        <v>1</v>
      </c>
      <c r="CB85" t="s">
        <v>277</v>
      </c>
      <c r="CD85" t="str" cm="1">
        <f t="array" aca="1" ref="CD85" ca="1">eConcatenar(A85:CB85,"|")</f>
        <v>VKvptL6X5QBt6Anj|PAR2022-0522|3|MEMORIAL|TABASCO |PARAISO|PARAISO|2022-02-13|14800|0|100|50|0|0|0|0|0|0|0|0|0|0|0|0|0|0|0|CORDOVA|RODRIGUEZ|ELMER|SOLTERO|X|X|CALLE PRIMERO DE JUNIO SIN NUMERO|COLONIA NUEVO TORNO LARGO|x|9334068357|x|x|x|CALLE PRIMERO DE JUNIO SIN NUMERO|x|LUNES|X|X|X|X|X|DOMICILIO |400|14400|X|X|X|2022-03-03|2022-03-10|X|X|X|X|X|QWZBUE029KVTQO|X|HOMBRE|X|14800|X|X|X|X|X|X|X|X|CARDENAS|X|X|X|X|FINAL</v>
      </c>
    </row>
    <row r="86" spans="1:82" x14ac:dyDescent="0.25">
      <c r="A86" t="s">
        <v>653</v>
      </c>
      <c r="B86" t="s">
        <v>654</v>
      </c>
      <c r="C86">
        <v>3</v>
      </c>
      <c r="D86" t="s">
        <v>144</v>
      </c>
      <c r="E86" t="s">
        <v>12</v>
      </c>
      <c r="F86" t="s">
        <v>151</v>
      </c>
      <c r="G86" t="s">
        <v>151</v>
      </c>
      <c r="H86" t="s">
        <v>1090</v>
      </c>
      <c r="I86">
        <v>12900</v>
      </c>
      <c r="J86">
        <v>0</v>
      </c>
      <c r="K86">
        <v>100</v>
      </c>
      <c r="L86">
        <v>50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205</v>
      </c>
      <c r="AD86" t="s">
        <v>194</v>
      </c>
      <c r="AE86" t="s">
        <v>4</v>
      </c>
      <c r="AF86" t="s">
        <v>1</v>
      </c>
      <c r="AG86" t="s">
        <v>1</v>
      </c>
      <c r="AH86" t="s">
        <v>242</v>
      </c>
      <c r="AI86" t="s">
        <v>655</v>
      </c>
      <c r="AJ86" t="s">
        <v>3</v>
      </c>
      <c r="AK86" t="s">
        <v>1</v>
      </c>
      <c r="AL86" t="s">
        <v>3</v>
      </c>
      <c r="AM86" t="s">
        <v>3</v>
      </c>
      <c r="AN86" t="s">
        <v>3</v>
      </c>
      <c r="AO86" t="s">
        <v>242</v>
      </c>
      <c r="AP86" t="s">
        <v>3</v>
      </c>
      <c r="AQ86" t="s">
        <v>2</v>
      </c>
      <c r="AR86" t="s">
        <v>1</v>
      </c>
      <c r="AS86" t="s">
        <v>1</v>
      </c>
      <c r="AT86" t="s">
        <v>1</v>
      </c>
      <c r="AU86" t="s">
        <v>1</v>
      </c>
      <c r="AV86" t="s">
        <v>1</v>
      </c>
      <c r="AW86" t="s">
        <v>11</v>
      </c>
      <c r="AX86">
        <f>Tabla1[[#This Row],[precio del paquete]]-Tabla1[[#This Row],[Saldo_Deudor]]</f>
        <v>4400</v>
      </c>
      <c r="AY86">
        <v>8500</v>
      </c>
      <c r="AZ86" t="s">
        <v>1</v>
      </c>
      <c r="BA86" t="s">
        <v>1</v>
      </c>
      <c r="BB86" t="s">
        <v>1</v>
      </c>
      <c r="BC86" t="s">
        <v>259</v>
      </c>
      <c r="BD86" t="s">
        <v>1157</v>
      </c>
      <c r="BE86" t="s">
        <v>1</v>
      </c>
      <c r="BF86" t="s">
        <v>1</v>
      </c>
      <c r="BG86" t="s">
        <v>1</v>
      </c>
      <c r="BH86" t="s">
        <v>1</v>
      </c>
      <c r="BI86" t="s">
        <v>1</v>
      </c>
      <c r="BJ86" t="s">
        <v>275</v>
      </c>
      <c r="BK86" t="s">
        <v>1</v>
      </c>
      <c r="BL86" t="s">
        <v>132</v>
      </c>
      <c r="BM86" t="s">
        <v>1</v>
      </c>
      <c r="BN86">
        <v>12900</v>
      </c>
      <c r="BO86" t="s">
        <v>1</v>
      </c>
      <c r="BP86" t="s">
        <v>1</v>
      </c>
      <c r="BQ86" t="s">
        <v>1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0</v>
      </c>
      <c r="BX86" t="s">
        <v>1</v>
      </c>
      <c r="BY86" t="s">
        <v>1</v>
      </c>
      <c r="BZ86" t="s">
        <v>1</v>
      </c>
      <c r="CA86" t="s">
        <v>1</v>
      </c>
      <c r="CB86" t="s">
        <v>277</v>
      </c>
      <c r="CD86" t="str" cm="1">
        <f t="array" aca="1" ref="CD86" ca="1">eConcatenar(A86:CB86,"|")</f>
        <v>jDGQxRi9lD8xs3Xt|PAR2021-0520|3|IMPERIAL DE LUJO|TABASCO |PARAISO|PARAISO|2021-02-10|12900|0|100|50|0|0|0|0|0|0|0|0|0|0|0|0|0|0|0|HERNANDEZ||MIGUEL|SOLTERO|X|X|CALLE PRINCIPAL|COLONIA GUANAJAY|x|X|x|x|x|CALLE PRINCIPAL|x|LUNES|X|X|X|X|X|DOMICILIO |4400|8500|X|X|X|2022-03-03|2022-03-10|X|X|X|X|X|QWZBUE029KVTQO|X|HOMBRE|X|12900|X|X|X|X|X|X|X|X|CARDENAS|X|X|X|X|FINAL</v>
      </c>
    </row>
    <row r="87" spans="1:82" x14ac:dyDescent="0.25">
      <c r="A87" t="s">
        <v>656</v>
      </c>
      <c r="B87" t="s">
        <v>657</v>
      </c>
      <c r="C87">
        <v>3</v>
      </c>
      <c r="D87" t="s">
        <v>144</v>
      </c>
      <c r="E87" t="s">
        <v>12</v>
      </c>
      <c r="F87" t="s">
        <v>151</v>
      </c>
      <c r="G87" t="s">
        <v>151</v>
      </c>
      <c r="H87" t="s">
        <v>1091</v>
      </c>
      <c r="I87">
        <v>12900</v>
      </c>
      <c r="J87">
        <v>0</v>
      </c>
      <c r="K87">
        <v>50</v>
      </c>
      <c r="L87">
        <v>50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226</v>
      </c>
      <c r="AC87" t="s">
        <v>203</v>
      </c>
      <c r="AD87" t="s">
        <v>658</v>
      </c>
      <c r="AE87" t="s">
        <v>4</v>
      </c>
      <c r="AF87" t="s">
        <v>1</v>
      </c>
      <c r="AG87" t="s">
        <v>1</v>
      </c>
      <c r="AH87" t="s">
        <v>659</v>
      </c>
      <c r="AI87" t="s">
        <v>660</v>
      </c>
      <c r="AJ87" t="s">
        <v>3</v>
      </c>
      <c r="AK87">
        <v>9331605925</v>
      </c>
      <c r="AL87" t="s">
        <v>3</v>
      </c>
      <c r="AM87" t="s">
        <v>3</v>
      </c>
      <c r="AN87" t="s">
        <v>3</v>
      </c>
      <c r="AO87" t="s">
        <v>659</v>
      </c>
      <c r="AP87" t="s">
        <v>3</v>
      </c>
      <c r="AQ87" t="s">
        <v>2</v>
      </c>
      <c r="AR87" t="s">
        <v>1</v>
      </c>
      <c r="AS87" t="s">
        <v>1</v>
      </c>
      <c r="AT87" t="s">
        <v>1</v>
      </c>
      <c r="AU87" t="s">
        <v>1</v>
      </c>
      <c r="AV87" t="s">
        <v>1</v>
      </c>
      <c r="AW87" t="s">
        <v>11</v>
      </c>
      <c r="AX87">
        <f>Tabla1[[#This Row],[precio del paquete]]-Tabla1[[#This Row],[Saldo_Deudor]]</f>
        <v>2050</v>
      </c>
      <c r="AY87">
        <v>10850</v>
      </c>
      <c r="AZ87" t="s">
        <v>1</v>
      </c>
      <c r="BA87" t="s">
        <v>1</v>
      </c>
      <c r="BB87" t="s">
        <v>1</v>
      </c>
      <c r="BC87" t="s">
        <v>259</v>
      </c>
      <c r="BD87" t="s">
        <v>1157</v>
      </c>
      <c r="BE87" t="s">
        <v>1</v>
      </c>
      <c r="BF87" t="s">
        <v>1</v>
      </c>
      <c r="BG87" t="s">
        <v>1</v>
      </c>
      <c r="BH87" t="s">
        <v>1</v>
      </c>
      <c r="BI87" t="s">
        <v>1</v>
      </c>
      <c r="BJ87" t="s">
        <v>275</v>
      </c>
      <c r="BK87" t="s">
        <v>1</v>
      </c>
      <c r="BL87" t="s">
        <v>132</v>
      </c>
      <c r="BM87" t="s">
        <v>1</v>
      </c>
      <c r="BN87">
        <v>12900</v>
      </c>
      <c r="BO87" t="s">
        <v>1</v>
      </c>
      <c r="BP87" t="s">
        <v>1</v>
      </c>
      <c r="BQ87" t="s">
        <v>1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0</v>
      </c>
      <c r="BX87" t="s">
        <v>1</v>
      </c>
      <c r="BY87" t="s">
        <v>1</v>
      </c>
      <c r="BZ87" t="s">
        <v>1</v>
      </c>
      <c r="CA87" t="s">
        <v>1</v>
      </c>
      <c r="CB87" t="s">
        <v>277</v>
      </c>
      <c r="CD87" t="str" cm="1">
        <f t="array" aca="1" ref="CD87" ca="1">eConcatenar(A87:CB87,"|")</f>
        <v>biSZ93TZlkuTP8aU|PAR2021-1184|3|IMPERIAL DE LUJO|TABASCO |PARAISO|PARAISO|2021-03-30|12900|0|50|50|0|0|0|0|0|0|0|0|0|0|0|0|0|0|0|SARABIA|GARCIA|JULIA|SOLTERO|X|X|CALLE LERDO DE TEJEDA|COLONIA CENTRO PARAISO|x|9331605925|x|x|x|CALLE LERDO DE TEJEDA|x|LUNES|X|X|X|X|X|DOMICILIO |2050|10850|X|X|X|2022-03-03|2022-03-10|X|X|X|X|X|QWZBUE029KVTQO|X|HOMBRE|X|12900|X|X|X|X|X|X|X|X|CARDENAS|X|X|X|X|FINAL</v>
      </c>
    </row>
    <row r="88" spans="1:82" x14ac:dyDescent="0.25">
      <c r="A88" t="s">
        <v>661</v>
      </c>
      <c r="B88" t="s">
        <v>662</v>
      </c>
      <c r="C88">
        <v>3</v>
      </c>
      <c r="D88" t="s">
        <v>144</v>
      </c>
      <c r="E88" t="s">
        <v>12</v>
      </c>
      <c r="F88" t="s">
        <v>151</v>
      </c>
      <c r="G88" t="s">
        <v>151</v>
      </c>
      <c r="H88" t="s">
        <v>1092</v>
      </c>
      <c r="I88">
        <v>12900</v>
      </c>
      <c r="J88">
        <v>0</v>
      </c>
      <c r="K88">
        <v>400</v>
      </c>
      <c r="L88">
        <v>50</v>
      </c>
      <c r="M88">
        <v>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663</v>
      </c>
      <c r="AC88" t="s">
        <v>664</v>
      </c>
      <c r="AD88" t="s">
        <v>665</v>
      </c>
      <c r="AE88" t="s">
        <v>4</v>
      </c>
      <c r="AF88" t="s">
        <v>1</v>
      </c>
      <c r="AG88" t="s">
        <v>1</v>
      </c>
      <c r="AH88" t="s">
        <v>666</v>
      </c>
      <c r="AI88" t="s">
        <v>660</v>
      </c>
      <c r="AJ88" t="s">
        <v>3</v>
      </c>
      <c r="AK88">
        <v>9333331520</v>
      </c>
      <c r="AL88" t="s">
        <v>3</v>
      </c>
      <c r="AM88" t="s">
        <v>3</v>
      </c>
      <c r="AN88" t="s">
        <v>3</v>
      </c>
      <c r="AO88" t="s">
        <v>666</v>
      </c>
      <c r="AP88" t="s">
        <v>3</v>
      </c>
      <c r="AQ88" t="s">
        <v>2</v>
      </c>
      <c r="AR88" t="s">
        <v>1</v>
      </c>
      <c r="AS88" t="s">
        <v>1</v>
      </c>
      <c r="AT88" t="s">
        <v>1</v>
      </c>
      <c r="AU88" t="s">
        <v>1</v>
      </c>
      <c r="AV88" t="s">
        <v>1</v>
      </c>
      <c r="AW88" t="s">
        <v>11</v>
      </c>
      <c r="AX88">
        <f>Tabla1[[#This Row],[precio del paquete]]-Tabla1[[#This Row],[Saldo_Deudor]]</f>
        <v>6200</v>
      </c>
      <c r="AY88">
        <v>6700</v>
      </c>
      <c r="AZ88" t="s">
        <v>1</v>
      </c>
      <c r="BA88" t="s">
        <v>1</v>
      </c>
      <c r="BB88" t="s">
        <v>1</v>
      </c>
      <c r="BC88" t="s">
        <v>259</v>
      </c>
      <c r="BD88" t="s">
        <v>1157</v>
      </c>
      <c r="BE88" t="s">
        <v>1</v>
      </c>
      <c r="BF88" t="s">
        <v>1</v>
      </c>
      <c r="BG88" t="s">
        <v>1</v>
      </c>
      <c r="BH88" t="s">
        <v>1</v>
      </c>
      <c r="BI88" t="s">
        <v>1</v>
      </c>
      <c r="BJ88" t="s">
        <v>275</v>
      </c>
      <c r="BK88" t="s">
        <v>1</v>
      </c>
      <c r="BL88" t="s">
        <v>132</v>
      </c>
      <c r="BM88" t="s">
        <v>1</v>
      </c>
      <c r="BN88">
        <v>12900</v>
      </c>
      <c r="BO88" t="s">
        <v>1</v>
      </c>
      <c r="BP88" t="s">
        <v>1</v>
      </c>
      <c r="BQ88" t="s">
        <v>1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0</v>
      </c>
      <c r="BX88" t="s">
        <v>1</v>
      </c>
      <c r="BY88" t="s">
        <v>1</v>
      </c>
      <c r="BZ88" t="s">
        <v>1</v>
      </c>
      <c r="CA88" t="s">
        <v>1</v>
      </c>
      <c r="CB88" t="s">
        <v>277</v>
      </c>
      <c r="CD88" t="str" cm="1">
        <f t="array" aca="1" ref="CD88" ca="1">eConcatenar(A88:CB88,"|")</f>
        <v>gNOZDr4o7dqEHIV1|PAR2021-0549|3|IMPERIAL DE LUJO|TABASCO |PARAISO|PARAISO|2021-02-15|12900|0|400|50|2|0|0|0|0|0|0|0|0|0|0|0|0|0|0|RUIZ|SANTOS|MARITZA|SOLTERO|X|X|CALLE GREGORIO MENDEZ|COLONIA CENTRO PARAISO|x|9333331520|x|x|x|CALLE GREGORIO MENDEZ|x|LUNES|X|X|X|X|X|DOMICILIO |6200|6700|X|X|X|2022-03-03|2022-03-10|X|X|X|X|X|QWZBUE029KVTQO|X|HOMBRE|X|12900|X|X|X|X|X|X|X|X|CARDENAS|X|X|X|X|FINAL</v>
      </c>
    </row>
    <row r="89" spans="1:82" x14ac:dyDescent="0.25">
      <c r="A89" t="s">
        <v>667</v>
      </c>
      <c r="B89" t="s">
        <v>668</v>
      </c>
      <c r="C89">
        <v>3</v>
      </c>
      <c r="D89" t="s">
        <v>145</v>
      </c>
      <c r="E89" t="s">
        <v>12</v>
      </c>
      <c r="F89" t="s">
        <v>151</v>
      </c>
      <c r="G89" t="s">
        <v>151</v>
      </c>
      <c r="H89" t="s">
        <v>1093</v>
      </c>
      <c r="I89">
        <v>14800</v>
      </c>
      <c r="J89">
        <v>0</v>
      </c>
      <c r="K89">
        <v>200</v>
      </c>
      <c r="L89">
        <v>50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669</v>
      </c>
      <c r="AC89" t="s">
        <v>217</v>
      </c>
      <c r="AD89" t="s">
        <v>415</v>
      </c>
      <c r="AE89" t="s">
        <v>4</v>
      </c>
      <c r="AF89" t="s">
        <v>1</v>
      </c>
      <c r="AG89" t="s">
        <v>1</v>
      </c>
      <c r="AH89" t="s">
        <v>670</v>
      </c>
      <c r="AI89" t="s">
        <v>671</v>
      </c>
      <c r="AJ89" t="s">
        <v>3</v>
      </c>
      <c r="AK89">
        <v>9331522306</v>
      </c>
      <c r="AL89" t="s">
        <v>3</v>
      </c>
      <c r="AM89" t="s">
        <v>3</v>
      </c>
      <c r="AN89" t="s">
        <v>3</v>
      </c>
      <c r="AO89" t="s">
        <v>670</v>
      </c>
      <c r="AP89" t="s">
        <v>3</v>
      </c>
      <c r="AQ89" t="s">
        <v>2</v>
      </c>
      <c r="AR89" t="s">
        <v>1</v>
      </c>
      <c r="AS89" t="s">
        <v>1</v>
      </c>
      <c r="AT89" t="s">
        <v>1</v>
      </c>
      <c r="AU89" t="s">
        <v>1</v>
      </c>
      <c r="AV89" t="s">
        <v>1</v>
      </c>
      <c r="AW89" t="s">
        <v>11</v>
      </c>
      <c r="AX89">
        <f>Tabla1[[#This Row],[precio del paquete]]-Tabla1[[#This Row],[Saldo_Deudor]]</f>
        <v>4000</v>
      </c>
      <c r="AY89">
        <v>10800</v>
      </c>
      <c r="AZ89" t="s">
        <v>1</v>
      </c>
      <c r="BA89" t="s">
        <v>1</v>
      </c>
      <c r="BB89" t="s">
        <v>1</v>
      </c>
      <c r="BC89" t="s">
        <v>259</v>
      </c>
      <c r="BD89" t="s">
        <v>1157</v>
      </c>
      <c r="BE89" t="s">
        <v>1</v>
      </c>
      <c r="BF89" t="s">
        <v>1</v>
      </c>
      <c r="BG89" t="s">
        <v>1</v>
      </c>
      <c r="BH89" t="s">
        <v>1</v>
      </c>
      <c r="BI89" t="s">
        <v>1</v>
      </c>
      <c r="BJ89" t="s">
        <v>275</v>
      </c>
      <c r="BK89" t="s">
        <v>1</v>
      </c>
      <c r="BL89" t="s">
        <v>132</v>
      </c>
      <c r="BM89" t="s">
        <v>1</v>
      </c>
      <c r="BN89">
        <v>14800</v>
      </c>
      <c r="BO89" t="s">
        <v>1</v>
      </c>
      <c r="BP89" t="s">
        <v>1</v>
      </c>
      <c r="BQ89" t="s">
        <v>1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0</v>
      </c>
      <c r="BX89" t="s">
        <v>1</v>
      </c>
      <c r="BY89" t="s">
        <v>1</v>
      </c>
      <c r="BZ89" t="s">
        <v>1</v>
      </c>
      <c r="CA89" t="s">
        <v>1</v>
      </c>
      <c r="CB89" t="s">
        <v>277</v>
      </c>
      <c r="CD89" t="str" cm="1">
        <f t="array" aca="1" ref="CD89" ca="1">eConcatenar(A89:CB89,"|")</f>
        <v>7r28YEp5so4NjmGv|PAR2021-1321|3|MEMORIAL|TABASCO |PARAISO|PARAISO|2021-09-07|14800|0|200|50|0|0|0|0|0|0|0|0|0|0|0|0|0|0|0|VERA|MENDEZ|VERONICA|SOLTERO|X|X|CERRADA MELCHOR OCAMPO|COLONIA LINIANTO|x|9331522306|x|x|x|CERRADA MELCHOR OCAMPO|x|LUNES|X|X|X|X|X|DOMICILIO |4000|10800|X|X|X|2022-03-03|2022-03-10|X|X|X|X|X|QWZBUE029KVTQO|X|HOMBRE|X|14800|X|X|X|X|X|X|X|X|CARDENAS|X|X|X|X|FINAL</v>
      </c>
    </row>
    <row r="90" spans="1:82" x14ac:dyDescent="0.25">
      <c r="A90" t="s">
        <v>672</v>
      </c>
      <c r="B90" t="s">
        <v>673</v>
      </c>
      <c r="C90">
        <v>3</v>
      </c>
      <c r="D90" t="s">
        <v>145</v>
      </c>
      <c r="E90" t="s">
        <v>12</v>
      </c>
      <c r="F90" t="s">
        <v>151</v>
      </c>
      <c r="G90" t="s">
        <v>151</v>
      </c>
      <c r="H90" t="s">
        <v>1092</v>
      </c>
      <c r="I90">
        <v>14800</v>
      </c>
      <c r="J90">
        <v>0</v>
      </c>
      <c r="K90">
        <v>100</v>
      </c>
      <c r="L90">
        <v>50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674</v>
      </c>
      <c r="AC90" t="s">
        <v>203</v>
      </c>
      <c r="AD90" t="s">
        <v>675</v>
      </c>
      <c r="AE90" t="s">
        <v>4</v>
      </c>
      <c r="AF90" t="s">
        <v>1</v>
      </c>
      <c r="AG90" t="s">
        <v>1</v>
      </c>
      <c r="AH90" t="s">
        <v>676</v>
      </c>
      <c r="AI90" t="s">
        <v>660</v>
      </c>
      <c r="AJ90" t="s">
        <v>3</v>
      </c>
      <c r="AK90">
        <v>9331666257</v>
      </c>
      <c r="AL90" t="s">
        <v>3</v>
      </c>
      <c r="AM90" t="s">
        <v>3</v>
      </c>
      <c r="AN90" t="s">
        <v>3</v>
      </c>
      <c r="AO90" t="s">
        <v>676</v>
      </c>
      <c r="AP90" t="s">
        <v>3</v>
      </c>
      <c r="AQ90" t="s">
        <v>2</v>
      </c>
      <c r="AR90" t="s">
        <v>1</v>
      </c>
      <c r="AS90" t="s">
        <v>1</v>
      </c>
      <c r="AT90" t="s">
        <v>1</v>
      </c>
      <c r="AU90" t="s">
        <v>1</v>
      </c>
      <c r="AV90" t="s">
        <v>1</v>
      </c>
      <c r="AW90" t="s">
        <v>11</v>
      </c>
      <c r="AX90">
        <f>Tabla1[[#This Row],[precio del paquete]]-Tabla1[[#This Row],[Saldo_Deudor]]</f>
        <v>3150</v>
      </c>
      <c r="AY90">
        <v>11650</v>
      </c>
      <c r="AZ90" t="s">
        <v>1</v>
      </c>
      <c r="BA90" t="s">
        <v>1</v>
      </c>
      <c r="BB90" t="s">
        <v>1</v>
      </c>
      <c r="BC90" t="s">
        <v>259</v>
      </c>
      <c r="BD90" t="s">
        <v>1157</v>
      </c>
      <c r="BE90" t="s">
        <v>1</v>
      </c>
      <c r="BF90" t="s">
        <v>1</v>
      </c>
      <c r="BG90" t="s">
        <v>1</v>
      </c>
      <c r="BH90" t="s">
        <v>1</v>
      </c>
      <c r="BI90" t="s">
        <v>1</v>
      </c>
      <c r="BJ90" t="s">
        <v>275</v>
      </c>
      <c r="BK90" t="s">
        <v>1</v>
      </c>
      <c r="BL90" t="s">
        <v>132</v>
      </c>
      <c r="BM90" t="s">
        <v>1</v>
      </c>
      <c r="BN90">
        <v>14800</v>
      </c>
      <c r="BO90" t="s">
        <v>1</v>
      </c>
      <c r="BP90" t="s">
        <v>1</v>
      </c>
      <c r="BQ90" t="s">
        <v>1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0</v>
      </c>
      <c r="BX90" t="s">
        <v>1</v>
      </c>
      <c r="BY90" t="s">
        <v>1</v>
      </c>
      <c r="BZ90" t="s">
        <v>1</v>
      </c>
      <c r="CA90" t="s">
        <v>1</v>
      </c>
      <c r="CB90" t="s">
        <v>277</v>
      </c>
      <c r="CD90" t="str" cm="1">
        <f t="array" aca="1" ref="CD90" ca="1">eConcatenar(A90:CB90,"|")</f>
        <v>8NjsUru6d18BLJCi|PAR2021-0982|3|MEMORIAL|TABASCO |PARAISO|PARAISO|2021-02-15|14800|0|100|50|0|0|0|0|0|0|0|0|0|0|0|0|0|0|0|MENDOZA|GARCIA|JESUS MANUEL|SOLTERO|X|X|CARRETERA A DOS BOCAS|COLONIA CENTRO PARAISO|x|9331666257|x|x|x|CARRETERA A DOS BOCAS|x|LUNES|X|X|X|X|X|DOMICILIO |3150|11650|X|X|X|2022-03-03|2022-03-10|X|X|X|X|X|QWZBUE029KVTQO|X|HOMBRE|X|14800|X|X|X|X|X|X|X|X|CARDENAS|X|X|X|X|FINAL</v>
      </c>
    </row>
    <row r="91" spans="1:82" x14ac:dyDescent="0.25">
      <c r="A91" t="s">
        <v>677</v>
      </c>
      <c r="B91" t="s">
        <v>678</v>
      </c>
      <c r="C91">
        <v>3</v>
      </c>
      <c r="D91" t="s">
        <v>144</v>
      </c>
      <c r="E91" t="s">
        <v>12</v>
      </c>
      <c r="F91" t="s">
        <v>120</v>
      </c>
      <c r="G91" t="s">
        <v>120</v>
      </c>
      <c r="H91" t="s">
        <v>1094</v>
      </c>
      <c r="I91">
        <v>12900</v>
      </c>
      <c r="J91">
        <v>0</v>
      </c>
      <c r="K91">
        <v>200</v>
      </c>
      <c r="L91">
        <v>50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524</v>
      </c>
      <c r="AC91" t="s">
        <v>227</v>
      </c>
      <c r="AD91" t="s">
        <v>431</v>
      </c>
      <c r="AE91" t="s">
        <v>4</v>
      </c>
      <c r="AF91" t="s">
        <v>1</v>
      </c>
      <c r="AG91" t="s">
        <v>1</v>
      </c>
      <c r="AH91" t="s">
        <v>679</v>
      </c>
      <c r="AI91" t="s">
        <v>680</v>
      </c>
      <c r="AJ91" t="s">
        <v>3</v>
      </c>
      <c r="AK91">
        <v>9332096680</v>
      </c>
      <c r="AL91" t="s">
        <v>3</v>
      </c>
      <c r="AM91" t="s">
        <v>3</v>
      </c>
      <c r="AN91" t="s">
        <v>3</v>
      </c>
      <c r="AO91" t="s">
        <v>679</v>
      </c>
      <c r="AP91" t="s">
        <v>3</v>
      </c>
      <c r="AQ91" t="s">
        <v>2</v>
      </c>
      <c r="AR91" t="s">
        <v>1</v>
      </c>
      <c r="AS91" t="s">
        <v>1</v>
      </c>
      <c r="AT91" t="s">
        <v>1</v>
      </c>
      <c r="AU91" t="s">
        <v>1</v>
      </c>
      <c r="AV91" t="s">
        <v>1</v>
      </c>
      <c r="AW91" t="s">
        <v>11</v>
      </c>
      <c r="AX91">
        <f>Tabla1[[#This Row],[precio del paquete]]-Tabla1[[#This Row],[Saldo_Deudor]]</f>
        <v>6950</v>
      </c>
      <c r="AY91">
        <v>5950</v>
      </c>
      <c r="AZ91" t="s">
        <v>1</v>
      </c>
      <c r="BA91" t="s">
        <v>1</v>
      </c>
      <c r="BB91" t="s">
        <v>1</v>
      </c>
      <c r="BC91" t="s">
        <v>259</v>
      </c>
      <c r="BD91" t="s">
        <v>1157</v>
      </c>
      <c r="BE91" t="s">
        <v>1</v>
      </c>
      <c r="BF91" t="s">
        <v>1</v>
      </c>
      <c r="BG91" t="s">
        <v>1</v>
      </c>
      <c r="BH91" t="s">
        <v>1</v>
      </c>
      <c r="BI91" t="s">
        <v>1</v>
      </c>
      <c r="BJ91" t="s">
        <v>275</v>
      </c>
      <c r="BK91" t="s">
        <v>1</v>
      </c>
      <c r="BL91" t="s">
        <v>132</v>
      </c>
      <c r="BM91" t="s">
        <v>1</v>
      </c>
      <c r="BN91">
        <v>12900</v>
      </c>
      <c r="BO91" t="s">
        <v>1</v>
      </c>
      <c r="BP91" t="s">
        <v>1</v>
      </c>
      <c r="BQ91" t="s">
        <v>1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0</v>
      </c>
      <c r="BX91" t="s">
        <v>1</v>
      </c>
      <c r="BY91" t="s">
        <v>1</v>
      </c>
      <c r="BZ91" t="s">
        <v>1</v>
      </c>
      <c r="CA91" t="s">
        <v>1</v>
      </c>
      <c r="CB91" t="s">
        <v>277</v>
      </c>
      <c r="CD91" t="str" cm="1">
        <f t="array" aca="1" ref="CD91" ca="1">eConcatenar(A91:CB91,"|")</f>
        <v>XqwX9jD8Ec8oBRP7|COM2019-2646|3|IMPERIAL DE LUJO|TABASCO |COMALCALCO |COMALCALCO |2019-09-29|12900|0|200|50|1|0|0|0|0|0|0|0|0|0|0|0|0|0|0|ALVARADO|MONTEJO|JOSEFINA|SOLTERO|X|X|CALLE BENITO JUAREZ CERCA DE LA SUCURSAL DE COMALCALCO|COLONIA CENTRO COMALCALCO|x|9332096680|x|x|x|CALLE BENITO JUAREZ CERCA DE LA SUCURSAL DE COMALCALCO|x|LUNES|X|X|X|X|X|DOMICILIO |6950|5950|X|X|X|2022-03-03|2022-03-10|X|X|X|X|X|QWZBUE029KVTQO|X|HOMBRE|X|12900|X|X|X|X|X|X|X|X|CARDENAS|X|X|X|X|FINAL</v>
      </c>
    </row>
    <row r="92" spans="1:82" x14ac:dyDescent="0.25">
      <c r="A92" t="s">
        <v>681</v>
      </c>
      <c r="B92" t="s">
        <v>682</v>
      </c>
      <c r="C92">
        <v>3</v>
      </c>
      <c r="D92" t="s">
        <v>144</v>
      </c>
      <c r="E92" t="s">
        <v>12</v>
      </c>
      <c r="F92" t="s">
        <v>151</v>
      </c>
      <c r="G92" t="s">
        <v>151</v>
      </c>
      <c r="H92" t="s">
        <v>1095</v>
      </c>
      <c r="I92">
        <v>12900</v>
      </c>
      <c r="J92">
        <v>0</v>
      </c>
      <c r="K92">
        <v>100</v>
      </c>
      <c r="L92">
        <v>50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683</v>
      </c>
      <c r="AC92" t="s">
        <v>523</v>
      </c>
      <c r="AD92" t="s">
        <v>684</v>
      </c>
      <c r="AE92" t="s">
        <v>4</v>
      </c>
      <c r="AF92" t="s">
        <v>1</v>
      </c>
      <c r="AG92" t="s">
        <v>1</v>
      </c>
      <c r="AH92" t="s">
        <v>685</v>
      </c>
      <c r="AI92" t="s">
        <v>660</v>
      </c>
      <c r="AJ92" t="s">
        <v>3</v>
      </c>
      <c r="AK92">
        <v>9331004489</v>
      </c>
      <c r="AL92" t="s">
        <v>3</v>
      </c>
      <c r="AM92" t="s">
        <v>3</v>
      </c>
      <c r="AN92" t="s">
        <v>3</v>
      </c>
      <c r="AO92" t="s">
        <v>685</v>
      </c>
      <c r="AP92" t="s">
        <v>3</v>
      </c>
      <c r="AQ92" t="s">
        <v>2</v>
      </c>
      <c r="AR92" t="s">
        <v>1</v>
      </c>
      <c r="AS92" t="s">
        <v>1</v>
      </c>
      <c r="AT92" t="s">
        <v>1</v>
      </c>
      <c r="AU92" t="s">
        <v>1</v>
      </c>
      <c r="AV92" t="s">
        <v>1</v>
      </c>
      <c r="AW92" t="s">
        <v>11</v>
      </c>
      <c r="AX92">
        <f>Tabla1[[#This Row],[precio del paquete]]-Tabla1[[#This Row],[Saldo_Deudor]]</f>
        <v>4350</v>
      </c>
      <c r="AY92">
        <v>8550</v>
      </c>
      <c r="AZ92" t="s">
        <v>1</v>
      </c>
      <c r="BA92" t="s">
        <v>1</v>
      </c>
      <c r="BB92" t="s">
        <v>1</v>
      </c>
      <c r="BC92" t="s">
        <v>260</v>
      </c>
      <c r="BD92" t="s">
        <v>158</v>
      </c>
      <c r="BE92" t="s">
        <v>1</v>
      </c>
      <c r="BF92" t="s">
        <v>1</v>
      </c>
      <c r="BG92" t="s">
        <v>1</v>
      </c>
      <c r="BH92" t="s">
        <v>1</v>
      </c>
      <c r="BI92" t="s">
        <v>1</v>
      </c>
      <c r="BJ92" t="s">
        <v>275</v>
      </c>
      <c r="BK92" t="s">
        <v>1</v>
      </c>
      <c r="BL92" t="s">
        <v>132</v>
      </c>
      <c r="BM92" t="s">
        <v>1</v>
      </c>
      <c r="BN92">
        <v>12900</v>
      </c>
      <c r="BO92" t="s">
        <v>1</v>
      </c>
      <c r="BP92" t="s">
        <v>1</v>
      </c>
      <c r="BQ92" t="s">
        <v>1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0</v>
      </c>
      <c r="BX92" t="s">
        <v>1</v>
      </c>
      <c r="BY92" t="s">
        <v>1</v>
      </c>
      <c r="BZ92" t="s">
        <v>1</v>
      </c>
      <c r="CA92" t="s">
        <v>1</v>
      </c>
      <c r="CB92" t="s">
        <v>277</v>
      </c>
      <c r="CD92" t="str" cm="1">
        <f t="array" aca="1" ref="CD92" ca="1">eConcatenar(A92:CB92,"|")</f>
        <v>vXTZb0UtBOKsLLL5|PAR2021-0347|3|IMPERIAL DE LUJO|TABASCO |PARAISO|PARAISO|2021-02-13|12900|0|100|50|0|0|0|0|0|0|0|0|0|0|0|0|0|0|0|CALLADO|VALENZUELA|FULI|SOLTERO|X|X|PROLONGACION 5 DE MAYO|COLONIA CENTRO PARAISO|x|9331004489|x|x|x|PROLONGACION 5 DE MAYO|x|LUNES|X|X|X|X|X|DOMICILIO |4350|8550|X|X|X|2022-01-06|2022-01-13|X|X|X|X|X|QWZBUE029KVTQO|X|HOMBRE|X|12900|X|X|X|X|X|X|X|X|CARDENAS|X|X|X|X|FINAL</v>
      </c>
    </row>
    <row r="93" spans="1:82" x14ac:dyDescent="0.25">
      <c r="A93" t="s">
        <v>686</v>
      </c>
      <c r="B93" t="s">
        <v>687</v>
      </c>
      <c r="C93">
        <v>3</v>
      </c>
      <c r="D93" t="s">
        <v>144</v>
      </c>
      <c r="E93" t="s">
        <v>12</v>
      </c>
      <c r="F93" t="s">
        <v>151</v>
      </c>
      <c r="G93" t="s">
        <v>151</v>
      </c>
      <c r="H93" t="s">
        <v>1096</v>
      </c>
      <c r="I93">
        <v>12900</v>
      </c>
      <c r="J93">
        <v>0</v>
      </c>
      <c r="K93">
        <v>100</v>
      </c>
      <c r="L93">
        <v>50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210</v>
      </c>
      <c r="AC93" t="s">
        <v>212</v>
      </c>
      <c r="AD93" t="s">
        <v>688</v>
      </c>
      <c r="AE93" t="s">
        <v>4</v>
      </c>
      <c r="AF93" t="s">
        <v>1</v>
      </c>
      <c r="AG93" t="s">
        <v>1</v>
      </c>
      <c r="AH93" t="s">
        <v>689</v>
      </c>
      <c r="AI93" t="s">
        <v>660</v>
      </c>
      <c r="AJ93" t="s">
        <v>3</v>
      </c>
      <c r="AK93">
        <v>9331359120</v>
      </c>
      <c r="AL93" t="s">
        <v>3</v>
      </c>
      <c r="AM93" t="s">
        <v>3</v>
      </c>
      <c r="AN93" t="s">
        <v>3</v>
      </c>
      <c r="AO93" t="s">
        <v>689</v>
      </c>
      <c r="AP93" t="s">
        <v>3</v>
      </c>
      <c r="AQ93" t="s">
        <v>2</v>
      </c>
      <c r="AR93" t="s">
        <v>1</v>
      </c>
      <c r="AS93" t="s">
        <v>1</v>
      </c>
      <c r="AT93" t="s">
        <v>1</v>
      </c>
      <c r="AU93" t="s">
        <v>1</v>
      </c>
      <c r="AV93" t="s">
        <v>1</v>
      </c>
      <c r="AW93" t="s">
        <v>11</v>
      </c>
      <c r="AX93">
        <f>Tabla1[[#This Row],[precio del paquete]]-Tabla1[[#This Row],[Saldo_Deudor]]</f>
        <v>3690</v>
      </c>
      <c r="AY93">
        <v>9210</v>
      </c>
      <c r="AZ93" t="s">
        <v>1</v>
      </c>
      <c r="BA93" t="s">
        <v>1</v>
      </c>
      <c r="BB93" t="s">
        <v>1</v>
      </c>
      <c r="BC93" t="s">
        <v>261</v>
      </c>
      <c r="BD93" t="s">
        <v>256</v>
      </c>
      <c r="BE93" t="s">
        <v>1</v>
      </c>
      <c r="BF93" t="s">
        <v>1</v>
      </c>
      <c r="BG93" t="s">
        <v>1</v>
      </c>
      <c r="BH93" t="s">
        <v>1</v>
      </c>
      <c r="BI93" t="s">
        <v>1</v>
      </c>
      <c r="BJ93" t="s">
        <v>275</v>
      </c>
      <c r="BK93" t="s">
        <v>1</v>
      </c>
      <c r="BL93" t="s">
        <v>132</v>
      </c>
      <c r="BM93" t="s">
        <v>1</v>
      </c>
      <c r="BN93">
        <v>12900</v>
      </c>
      <c r="BO93" t="s">
        <v>1</v>
      </c>
      <c r="BP93" t="s">
        <v>1</v>
      </c>
      <c r="BQ93" t="s">
        <v>1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0</v>
      </c>
      <c r="BX93" t="s">
        <v>1</v>
      </c>
      <c r="BY93" t="s">
        <v>1</v>
      </c>
      <c r="BZ93" t="s">
        <v>1</v>
      </c>
      <c r="CA93" t="s">
        <v>1</v>
      </c>
      <c r="CB93" t="s">
        <v>277</v>
      </c>
      <c r="CD93" t="str" cm="1">
        <f t="array" aca="1" ref="CD93" ca="1">eConcatenar(A93:CB93,"|")</f>
        <v>ng2HmDpmGeac1uO9|PAR2021-0948|3|IMPERIAL DE LUJO|TABASCO |PARAISO|PARAISO|2021-03-08|12900|0|100|50|0|0|0|0|0|0|0|0|0|0|0|0|0|0|0|DE LA CRUZ|DOMINGUEZ|YARA|SOLTERO|X|X|CERRADA LAZARO CARDENAS EN LA CALLE 5 DE MAYO|COLONIA CENTRO PARAISO|x|9331359120|x|x|x|CERRADA LAZARO CARDENAS EN LA CALLE 5 DE MAYO|x|LUNES|X|X|X|X|X|DOMICILIO |3690|9210|X|X|X|2022-02-23|2022-03-02|X|X|X|X|X|QWZBUE029KVTQO|X|HOMBRE|X|12900|X|X|X|X|X|X|X|X|CARDENAS|X|X|X|X|FINAL</v>
      </c>
    </row>
    <row r="94" spans="1:82" x14ac:dyDescent="0.25">
      <c r="A94" t="s">
        <v>690</v>
      </c>
      <c r="B94" t="s">
        <v>691</v>
      </c>
      <c r="C94">
        <v>3</v>
      </c>
      <c r="D94" t="s">
        <v>144</v>
      </c>
      <c r="E94" t="s">
        <v>12</v>
      </c>
      <c r="F94" t="s">
        <v>151</v>
      </c>
      <c r="G94" t="s">
        <v>151</v>
      </c>
      <c r="H94" t="s">
        <v>1096</v>
      </c>
      <c r="I94">
        <v>12900</v>
      </c>
      <c r="J94">
        <v>0</v>
      </c>
      <c r="K94">
        <v>100</v>
      </c>
      <c r="L94">
        <v>50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228</v>
      </c>
      <c r="AC94" t="s">
        <v>214</v>
      </c>
      <c r="AD94" t="s">
        <v>692</v>
      </c>
      <c r="AE94" t="s">
        <v>4</v>
      </c>
      <c r="AF94" t="s">
        <v>1</v>
      </c>
      <c r="AG94" t="s">
        <v>1</v>
      </c>
      <c r="AH94" t="s">
        <v>693</v>
      </c>
      <c r="AI94" t="s">
        <v>660</v>
      </c>
      <c r="AJ94" t="s">
        <v>3</v>
      </c>
      <c r="AK94">
        <v>9331360278</v>
      </c>
      <c r="AL94" t="s">
        <v>3</v>
      </c>
      <c r="AM94" t="s">
        <v>3</v>
      </c>
      <c r="AN94" t="s">
        <v>3</v>
      </c>
      <c r="AO94" t="s">
        <v>693</v>
      </c>
      <c r="AP94" t="s">
        <v>3</v>
      </c>
      <c r="AQ94" t="s">
        <v>2</v>
      </c>
      <c r="AR94" t="s">
        <v>1</v>
      </c>
      <c r="AS94" t="s">
        <v>1</v>
      </c>
      <c r="AT94" t="s">
        <v>1</v>
      </c>
      <c r="AU94" t="s">
        <v>1</v>
      </c>
      <c r="AV94" t="s">
        <v>1</v>
      </c>
      <c r="AW94" t="s">
        <v>11</v>
      </c>
      <c r="AX94">
        <f>Tabla1[[#This Row],[precio del paquete]]-Tabla1[[#This Row],[Saldo_Deudor]]</f>
        <v>4050</v>
      </c>
      <c r="AY94">
        <v>8850</v>
      </c>
      <c r="AZ94" t="s">
        <v>1</v>
      </c>
      <c r="BA94" t="s">
        <v>1</v>
      </c>
      <c r="BB94" t="s">
        <v>1</v>
      </c>
      <c r="BC94" t="s">
        <v>157</v>
      </c>
      <c r="BD94" t="s">
        <v>261</v>
      </c>
      <c r="BE94" t="s">
        <v>1</v>
      </c>
      <c r="BF94" t="s">
        <v>1</v>
      </c>
      <c r="BG94" t="s">
        <v>1</v>
      </c>
      <c r="BH94" t="s">
        <v>1</v>
      </c>
      <c r="BI94" t="s">
        <v>1</v>
      </c>
      <c r="BJ94" t="s">
        <v>275</v>
      </c>
      <c r="BK94" t="s">
        <v>1</v>
      </c>
      <c r="BL94" t="s">
        <v>132</v>
      </c>
      <c r="BM94" t="s">
        <v>1</v>
      </c>
      <c r="BN94">
        <v>12900</v>
      </c>
      <c r="BO94" t="s">
        <v>1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277</v>
      </c>
      <c r="CD94" t="str" cm="1">
        <f t="array" aca="1" ref="CD94" ca="1">eConcatenar(A94:CB94,"|")</f>
        <v>n9Sf6Xt9HF8YPOMS|PAR2021-0946|3|IMPERIAL DE LUJO|TABASCO |PARAISO|PARAISO|2021-03-08|12900|0|100|50|0|0|0|0|0|0|0|0|0|0|0|0|0|0|0|FLORES|PEREZ|IMELDA|SOLTERO|X|X|CALLE IGNACIO RAMIREZ|COLONIA CENTRO PARAISO|x|9331360278|x|x|x|CALLE IGNACIO RAMIREZ|x|LUNES|X|X|X|X|X|DOMICILIO |4050|8850|X|X|X|2022-02-16|2022-02-23|X|X|X|X|X|QWZBUE029KVTQO|X|HOMBRE|X|12900|X|X|X|X|X|X|X|X|CARDENAS|X|X|X|X|FINAL</v>
      </c>
    </row>
    <row r="95" spans="1:82" x14ac:dyDescent="0.25">
      <c r="A95" t="s">
        <v>694</v>
      </c>
      <c r="B95" t="s">
        <v>695</v>
      </c>
      <c r="C95">
        <v>3</v>
      </c>
      <c r="D95" t="s">
        <v>144</v>
      </c>
      <c r="E95" t="s">
        <v>12</v>
      </c>
      <c r="F95" t="s">
        <v>151</v>
      </c>
      <c r="G95" t="s">
        <v>151</v>
      </c>
      <c r="H95" t="s">
        <v>1097</v>
      </c>
      <c r="I95">
        <v>12900</v>
      </c>
      <c r="J95">
        <v>0</v>
      </c>
      <c r="K95">
        <v>100</v>
      </c>
      <c r="L95">
        <v>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210</v>
      </c>
      <c r="AC95" t="s">
        <v>664</v>
      </c>
      <c r="AD95" t="s">
        <v>696</v>
      </c>
      <c r="AE95" t="s">
        <v>4</v>
      </c>
      <c r="AF95" t="s">
        <v>1</v>
      </c>
      <c r="AG95" t="s">
        <v>1</v>
      </c>
      <c r="AH95" t="s">
        <v>697</v>
      </c>
      <c r="AI95" t="s">
        <v>698</v>
      </c>
      <c r="AJ95" t="s">
        <v>3</v>
      </c>
      <c r="AK95">
        <v>9331072930</v>
      </c>
      <c r="AL95" t="s">
        <v>3</v>
      </c>
      <c r="AM95" t="s">
        <v>3</v>
      </c>
      <c r="AN95" t="s">
        <v>3</v>
      </c>
      <c r="AO95" t="s">
        <v>697</v>
      </c>
      <c r="AP95" t="s">
        <v>3</v>
      </c>
      <c r="AQ95" t="s">
        <v>2</v>
      </c>
      <c r="AR95" t="s">
        <v>1</v>
      </c>
      <c r="AS95" t="s">
        <v>1</v>
      </c>
      <c r="AT95" t="s">
        <v>1</v>
      </c>
      <c r="AU95" t="s">
        <v>1</v>
      </c>
      <c r="AV95" t="s">
        <v>1</v>
      </c>
      <c r="AW95" t="s">
        <v>11</v>
      </c>
      <c r="AX95">
        <f>Tabla1[[#This Row],[precio del paquete]]-Tabla1[[#This Row],[Saldo_Deudor]]</f>
        <v>3650</v>
      </c>
      <c r="AY95">
        <v>9250</v>
      </c>
      <c r="AZ95" t="s">
        <v>1</v>
      </c>
      <c r="BA95" t="s">
        <v>1</v>
      </c>
      <c r="BB95" t="s">
        <v>1</v>
      </c>
      <c r="BC95" t="s">
        <v>262</v>
      </c>
      <c r="BD95" t="s">
        <v>259</v>
      </c>
      <c r="BE95" t="s">
        <v>1</v>
      </c>
      <c r="BF95" t="s">
        <v>1</v>
      </c>
      <c r="BG95" t="s">
        <v>1</v>
      </c>
      <c r="BH95" t="s">
        <v>1</v>
      </c>
      <c r="BI95" t="s">
        <v>1</v>
      </c>
      <c r="BJ95" t="s">
        <v>275</v>
      </c>
      <c r="BK95" t="s">
        <v>1</v>
      </c>
      <c r="BL95" t="s">
        <v>132</v>
      </c>
      <c r="BM95" t="s">
        <v>1</v>
      </c>
      <c r="BN95">
        <v>12900</v>
      </c>
      <c r="BO95" t="s">
        <v>1</v>
      </c>
      <c r="BP95" t="s">
        <v>1</v>
      </c>
      <c r="BQ95" t="s">
        <v>1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0</v>
      </c>
      <c r="BX95" t="s">
        <v>1</v>
      </c>
      <c r="BY95" t="s">
        <v>1</v>
      </c>
      <c r="BZ95" t="s">
        <v>1</v>
      </c>
      <c r="CA95" t="s">
        <v>1</v>
      </c>
      <c r="CB95" t="s">
        <v>277</v>
      </c>
      <c r="CD95" t="str" cm="1">
        <f t="array" aca="1" ref="CD95" ca="1">eConcatenar(A95:CB95,"|")</f>
        <v>hzfuM3PQIRHbod8e|PAR2021-1382|3|IMPERIAL DE LUJO|TABASCO |PARAISO|PARAISO|2021-04-20|12900|0|100|50|0|0|0|0|0|0|0|0|0|0|0|0|0|0|0|DE LA CRUZ|SANTOS|HEDDY|SOLTERO|X|X|PUERTO CEIBA CARRIZAL|EJIDO PUERTO CEIBA CARRIZAL|x|9331072930|x|x|x|PUERTO CEIBA CARRIZAL|x|LUNES|X|X|X|X|X|DOMICILIO |3650|9250|X|X|X|2022-02-24|2022-03-03|X|X|X|X|X|QWZBUE029KVTQO|X|HOMBRE|X|12900|X|X|X|X|X|X|X|X|CARDENAS|X|X|X|X|FINAL</v>
      </c>
    </row>
    <row r="96" spans="1:82" x14ac:dyDescent="0.25">
      <c r="A96" t="s">
        <v>699</v>
      </c>
      <c r="B96" t="s">
        <v>700</v>
      </c>
      <c r="C96">
        <v>3</v>
      </c>
      <c r="D96" t="s">
        <v>145</v>
      </c>
      <c r="E96" t="s">
        <v>12</v>
      </c>
      <c r="F96" t="s">
        <v>151</v>
      </c>
      <c r="G96" t="s">
        <v>151</v>
      </c>
      <c r="H96" t="s">
        <v>1098</v>
      </c>
      <c r="I96">
        <v>14800</v>
      </c>
      <c r="J96">
        <v>0</v>
      </c>
      <c r="K96">
        <v>100</v>
      </c>
      <c r="L96">
        <v>50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212</v>
      </c>
      <c r="AC96" t="s">
        <v>701</v>
      </c>
      <c r="AD96" t="s">
        <v>702</v>
      </c>
      <c r="AE96" t="s">
        <v>4</v>
      </c>
      <c r="AF96" t="s">
        <v>1</v>
      </c>
      <c r="AG96" t="s">
        <v>1</v>
      </c>
      <c r="AH96" t="s">
        <v>703</v>
      </c>
      <c r="AI96" t="s">
        <v>660</v>
      </c>
      <c r="AJ96" t="s">
        <v>3</v>
      </c>
      <c r="AK96">
        <v>9331584660</v>
      </c>
      <c r="AL96" t="s">
        <v>3</v>
      </c>
      <c r="AM96" t="s">
        <v>3</v>
      </c>
      <c r="AN96" t="s">
        <v>3</v>
      </c>
      <c r="AO96" t="s">
        <v>703</v>
      </c>
      <c r="AP96" t="s">
        <v>3</v>
      </c>
      <c r="AQ96" t="s">
        <v>2</v>
      </c>
      <c r="AR96" t="s">
        <v>1</v>
      </c>
      <c r="AS96" t="s">
        <v>1</v>
      </c>
      <c r="AT96" t="s">
        <v>1</v>
      </c>
      <c r="AU96" t="s">
        <v>1</v>
      </c>
      <c r="AV96" t="s">
        <v>1</v>
      </c>
      <c r="AW96" t="s">
        <v>11</v>
      </c>
      <c r="AX96">
        <f>Tabla1[[#This Row],[precio del paquete]]-Tabla1[[#This Row],[Saldo_Deudor]]</f>
        <v>3800</v>
      </c>
      <c r="AY96">
        <v>11000</v>
      </c>
      <c r="AZ96" t="s">
        <v>1</v>
      </c>
      <c r="BA96" t="s">
        <v>1</v>
      </c>
      <c r="BB96" t="s">
        <v>1</v>
      </c>
      <c r="BC96" t="s">
        <v>263</v>
      </c>
      <c r="BD96" t="s">
        <v>262</v>
      </c>
      <c r="BE96" t="s">
        <v>1</v>
      </c>
      <c r="BF96" t="s">
        <v>1</v>
      </c>
      <c r="BG96" t="s">
        <v>1</v>
      </c>
      <c r="BH96" t="s">
        <v>1</v>
      </c>
      <c r="BI96" t="s">
        <v>1</v>
      </c>
      <c r="BJ96" t="s">
        <v>275</v>
      </c>
      <c r="BK96" t="s">
        <v>1</v>
      </c>
      <c r="BL96" t="s">
        <v>132</v>
      </c>
      <c r="BM96" t="s">
        <v>1</v>
      </c>
      <c r="BN96">
        <v>14800</v>
      </c>
      <c r="BO96" t="s">
        <v>1</v>
      </c>
      <c r="BP96" t="s">
        <v>1</v>
      </c>
      <c r="BQ96" t="s">
        <v>1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0</v>
      </c>
      <c r="BX96" t="s">
        <v>1</v>
      </c>
      <c r="BY96" t="s">
        <v>1</v>
      </c>
      <c r="BZ96" t="s">
        <v>1</v>
      </c>
      <c r="CA96" t="s">
        <v>1</v>
      </c>
      <c r="CB96" t="s">
        <v>277</v>
      </c>
      <c r="CD96" t="str" cm="1">
        <f t="array" aca="1" ref="CD96" ca="1">eConcatenar(A96:CB96,"|")</f>
        <v>mwC2p2PukGdscAl0|PAR2021-1325|3|MEMORIAL|TABASCO |PARAISO|PARAISO|2021-04-08|14800|0|100|50|0|0|0|0|0|0|0|0|0|0|0|0|0|0|0|DOMINGUEZ|ALMICHE|LUIS RAMON|SOLTERO|X|X|CALLE 8 DE OCTUBRE|COLONIA CENTRO PARAISO|x|9331584660|x|x|x|CALLE 8 DE OCTUBRE|x|LUNES|X|X|X|X|X|DOMICILIO |3800|11000|X|X|X|2022-02-17|2022-02-24|X|X|X|X|X|QWZBUE029KVTQO|X|HOMBRE|X|14800|X|X|X|X|X|X|X|X|CARDENAS|X|X|X|X|FINAL</v>
      </c>
    </row>
    <row r="97" spans="1:82" x14ac:dyDescent="0.25">
      <c r="A97" t="s">
        <v>704</v>
      </c>
      <c r="B97" t="s">
        <v>705</v>
      </c>
      <c r="C97">
        <v>3</v>
      </c>
      <c r="D97" t="s">
        <v>144</v>
      </c>
      <c r="E97" t="s">
        <v>12</v>
      </c>
      <c r="F97" t="s">
        <v>151</v>
      </c>
      <c r="G97" t="s">
        <v>151</v>
      </c>
      <c r="H97" t="s">
        <v>1090</v>
      </c>
      <c r="I97">
        <v>12900</v>
      </c>
      <c r="J97">
        <v>0</v>
      </c>
      <c r="K97">
        <v>100</v>
      </c>
      <c r="L97">
        <v>50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202</v>
      </c>
      <c r="AC97" t="s">
        <v>205</v>
      </c>
      <c r="AD97" t="s">
        <v>543</v>
      </c>
      <c r="AE97" t="s">
        <v>4</v>
      </c>
      <c r="AF97" t="s">
        <v>1</v>
      </c>
      <c r="AG97" t="s">
        <v>1</v>
      </c>
      <c r="AH97" t="s">
        <v>706</v>
      </c>
      <c r="AI97" t="s">
        <v>707</v>
      </c>
      <c r="AJ97" t="s">
        <v>3</v>
      </c>
      <c r="AK97">
        <v>9331491430</v>
      </c>
      <c r="AL97" t="s">
        <v>3</v>
      </c>
      <c r="AM97" t="s">
        <v>3</v>
      </c>
      <c r="AN97" t="s">
        <v>3</v>
      </c>
      <c r="AO97" t="s">
        <v>706</v>
      </c>
      <c r="AP97" t="s">
        <v>3</v>
      </c>
      <c r="AQ97" t="s">
        <v>2</v>
      </c>
      <c r="AR97" t="s">
        <v>1</v>
      </c>
      <c r="AS97" t="s">
        <v>1</v>
      </c>
      <c r="AT97" t="s">
        <v>1</v>
      </c>
      <c r="AU97" t="s">
        <v>1</v>
      </c>
      <c r="AV97" t="s">
        <v>1</v>
      </c>
      <c r="AW97" t="s">
        <v>11</v>
      </c>
      <c r="AX97">
        <f>Tabla1[[#This Row],[precio del paquete]]-Tabla1[[#This Row],[Saldo_Deudor]]</f>
        <v>4900</v>
      </c>
      <c r="AY97">
        <v>8000</v>
      </c>
      <c r="AZ97" t="s">
        <v>1</v>
      </c>
      <c r="BA97" t="s">
        <v>1</v>
      </c>
      <c r="BB97" t="s">
        <v>1</v>
      </c>
      <c r="BC97" t="s">
        <v>262</v>
      </c>
      <c r="BD97" t="s">
        <v>259</v>
      </c>
      <c r="BE97" t="s">
        <v>1</v>
      </c>
      <c r="BF97" t="s">
        <v>1</v>
      </c>
      <c r="BG97" t="s">
        <v>1</v>
      </c>
      <c r="BH97" t="s">
        <v>1</v>
      </c>
      <c r="BI97" t="s">
        <v>1</v>
      </c>
      <c r="BJ97" t="s">
        <v>275</v>
      </c>
      <c r="BK97" t="s">
        <v>1</v>
      </c>
      <c r="BL97" t="s">
        <v>132</v>
      </c>
      <c r="BM97" t="s">
        <v>1</v>
      </c>
      <c r="BN97">
        <v>12900</v>
      </c>
      <c r="BO97" t="s">
        <v>1</v>
      </c>
      <c r="BP97" t="s">
        <v>1</v>
      </c>
      <c r="BQ97" t="s">
        <v>1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0</v>
      </c>
      <c r="BX97" t="s">
        <v>1</v>
      </c>
      <c r="BY97" t="s">
        <v>1</v>
      </c>
      <c r="BZ97" t="s">
        <v>1</v>
      </c>
      <c r="CA97" t="s">
        <v>1</v>
      </c>
      <c r="CB97" t="s">
        <v>277</v>
      </c>
      <c r="CD97" t="str" cm="1">
        <f t="array" aca="1" ref="CD97" ca="1">eConcatenar(A97:CB97,"|")</f>
        <v>hkrjETTFSZpSaQYe|PAR2021-0514|3|IMPERIAL DE LUJO|TABASCO |PARAISO|PARAISO|2021-02-10|12900|0|100|50|0|0|0|0|0|0|0|0|0|0|0|0|0|0|0|CRUZ|HERNANDEZ|ARACELI|SOLTERO|X|X|CERRADA LIMON  A DOS BOCAS|COLONIA VERACRUZ SEGUNDA|x|9331491430|x|x|x|CERRADA LIMON  A DOS BOCAS|x|LUNES|X|X|X|X|X|DOMICILIO |4900|8000|X|X|X|2022-02-24|2022-03-03|X|X|X|X|X|QWZBUE029KVTQO|X|HOMBRE|X|12900|X|X|X|X|X|X|X|X|CARDENAS|X|X|X|X|FINAL</v>
      </c>
    </row>
    <row r="98" spans="1:82" x14ac:dyDescent="0.25">
      <c r="A98" t="s">
        <v>708</v>
      </c>
      <c r="B98" t="s">
        <v>709</v>
      </c>
      <c r="C98">
        <v>3</v>
      </c>
      <c r="D98" t="s">
        <v>145</v>
      </c>
      <c r="E98" t="s">
        <v>12</v>
      </c>
      <c r="F98" t="s">
        <v>155</v>
      </c>
      <c r="G98" t="s">
        <v>155</v>
      </c>
      <c r="H98" t="s">
        <v>170</v>
      </c>
      <c r="I98">
        <v>14800</v>
      </c>
      <c r="J98">
        <v>0</v>
      </c>
      <c r="K98">
        <v>50</v>
      </c>
      <c r="L98">
        <v>50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206</v>
      </c>
      <c r="AC98" t="s">
        <v>205</v>
      </c>
      <c r="AD98" t="s">
        <v>710</v>
      </c>
      <c r="AE98" t="s">
        <v>4</v>
      </c>
      <c r="AF98" t="s">
        <v>1</v>
      </c>
      <c r="AG98" t="s">
        <v>1</v>
      </c>
      <c r="AH98" t="s">
        <v>711</v>
      </c>
      <c r="AI98" t="s">
        <v>244</v>
      </c>
      <c r="AJ98" t="s">
        <v>3</v>
      </c>
      <c r="AK98">
        <v>9131039822</v>
      </c>
      <c r="AL98" t="s">
        <v>3</v>
      </c>
      <c r="AM98" t="s">
        <v>3</v>
      </c>
      <c r="AN98" t="s">
        <v>3</v>
      </c>
      <c r="AO98" t="s">
        <v>711</v>
      </c>
      <c r="AP98" t="s">
        <v>3</v>
      </c>
      <c r="AQ98" t="s">
        <v>2</v>
      </c>
      <c r="AR98" t="s">
        <v>1</v>
      </c>
      <c r="AS98" t="s">
        <v>1</v>
      </c>
      <c r="AT98" t="s">
        <v>1</v>
      </c>
      <c r="AU98" t="s">
        <v>1</v>
      </c>
      <c r="AV98" t="s">
        <v>1</v>
      </c>
      <c r="AW98" t="s">
        <v>11</v>
      </c>
      <c r="AX98">
        <f>Tabla1[[#This Row],[precio del paquete]]-Tabla1[[#This Row],[Saldo_Deudor]]</f>
        <v>150</v>
      </c>
      <c r="AY98">
        <v>14650</v>
      </c>
      <c r="AZ98" t="s">
        <v>1</v>
      </c>
      <c r="BA98" t="s">
        <v>1</v>
      </c>
      <c r="BB98" t="s">
        <v>1</v>
      </c>
      <c r="BC98" t="s">
        <v>259</v>
      </c>
      <c r="BD98" t="s">
        <v>1157</v>
      </c>
      <c r="BE98" t="s">
        <v>1</v>
      </c>
      <c r="BF98" t="s">
        <v>1</v>
      </c>
      <c r="BG98" t="s">
        <v>1</v>
      </c>
      <c r="BH98" t="s">
        <v>1</v>
      </c>
      <c r="BI98" t="s">
        <v>1</v>
      </c>
      <c r="BJ98" t="s">
        <v>275</v>
      </c>
      <c r="BK98" t="s">
        <v>1</v>
      </c>
      <c r="BL98" t="s">
        <v>132</v>
      </c>
      <c r="BM98" t="s">
        <v>1</v>
      </c>
      <c r="BN98">
        <v>14800</v>
      </c>
      <c r="BO98" t="s">
        <v>1</v>
      </c>
      <c r="BP98" t="s">
        <v>1</v>
      </c>
      <c r="BQ98" t="s">
        <v>1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0</v>
      </c>
      <c r="BX98" t="s">
        <v>1</v>
      </c>
      <c r="BY98" t="s">
        <v>1</v>
      </c>
      <c r="BZ98" t="s">
        <v>1</v>
      </c>
      <c r="CA98" t="s">
        <v>1</v>
      </c>
      <c r="CB98" t="s">
        <v>277</v>
      </c>
      <c r="CD98" t="str" cm="1">
        <f t="array" aca="1" ref="CD98" ca="1">eConcatenar(A98:CB98,"|")</f>
        <v>Kf3Gy1xdkMRinneP|CAR2022-0516|3|MEMORIAL|TABASCO |CENTLA|CENTLA|2022-02-11|14800|0|50|50|0|0|0|0|0|0|0|0|0|0|0|0|0|0|0|RODRIGUEZ|HERNANDEZ|DAVID GASPAR|SOLTERO|X|X|LOCALIDAD JALAPITA SIN NUMERO|RANCHERIA JALAPITA|x|9131039822|x|x|x|LOCALIDAD JALAPITA SIN NUMERO|x|LUNES|X|X|X|X|X|DOMICILIO |150|14650|X|X|X|2022-03-03|2022-03-10|X|X|X|X|X|QWZBUE029KVTQO|X|HOMBRE|X|14800|X|X|X|X|X|X|X|X|CARDENAS|X|X|X|X|FINAL</v>
      </c>
    </row>
    <row r="99" spans="1:82" x14ac:dyDescent="0.25">
      <c r="A99" t="s">
        <v>712</v>
      </c>
      <c r="B99" t="s">
        <v>713</v>
      </c>
      <c r="C99">
        <v>3</v>
      </c>
      <c r="D99" t="s">
        <v>714</v>
      </c>
      <c r="E99" t="s">
        <v>12</v>
      </c>
      <c r="F99" t="s">
        <v>151</v>
      </c>
      <c r="G99" t="s">
        <v>151</v>
      </c>
      <c r="H99" t="s">
        <v>171</v>
      </c>
      <c r="I99">
        <v>34700</v>
      </c>
      <c r="J99">
        <v>0</v>
      </c>
      <c r="K99">
        <v>200</v>
      </c>
      <c r="L99">
        <v>50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203</v>
      </c>
      <c r="AC99" t="s">
        <v>715</v>
      </c>
      <c r="AD99" t="s">
        <v>716</v>
      </c>
      <c r="AE99" t="s">
        <v>4</v>
      </c>
      <c r="AF99" t="s">
        <v>1</v>
      </c>
      <c r="AG99" t="s">
        <v>1</v>
      </c>
      <c r="AH99" t="s">
        <v>717</v>
      </c>
      <c r="AI99" t="s">
        <v>718</v>
      </c>
      <c r="AJ99" t="s">
        <v>3</v>
      </c>
      <c r="AK99">
        <v>9331075965</v>
      </c>
      <c r="AL99" t="s">
        <v>3</v>
      </c>
      <c r="AM99" t="s">
        <v>3</v>
      </c>
      <c r="AN99" t="s">
        <v>3</v>
      </c>
      <c r="AO99" t="s">
        <v>717</v>
      </c>
      <c r="AP99" t="s">
        <v>3</v>
      </c>
      <c r="AQ99" t="s">
        <v>2</v>
      </c>
      <c r="AR99" t="s">
        <v>1</v>
      </c>
      <c r="AS99" t="s">
        <v>1</v>
      </c>
      <c r="AT99" t="s">
        <v>1</v>
      </c>
      <c r="AU99" t="s">
        <v>1</v>
      </c>
      <c r="AV99" t="s">
        <v>1</v>
      </c>
      <c r="AW99" t="s">
        <v>11</v>
      </c>
      <c r="AX99">
        <f>Tabla1[[#This Row],[precio del paquete]]-Tabla1[[#This Row],[Saldo_Deudor]]</f>
        <v>5400</v>
      </c>
      <c r="AY99">
        <v>29300</v>
      </c>
      <c r="AZ99" t="s">
        <v>1</v>
      </c>
      <c r="BA99" t="s">
        <v>1</v>
      </c>
      <c r="BB99" t="s">
        <v>1</v>
      </c>
      <c r="BC99" t="s">
        <v>157</v>
      </c>
      <c r="BD99" t="s">
        <v>261</v>
      </c>
      <c r="BE99" t="s">
        <v>1</v>
      </c>
      <c r="BF99" t="s">
        <v>1</v>
      </c>
      <c r="BG99" t="s">
        <v>1</v>
      </c>
      <c r="BH99" t="s">
        <v>1</v>
      </c>
      <c r="BI99" t="s">
        <v>1</v>
      </c>
      <c r="BJ99" t="s">
        <v>275</v>
      </c>
      <c r="BK99" t="s">
        <v>1</v>
      </c>
      <c r="BL99" t="s">
        <v>132</v>
      </c>
      <c r="BM99" t="s">
        <v>1</v>
      </c>
      <c r="BN99">
        <v>34700</v>
      </c>
      <c r="BO99" t="s">
        <v>1</v>
      </c>
      <c r="BP99" t="s">
        <v>1</v>
      </c>
      <c r="BQ99" t="s">
        <v>1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0</v>
      </c>
      <c r="BX99" t="s">
        <v>1</v>
      </c>
      <c r="BY99" t="s">
        <v>1</v>
      </c>
      <c r="BZ99" t="s">
        <v>1</v>
      </c>
      <c r="CA99" t="s">
        <v>1</v>
      </c>
      <c r="CB99" t="s">
        <v>277</v>
      </c>
      <c r="CD99" t="str" cm="1">
        <f t="array" aca="1" ref="CD99" ca="1">eConcatenar(A99:CB99,"|")</f>
        <v>0aSM4wrtGZdaAT1L|PAR2021-1134|3|CREMACION|TABASCO |PARAISO|PARAISO|2021-03-23|34700|0|200|50|1|0|0|0|0|0|0|0|0|0|0|0|0|0|0|GARCIA|VICENTE|MARCELINO|SOLTERO|X|X|SECCION BANCO CHILTEPEC|RANCHERIA CHILTEPEC SECCION BANCO|x|9331075965|x|x|x|SECCION BANCO CHILTEPEC|x|LUNES|X|X|X|X|X|DOMICILIO |5400|29300|X|X|X|2022-02-16|2022-02-23|X|X|X|X|X|QWZBUE029KVTQO|X|HOMBRE|X|34700|X|X|X|X|X|X|X|X|CARDENAS|X|X|X|X|FINAL</v>
      </c>
    </row>
    <row r="100" spans="1:82" x14ac:dyDescent="0.25">
      <c r="A100" t="s">
        <v>719</v>
      </c>
      <c r="B100" t="s">
        <v>720</v>
      </c>
      <c r="C100">
        <v>3</v>
      </c>
      <c r="D100" t="s">
        <v>145</v>
      </c>
      <c r="E100" t="s">
        <v>12</v>
      </c>
      <c r="F100" t="s">
        <v>155</v>
      </c>
      <c r="G100" t="s">
        <v>155</v>
      </c>
      <c r="H100" t="s">
        <v>1067</v>
      </c>
      <c r="I100">
        <v>14800</v>
      </c>
      <c r="J100">
        <v>0</v>
      </c>
      <c r="K100">
        <v>200</v>
      </c>
      <c r="L100">
        <v>50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7</v>
      </c>
      <c r="AC100" t="s">
        <v>721</v>
      </c>
      <c r="AD100" t="s">
        <v>722</v>
      </c>
      <c r="AE100" t="s">
        <v>4</v>
      </c>
      <c r="AF100" t="s">
        <v>1</v>
      </c>
      <c r="AG100" t="s">
        <v>1</v>
      </c>
      <c r="AH100" t="s">
        <v>723</v>
      </c>
      <c r="AI100" t="s">
        <v>244</v>
      </c>
      <c r="AJ100" t="s">
        <v>3</v>
      </c>
      <c r="AK100">
        <v>9371614455</v>
      </c>
      <c r="AL100" t="s">
        <v>3</v>
      </c>
      <c r="AM100" t="s">
        <v>3</v>
      </c>
      <c r="AN100" t="s">
        <v>3</v>
      </c>
      <c r="AO100" t="s">
        <v>723</v>
      </c>
      <c r="AP100" t="s">
        <v>3</v>
      </c>
      <c r="AQ100" t="s">
        <v>2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11</v>
      </c>
      <c r="AX100">
        <f>Tabla1[[#This Row],[precio del paquete]]-Tabla1[[#This Row],[Saldo_Deudor]]</f>
        <v>1000</v>
      </c>
      <c r="AY100">
        <v>13800</v>
      </c>
      <c r="AZ100" t="s">
        <v>1</v>
      </c>
      <c r="BA100" t="s">
        <v>1</v>
      </c>
      <c r="BB100" t="s">
        <v>1</v>
      </c>
      <c r="BC100" t="s">
        <v>172</v>
      </c>
      <c r="BD100" t="s">
        <v>1159</v>
      </c>
      <c r="BE100" t="s">
        <v>1</v>
      </c>
      <c r="BF100" t="s">
        <v>1</v>
      </c>
      <c r="BG100" t="s">
        <v>1</v>
      </c>
      <c r="BH100" t="s">
        <v>1</v>
      </c>
      <c r="BI100" t="s">
        <v>1</v>
      </c>
      <c r="BJ100" t="s">
        <v>275</v>
      </c>
      <c r="BK100" t="s">
        <v>1</v>
      </c>
      <c r="BL100" t="s">
        <v>132</v>
      </c>
      <c r="BM100" t="s">
        <v>1</v>
      </c>
      <c r="BN100">
        <v>14800</v>
      </c>
      <c r="BO100" t="s">
        <v>1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1</v>
      </c>
      <c r="CB100" t="s">
        <v>277</v>
      </c>
      <c r="CD100" t="str" cm="1">
        <f t="array" aca="1" ref="CD100" ca="1">eConcatenar(A100:CB100,"|")</f>
        <v>bB54H6253kR4uZoR|CAR2021-3740|3|MEMORIAL|TABASCO |CENTLA|CENTLA|2021-11-19|14800|0|200|50|1|0|0|0|0|0|0|0|0|0|0|0|0|0|0|LOPEZ|MAGAÑA|GUADALUPE|SOLTERO|X|X|CARRETERA EL MORRAL|RANCHERIA JALAPITA|x|9371614455|x|x|x|CARRETERA EL MORRAL|x|LUNES|X|X|X|X|X|DOMICILIO |1000|13800|X|X|X|2022-02-02|2022-02-09|X|X|X|X|X|QWZBUE029KVTQO|X|HOMBRE|X|14800|X|X|X|X|X|X|X|X|CARDENAS|X|X|X|X|FINAL</v>
      </c>
    </row>
    <row r="101" spans="1:82" x14ac:dyDescent="0.25">
      <c r="A101" t="s">
        <v>724</v>
      </c>
      <c r="B101" t="s">
        <v>725</v>
      </c>
      <c r="C101">
        <v>3</v>
      </c>
      <c r="D101" t="s">
        <v>145</v>
      </c>
      <c r="E101" t="s">
        <v>12</v>
      </c>
      <c r="F101" t="s">
        <v>155</v>
      </c>
      <c r="G101" t="s">
        <v>155</v>
      </c>
      <c r="H101" t="s">
        <v>1099</v>
      </c>
      <c r="I101">
        <v>14800</v>
      </c>
      <c r="J101">
        <v>0</v>
      </c>
      <c r="K101">
        <v>100</v>
      </c>
      <c r="L101">
        <v>50</v>
      </c>
      <c r="M101">
        <v>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215</v>
      </c>
      <c r="AC101" t="s">
        <v>641</v>
      </c>
      <c r="AD101" t="s">
        <v>726</v>
      </c>
      <c r="AE101" t="s">
        <v>4</v>
      </c>
      <c r="AF101" t="s">
        <v>1</v>
      </c>
      <c r="AG101" t="s">
        <v>1</v>
      </c>
      <c r="AH101" t="s">
        <v>241</v>
      </c>
      <c r="AI101" t="s">
        <v>244</v>
      </c>
      <c r="AJ101" t="s">
        <v>3</v>
      </c>
      <c r="AK101">
        <v>9931118593</v>
      </c>
      <c r="AL101" t="s">
        <v>3</v>
      </c>
      <c r="AM101" t="s">
        <v>3</v>
      </c>
      <c r="AN101" t="s">
        <v>3</v>
      </c>
      <c r="AO101" t="s">
        <v>241</v>
      </c>
      <c r="AP101" t="s">
        <v>3</v>
      </c>
      <c r="AQ101" t="s">
        <v>2</v>
      </c>
      <c r="AR101" t="s">
        <v>1</v>
      </c>
      <c r="AS101" t="s">
        <v>1</v>
      </c>
      <c r="AT101" t="s">
        <v>1</v>
      </c>
      <c r="AU101" t="s">
        <v>1</v>
      </c>
      <c r="AV101" t="s">
        <v>1</v>
      </c>
      <c r="AW101" t="s">
        <v>11</v>
      </c>
      <c r="AX101">
        <f>Tabla1[[#This Row],[precio del paquete]]-Tabla1[[#This Row],[Saldo_Deudor]]</f>
        <v>1200</v>
      </c>
      <c r="AY101">
        <v>13600</v>
      </c>
      <c r="AZ101" t="s">
        <v>1</v>
      </c>
      <c r="BA101" t="s">
        <v>1</v>
      </c>
      <c r="BB101" t="s">
        <v>1</v>
      </c>
      <c r="BC101" t="s">
        <v>260</v>
      </c>
      <c r="BD101" t="s">
        <v>158</v>
      </c>
      <c r="BE101" t="s">
        <v>1</v>
      </c>
      <c r="BF101" t="s">
        <v>1</v>
      </c>
      <c r="BG101" t="s">
        <v>1</v>
      </c>
      <c r="BH101" t="s">
        <v>1</v>
      </c>
      <c r="BI101" t="s">
        <v>1</v>
      </c>
      <c r="BJ101" t="s">
        <v>275</v>
      </c>
      <c r="BK101" t="s">
        <v>1</v>
      </c>
      <c r="BL101" t="s">
        <v>132</v>
      </c>
      <c r="BM101" t="s">
        <v>1</v>
      </c>
      <c r="BN101">
        <v>14800</v>
      </c>
      <c r="BO101" t="s">
        <v>1</v>
      </c>
      <c r="BP101" t="s">
        <v>1</v>
      </c>
      <c r="BQ101" t="s">
        <v>1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0</v>
      </c>
      <c r="BX101" t="s">
        <v>1</v>
      </c>
      <c r="BY101" t="s">
        <v>1</v>
      </c>
      <c r="BZ101" t="s">
        <v>1</v>
      </c>
      <c r="CA101" t="s">
        <v>1</v>
      </c>
      <c r="CB101" t="s">
        <v>277</v>
      </c>
      <c r="CD101" t="str" cm="1">
        <f t="array" aca="1" ref="CD101" ca="1">eConcatenar(A101:CB101,"|")</f>
        <v>as4vOUBOGA2GnwbE|CAR2021-3129|3|MEMORIAL|TABASCO |CENTLA|CENTLA|2021-10-06|14800|0|100|50|2|0|0|0|0|0|0|0|0|0|0|0|0|0|0|SANCHEZ|GALMICHE|JOSE ALFREDO|SOLTERO|X|X|CARRETERA PRINCIPAL|RANCHERIA JALAPITA|x|9931118593|x|x|x|CARRETERA PRINCIPAL|x|LUNES|X|X|X|X|X|DOMICILIO |1200|13600|X|X|X|2022-01-06|2022-01-13|X|X|X|X|X|QWZBUE029KVTQO|X|HOMBRE|X|14800|X|X|X|X|X|X|X|X|CARDENAS|X|X|X|X|FINAL</v>
      </c>
    </row>
    <row r="102" spans="1:82" x14ac:dyDescent="0.25">
      <c r="A102" t="s">
        <v>727</v>
      </c>
      <c r="B102" t="s">
        <v>728</v>
      </c>
      <c r="C102">
        <v>3</v>
      </c>
      <c r="D102" t="s">
        <v>145</v>
      </c>
      <c r="E102" t="s">
        <v>150</v>
      </c>
      <c r="F102" t="s">
        <v>153</v>
      </c>
      <c r="G102" t="s">
        <v>153</v>
      </c>
      <c r="H102" t="s">
        <v>1058</v>
      </c>
      <c r="I102">
        <v>14800</v>
      </c>
      <c r="J102">
        <v>0</v>
      </c>
      <c r="K102">
        <v>100</v>
      </c>
      <c r="L102">
        <v>50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444</v>
      </c>
      <c r="AC102" t="s">
        <v>205</v>
      </c>
      <c r="AD102" t="s">
        <v>190</v>
      </c>
      <c r="AE102" t="s">
        <v>4</v>
      </c>
      <c r="AF102" t="s">
        <v>1</v>
      </c>
      <c r="AG102" t="s">
        <v>1</v>
      </c>
      <c r="AH102" t="s">
        <v>729</v>
      </c>
      <c r="AI102" t="s">
        <v>445</v>
      </c>
      <c r="AJ102" t="s">
        <v>3</v>
      </c>
      <c r="AK102">
        <v>9331010096</v>
      </c>
      <c r="AL102" t="s">
        <v>3</v>
      </c>
      <c r="AM102" t="s">
        <v>3</v>
      </c>
      <c r="AN102" t="s">
        <v>3</v>
      </c>
      <c r="AO102" t="s">
        <v>729</v>
      </c>
      <c r="AP102" t="s">
        <v>3</v>
      </c>
      <c r="AQ102" t="s">
        <v>2</v>
      </c>
      <c r="AR102" t="s">
        <v>1</v>
      </c>
      <c r="AS102" t="s">
        <v>1</v>
      </c>
      <c r="AT102" t="s">
        <v>1</v>
      </c>
      <c r="AU102" t="s">
        <v>1</v>
      </c>
      <c r="AV102" t="s">
        <v>1</v>
      </c>
      <c r="AW102" t="s">
        <v>11</v>
      </c>
      <c r="AX102">
        <f>Tabla1[[#This Row],[precio del paquete]]-Tabla1[[#This Row],[Saldo_Deudor]]</f>
        <v>2300</v>
      </c>
      <c r="AY102">
        <v>12500</v>
      </c>
      <c r="AZ102" t="s">
        <v>1</v>
      </c>
      <c r="BA102" t="s">
        <v>1</v>
      </c>
      <c r="BB102" t="s">
        <v>1</v>
      </c>
      <c r="BC102" t="s">
        <v>176</v>
      </c>
      <c r="BD102" t="s">
        <v>255</v>
      </c>
      <c r="BE102" t="s">
        <v>1</v>
      </c>
      <c r="BF102" t="s">
        <v>1</v>
      </c>
      <c r="BG102" t="s">
        <v>1</v>
      </c>
      <c r="BH102" t="s">
        <v>1</v>
      </c>
      <c r="BI102" t="s">
        <v>1</v>
      </c>
      <c r="BJ102" t="s">
        <v>273</v>
      </c>
      <c r="BK102" t="s">
        <v>1</v>
      </c>
      <c r="BL102" t="s">
        <v>132</v>
      </c>
      <c r="BM102" t="s">
        <v>1</v>
      </c>
      <c r="BN102">
        <v>14800</v>
      </c>
      <c r="BO102" t="s">
        <v>1</v>
      </c>
      <c r="BP102" t="s">
        <v>1</v>
      </c>
      <c r="BQ102" t="s">
        <v>1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1</v>
      </c>
      <c r="CB102" t="s">
        <v>277</v>
      </c>
      <c r="CD102" t="str" cm="1">
        <f t="array" aca="1" ref="CD102" ca="1">eConcatenar(A102:CB102,"|")</f>
        <v>PScPK7mjINAXFRN4|COM2021-2780|3|MEMORIAL|TABASCO|COMALCALCO|COMALCALCO|2021-09-06|14800|0|100|50|0|0|0|0|0|0|0|0|0|0|0|0|0|0|0|ZACARIAS|HERNANDEZ|JOSE LUIS|SOLTERO|X|X|CALLE EMILIANO ZAPATA NUMERO 733|COLONIA SANTA AMALIA|x|9331010096|x|x|x|CALLE EMILIANO ZAPATA NUMERO 733|x|LUNES|X|X|X|X|X|DOMICILIO |2300|12500|X|X|X|2022-02-22|2022-03-01|X|X|X|X|X|ZCEYT2126ZYSJM7|X|HOMBRE|X|14800|X|X|X|X|X|X|X|X|CARDENAS|X|X|X|X|FINAL</v>
      </c>
    </row>
    <row r="103" spans="1:82" x14ac:dyDescent="0.25">
      <c r="A103" t="s">
        <v>730</v>
      </c>
      <c r="B103" t="s">
        <v>731</v>
      </c>
      <c r="C103">
        <v>3</v>
      </c>
      <c r="D103" t="s">
        <v>145</v>
      </c>
      <c r="E103" t="s">
        <v>150</v>
      </c>
      <c r="F103" t="s">
        <v>153</v>
      </c>
      <c r="G103" t="s">
        <v>153</v>
      </c>
      <c r="H103" t="s">
        <v>1058</v>
      </c>
      <c r="I103">
        <v>14800</v>
      </c>
      <c r="J103">
        <v>0</v>
      </c>
      <c r="K103">
        <v>100</v>
      </c>
      <c r="L103">
        <v>50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732</v>
      </c>
      <c r="AC103" t="s">
        <v>205</v>
      </c>
      <c r="AD103" t="s">
        <v>440</v>
      </c>
      <c r="AE103" t="s">
        <v>4</v>
      </c>
      <c r="AF103" t="s">
        <v>1</v>
      </c>
      <c r="AG103" t="s">
        <v>1</v>
      </c>
      <c r="AH103" t="s">
        <v>733</v>
      </c>
      <c r="AI103" t="s">
        <v>478</v>
      </c>
      <c r="AJ103" t="s">
        <v>3</v>
      </c>
      <c r="AK103">
        <v>9331010096</v>
      </c>
      <c r="AL103" t="s">
        <v>3</v>
      </c>
      <c r="AM103" t="s">
        <v>3</v>
      </c>
      <c r="AN103" t="s">
        <v>3</v>
      </c>
      <c r="AO103" t="s">
        <v>733</v>
      </c>
      <c r="AP103" t="s">
        <v>3</v>
      </c>
      <c r="AQ103" t="s">
        <v>2</v>
      </c>
      <c r="AR103" t="s">
        <v>1</v>
      </c>
      <c r="AS103" t="s">
        <v>1</v>
      </c>
      <c r="AT103" t="s">
        <v>1</v>
      </c>
      <c r="AU103" t="s">
        <v>1</v>
      </c>
      <c r="AV103" t="s">
        <v>1</v>
      </c>
      <c r="AW103" t="s">
        <v>11</v>
      </c>
      <c r="AX103">
        <f>Tabla1[[#This Row],[precio del paquete]]-Tabla1[[#This Row],[Saldo_Deudor]]</f>
        <v>2300</v>
      </c>
      <c r="AY103">
        <v>12500</v>
      </c>
      <c r="AZ103" t="s">
        <v>1</v>
      </c>
      <c r="BA103" t="s">
        <v>1</v>
      </c>
      <c r="BB103" t="s">
        <v>1</v>
      </c>
      <c r="BC103" t="s">
        <v>176</v>
      </c>
      <c r="BD103" t="s">
        <v>255</v>
      </c>
      <c r="BE103" t="s">
        <v>1</v>
      </c>
      <c r="BF103" t="s">
        <v>1</v>
      </c>
      <c r="BG103" t="s">
        <v>1</v>
      </c>
      <c r="BH103" t="s">
        <v>1</v>
      </c>
      <c r="BI103" t="s">
        <v>1</v>
      </c>
      <c r="BJ103" t="s">
        <v>273</v>
      </c>
      <c r="BK103" t="s">
        <v>1</v>
      </c>
      <c r="BL103" t="s">
        <v>132</v>
      </c>
      <c r="BM103" t="s">
        <v>1</v>
      </c>
      <c r="BN103">
        <v>14800</v>
      </c>
      <c r="BO103" t="s">
        <v>1</v>
      </c>
      <c r="BP103" t="s">
        <v>1</v>
      </c>
      <c r="BQ103" t="s">
        <v>1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0</v>
      </c>
      <c r="BX103" t="s">
        <v>1</v>
      </c>
      <c r="BY103" t="s">
        <v>1</v>
      </c>
      <c r="BZ103" t="s">
        <v>1</v>
      </c>
      <c r="CA103" t="s">
        <v>1</v>
      </c>
      <c r="CB103" t="s">
        <v>277</v>
      </c>
      <c r="CD103" t="str" cm="1">
        <f t="array" aca="1" ref="CD103" ca="1">eConcatenar(A103:CB103,"|")</f>
        <v>TezUMX8d049VLkLV|COM2021-2783|3|MEMORIAL|TABASCO|COMALCALCO|COMALCALCO|2021-09-06|14800|0|100|50|0|0|0|0|0|0|0|0|0|0|0|0|0|0|0|CORODVA|HERNANDEZ|FELIPE ANGEL|SOLTERO|X|X|SUR CUARTA SECCION|RANCHERIA SUR CUARTA SECCION|x|9331010096|x|x|x|SUR CUARTA SECCION|x|LUNES|X|X|X|X|X|DOMICILIO |2300|12500|X|X|X|2022-02-22|2022-03-01|X|X|X|X|X|ZCEYT2126ZYSJM7|X|HOMBRE|X|14800|X|X|X|X|X|X|X|X|CARDENAS|X|X|X|X|FINAL</v>
      </c>
    </row>
    <row r="104" spans="1:82" x14ac:dyDescent="0.25">
      <c r="A104" t="s">
        <v>734</v>
      </c>
      <c r="B104" t="s">
        <v>493</v>
      </c>
      <c r="C104">
        <v>3</v>
      </c>
      <c r="D104" t="s">
        <v>144</v>
      </c>
      <c r="E104" t="s">
        <v>150</v>
      </c>
      <c r="F104" t="s">
        <v>153</v>
      </c>
      <c r="G104" t="s">
        <v>153</v>
      </c>
      <c r="H104" t="s">
        <v>1066</v>
      </c>
      <c r="I104">
        <v>12900</v>
      </c>
      <c r="J104">
        <v>0</v>
      </c>
      <c r="K104">
        <v>100</v>
      </c>
      <c r="L104">
        <v>50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218</v>
      </c>
      <c r="AC104" t="s">
        <v>212</v>
      </c>
      <c r="AD104" t="s">
        <v>494</v>
      </c>
      <c r="AE104" t="s">
        <v>4</v>
      </c>
      <c r="AF104" t="s">
        <v>1</v>
      </c>
      <c r="AG104" t="s">
        <v>1</v>
      </c>
      <c r="AH104" t="s">
        <v>735</v>
      </c>
      <c r="AI104" t="s">
        <v>478</v>
      </c>
      <c r="AJ104" t="s">
        <v>3</v>
      </c>
      <c r="AK104">
        <v>9331569984</v>
      </c>
      <c r="AL104" t="s">
        <v>3</v>
      </c>
      <c r="AM104" t="s">
        <v>3</v>
      </c>
      <c r="AN104" t="s">
        <v>3</v>
      </c>
      <c r="AO104" t="s">
        <v>735</v>
      </c>
      <c r="AP104" t="s">
        <v>3</v>
      </c>
      <c r="AQ104" t="s">
        <v>2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11</v>
      </c>
      <c r="AX104">
        <f>Tabla1[[#This Row],[precio del paquete]]-Tabla1[[#This Row],[Saldo_Deudor]]</f>
        <v>6500</v>
      </c>
      <c r="AY104">
        <v>6400</v>
      </c>
      <c r="AZ104" t="s">
        <v>1</v>
      </c>
      <c r="BA104" t="s">
        <v>1</v>
      </c>
      <c r="BB104" t="s">
        <v>1</v>
      </c>
      <c r="BC104" t="s">
        <v>176</v>
      </c>
      <c r="BD104" t="s">
        <v>255</v>
      </c>
      <c r="BE104" t="s">
        <v>1</v>
      </c>
      <c r="BF104" t="s">
        <v>1</v>
      </c>
      <c r="BG104" t="s">
        <v>1</v>
      </c>
      <c r="BH104" t="s">
        <v>1</v>
      </c>
      <c r="BI104" t="s">
        <v>1</v>
      </c>
      <c r="BJ104" t="s">
        <v>273</v>
      </c>
      <c r="BK104" t="s">
        <v>1</v>
      </c>
      <c r="BL104" t="s">
        <v>132</v>
      </c>
      <c r="BM104" t="s">
        <v>1</v>
      </c>
      <c r="BN104">
        <v>12900</v>
      </c>
      <c r="BO104" t="s">
        <v>1</v>
      </c>
      <c r="BP104" t="s">
        <v>1</v>
      </c>
      <c r="BQ104" t="s">
        <v>1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0</v>
      </c>
      <c r="BX104" t="s">
        <v>1</v>
      </c>
      <c r="BY104" t="s">
        <v>1</v>
      </c>
      <c r="BZ104" t="s">
        <v>1</v>
      </c>
      <c r="CA104" t="s">
        <v>1</v>
      </c>
      <c r="CB104" t="s">
        <v>277</v>
      </c>
      <c r="CD104" t="str" cm="1">
        <f t="array" aca="1" ref="CD104" ca="1">eConcatenar(A104:CB104,"|")</f>
        <v>rueocExIvsqqRtIq|COM2020-3126|3|IMPERIAL DE LUJO|TABASCO|COMALCALCO|COMALCALCO|2020-11-27|12900|0|100|50|0|0|0|0|0|0|0|0|0|0|0|0|0|0|0|JIMENEZ|DOMINGUEZ|ROSA LILIA|SOLTERO|X|X|ENTRADA POR  EL FRACCIONAMIENTO DEL TORO|RANCHERIA SUR CUARTA SECCION|x|9331569984|x|x|x|ENTRADA POR  EL FRACCIONAMIENTO DEL TORO|x|LUNES|X|X|X|X|X|DOMICILIO |6500|6400|X|X|X|2022-02-22|2022-03-01|X|X|X|X|X|ZCEYT2126ZYSJM7|X|HOMBRE|X|12900|X|X|X|X|X|X|X|X|CARDENAS|X|X|X|X|FINAL</v>
      </c>
    </row>
    <row r="105" spans="1:82" x14ac:dyDescent="0.25">
      <c r="A105" t="s">
        <v>736</v>
      </c>
      <c r="B105" t="s">
        <v>737</v>
      </c>
      <c r="C105">
        <v>3</v>
      </c>
      <c r="D105" t="s">
        <v>144</v>
      </c>
      <c r="E105" t="s">
        <v>150</v>
      </c>
      <c r="F105" t="s">
        <v>153</v>
      </c>
      <c r="G105" t="s">
        <v>153</v>
      </c>
      <c r="H105" t="s">
        <v>1065</v>
      </c>
      <c r="I105">
        <v>12900</v>
      </c>
      <c r="J105">
        <v>0</v>
      </c>
      <c r="K105">
        <v>100</v>
      </c>
      <c r="L105">
        <v>50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218</v>
      </c>
      <c r="AC105" t="s">
        <v>212</v>
      </c>
      <c r="AD105" t="s">
        <v>191</v>
      </c>
      <c r="AE105" t="s">
        <v>4</v>
      </c>
      <c r="AF105" t="s">
        <v>1</v>
      </c>
      <c r="AG105" t="s">
        <v>1</v>
      </c>
      <c r="AH105" t="s">
        <v>491</v>
      </c>
      <c r="AI105" t="s">
        <v>478</v>
      </c>
      <c r="AJ105" t="s">
        <v>3</v>
      </c>
      <c r="AK105">
        <v>9332091492</v>
      </c>
      <c r="AL105" t="s">
        <v>3</v>
      </c>
      <c r="AM105" t="s">
        <v>3</v>
      </c>
      <c r="AN105" t="s">
        <v>3</v>
      </c>
      <c r="AO105" t="s">
        <v>491</v>
      </c>
      <c r="AP105" t="s">
        <v>3</v>
      </c>
      <c r="AQ105" t="s">
        <v>2</v>
      </c>
      <c r="AR105" t="s">
        <v>1</v>
      </c>
      <c r="AS105" t="s">
        <v>1</v>
      </c>
      <c r="AT105" t="s">
        <v>1</v>
      </c>
      <c r="AU105" t="s">
        <v>1</v>
      </c>
      <c r="AV105" t="s">
        <v>1</v>
      </c>
      <c r="AW105" t="s">
        <v>11</v>
      </c>
      <c r="AX105">
        <f>Tabla1[[#This Row],[precio del paquete]]-Tabla1[[#This Row],[Saldo_Deudor]]</f>
        <v>10900</v>
      </c>
      <c r="AY105">
        <v>2000</v>
      </c>
      <c r="AZ105" t="s">
        <v>1</v>
      </c>
      <c r="BA105" t="s">
        <v>1</v>
      </c>
      <c r="BB105" t="s">
        <v>1</v>
      </c>
      <c r="BC105" t="s">
        <v>176</v>
      </c>
      <c r="BD105" t="s">
        <v>255</v>
      </c>
      <c r="BE105" t="s">
        <v>1</v>
      </c>
      <c r="BF105" t="s">
        <v>1</v>
      </c>
      <c r="BG105" t="s">
        <v>1</v>
      </c>
      <c r="BH105" t="s">
        <v>1</v>
      </c>
      <c r="BI105" t="s">
        <v>1</v>
      </c>
      <c r="BJ105" t="s">
        <v>273</v>
      </c>
      <c r="BK105" t="s">
        <v>1</v>
      </c>
      <c r="BL105" t="s">
        <v>132</v>
      </c>
      <c r="BM105" t="s">
        <v>1</v>
      </c>
      <c r="BN105">
        <v>12900</v>
      </c>
      <c r="BO105" t="s">
        <v>1</v>
      </c>
      <c r="BP105" t="s">
        <v>1</v>
      </c>
      <c r="BQ105" t="s">
        <v>1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0</v>
      </c>
      <c r="BX105" t="s">
        <v>1</v>
      </c>
      <c r="BY105" t="s">
        <v>1</v>
      </c>
      <c r="BZ105" t="s">
        <v>1</v>
      </c>
      <c r="CA105" t="s">
        <v>1</v>
      </c>
      <c r="CB105" t="s">
        <v>277</v>
      </c>
      <c r="CD105" t="str" cm="1">
        <f t="array" aca="1" ref="CD105" ca="1">eConcatenar(A105:CB105,"|")</f>
        <v>i14NPrfnA3nBN01D|COM2019-0768|3|IMPERIAL DE LUJO|TABASCO|COMALCALCO|COMALCALCO|2019-04-13|12900|0|100|50|0|0|0|0|0|0|0|0|0|0|0|0|0|0|0|JIMENEZ|DOMINGUEZ|MARIA DEL CARMEN|SOLTERO|X|X|CARRETERA A JESUS CARRANZA|RANCHERIA SUR CUARTA SECCION|x|9332091492|x|x|x|CARRETERA A JESUS CARRANZA|x|LUNES|X|X|X|X|X|DOMICILIO |10900|2000|X|X|X|2022-02-22|2022-03-01|X|X|X|X|X|ZCEYT2126ZYSJM7|X|HOMBRE|X|12900|X|X|X|X|X|X|X|X|CARDENAS|X|X|X|X|FINAL</v>
      </c>
    </row>
    <row r="106" spans="1:82" x14ac:dyDescent="0.25">
      <c r="A106" t="s">
        <v>738</v>
      </c>
      <c r="B106" t="s">
        <v>739</v>
      </c>
      <c r="C106">
        <v>3</v>
      </c>
      <c r="D106" t="s">
        <v>145</v>
      </c>
      <c r="E106" t="s">
        <v>150</v>
      </c>
      <c r="F106" t="s">
        <v>153</v>
      </c>
      <c r="G106" t="s">
        <v>153</v>
      </c>
      <c r="H106" t="s">
        <v>163</v>
      </c>
      <c r="I106">
        <v>14800</v>
      </c>
      <c r="J106">
        <v>0</v>
      </c>
      <c r="K106">
        <v>100</v>
      </c>
      <c r="L106">
        <v>50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448</v>
      </c>
      <c r="AC106" t="s">
        <v>205</v>
      </c>
      <c r="AD106" t="s">
        <v>449</v>
      </c>
      <c r="AE106" t="s">
        <v>4</v>
      </c>
      <c r="AF106" t="s">
        <v>1</v>
      </c>
      <c r="AG106" t="s">
        <v>1</v>
      </c>
      <c r="AH106" t="s">
        <v>450</v>
      </c>
      <c r="AI106" t="s">
        <v>441</v>
      </c>
      <c r="AJ106" t="s">
        <v>3</v>
      </c>
      <c r="AK106">
        <v>5568900173</v>
      </c>
      <c r="AL106" t="s">
        <v>3</v>
      </c>
      <c r="AM106" t="s">
        <v>3</v>
      </c>
      <c r="AN106" t="s">
        <v>3</v>
      </c>
      <c r="AO106" t="s">
        <v>450</v>
      </c>
      <c r="AP106" t="s">
        <v>3</v>
      </c>
      <c r="AQ106" t="s">
        <v>2</v>
      </c>
      <c r="AR106" t="s">
        <v>1</v>
      </c>
      <c r="AS106" t="s">
        <v>1</v>
      </c>
      <c r="AT106" t="s">
        <v>1</v>
      </c>
      <c r="AU106" t="s">
        <v>1</v>
      </c>
      <c r="AV106" t="s">
        <v>1</v>
      </c>
      <c r="AW106" t="s">
        <v>11</v>
      </c>
      <c r="AX106">
        <f>Tabla1[[#This Row],[precio del paquete]]-Tabla1[[#This Row],[Saldo_Deudor]]</f>
        <v>1200</v>
      </c>
      <c r="AY106">
        <v>13600</v>
      </c>
      <c r="AZ106" t="s">
        <v>1</v>
      </c>
      <c r="BA106" t="s">
        <v>1</v>
      </c>
      <c r="BB106" t="s">
        <v>1</v>
      </c>
      <c r="BC106" t="s">
        <v>176</v>
      </c>
      <c r="BD106" t="s">
        <v>255</v>
      </c>
      <c r="BE106" t="s">
        <v>1</v>
      </c>
      <c r="BF106" t="s">
        <v>1</v>
      </c>
      <c r="BG106" t="s">
        <v>1</v>
      </c>
      <c r="BH106" t="s">
        <v>1</v>
      </c>
      <c r="BI106" t="s">
        <v>1</v>
      </c>
      <c r="BJ106" t="s">
        <v>273</v>
      </c>
      <c r="BK106" t="s">
        <v>1</v>
      </c>
      <c r="BL106" t="s">
        <v>132</v>
      </c>
      <c r="BM106" t="s">
        <v>1</v>
      </c>
      <c r="BN106">
        <v>14800</v>
      </c>
      <c r="BO106" t="s">
        <v>1</v>
      </c>
      <c r="BP106" t="s">
        <v>1</v>
      </c>
      <c r="BQ106" t="s">
        <v>1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1</v>
      </c>
      <c r="CB106" t="s">
        <v>277</v>
      </c>
      <c r="CD106" t="str" cm="1">
        <f t="array" aca="1" ref="CD106" ca="1">eConcatenar(A106:CB106,"|")</f>
        <v>dO3QJLPXgnPjVMmN|COM2021-3981|3|MEMORIAL|TABASCO|COMALCALCO|COMALCALCO|2021-12-16|14800|0|100|50|0|0|0|0|0|0|0|0|0|0|0|0|0|0|0|KRISTEL|HERNANDEZ|SANDY|SOLTERO|X|X|CALLE MORELOS|RANCHERIA SUR PRIMERA SECCION|x|5568900173|x|x|x|CALLE MORELOS|x|LUNES|X|X|X|X|X|DOMICILIO |1200|13600|X|X|X|2022-02-22|2022-03-01|X|X|X|X|X|ZCEYT2126ZYSJM7|X|HOMBRE|X|14800|X|X|X|X|X|X|X|X|CARDENAS|X|X|X|X|FINAL</v>
      </c>
    </row>
    <row r="107" spans="1:82" x14ac:dyDescent="0.25">
      <c r="A107" t="s">
        <v>740</v>
      </c>
      <c r="B107" t="s">
        <v>741</v>
      </c>
      <c r="C107">
        <v>3</v>
      </c>
      <c r="D107" t="s">
        <v>148</v>
      </c>
      <c r="E107" t="s">
        <v>150</v>
      </c>
      <c r="F107" t="s">
        <v>153</v>
      </c>
      <c r="G107" t="s">
        <v>153</v>
      </c>
      <c r="H107" t="s">
        <v>1100</v>
      </c>
      <c r="I107">
        <v>24500</v>
      </c>
      <c r="J107">
        <v>0</v>
      </c>
      <c r="K107">
        <v>200</v>
      </c>
      <c r="L107">
        <v>50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212</v>
      </c>
      <c r="AC107" t="s">
        <v>436</v>
      </c>
      <c r="AD107" t="s">
        <v>437</v>
      </c>
      <c r="AE107" t="s">
        <v>4</v>
      </c>
      <c r="AF107" t="s">
        <v>1</v>
      </c>
      <c r="AG107" t="s">
        <v>1</v>
      </c>
      <c r="AH107" t="s">
        <v>742</v>
      </c>
      <c r="AI107" t="s">
        <v>239</v>
      </c>
      <c r="AJ107" t="s">
        <v>3</v>
      </c>
      <c r="AK107">
        <v>9331129735</v>
      </c>
      <c r="AL107" t="s">
        <v>3</v>
      </c>
      <c r="AM107" t="s">
        <v>3</v>
      </c>
      <c r="AN107" t="s">
        <v>3</v>
      </c>
      <c r="AO107" t="s">
        <v>742</v>
      </c>
      <c r="AP107" t="s">
        <v>3</v>
      </c>
      <c r="AQ107" t="s">
        <v>2</v>
      </c>
      <c r="AR107" t="s">
        <v>1</v>
      </c>
      <c r="AS107" t="s">
        <v>1</v>
      </c>
      <c r="AT107" t="s">
        <v>1</v>
      </c>
      <c r="AU107" t="s">
        <v>1</v>
      </c>
      <c r="AV107" t="s">
        <v>1</v>
      </c>
      <c r="AW107" t="s">
        <v>11</v>
      </c>
      <c r="AX107">
        <f>Tabla1[[#This Row],[precio del paquete]]-Tabla1[[#This Row],[Saldo_Deudor]]</f>
        <v>7700</v>
      </c>
      <c r="AY107">
        <v>16800</v>
      </c>
      <c r="AZ107" t="s">
        <v>1</v>
      </c>
      <c r="BA107" t="s">
        <v>1</v>
      </c>
      <c r="BB107" t="s">
        <v>1</v>
      </c>
      <c r="BC107" t="s">
        <v>176</v>
      </c>
      <c r="BD107" t="s">
        <v>255</v>
      </c>
      <c r="BE107" t="s">
        <v>1</v>
      </c>
      <c r="BF107" t="s">
        <v>1</v>
      </c>
      <c r="BG107" t="s">
        <v>1</v>
      </c>
      <c r="BH107" t="s">
        <v>1</v>
      </c>
      <c r="BI107" t="s">
        <v>1</v>
      </c>
      <c r="BJ107" t="s">
        <v>273</v>
      </c>
      <c r="BK107" t="s">
        <v>1</v>
      </c>
      <c r="BL107" t="s">
        <v>132</v>
      </c>
      <c r="BM107" t="s">
        <v>1</v>
      </c>
      <c r="BN107">
        <v>24500</v>
      </c>
      <c r="BO107" t="s">
        <v>1</v>
      </c>
      <c r="BP107" t="s">
        <v>1</v>
      </c>
      <c r="BQ107" t="s">
        <v>1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0</v>
      </c>
      <c r="BX107" t="s">
        <v>1</v>
      </c>
      <c r="BY107" t="s">
        <v>1</v>
      </c>
      <c r="BZ107" t="s">
        <v>1</v>
      </c>
      <c r="CA107" t="s">
        <v>1</v>
      </c>
      <c r="CB107" t="s">
        <v>277</v>
      </c>
      <c r="CD107" t="str" cm="1">
        <f t="array" aca="1" ref="CD107" ca="1">eConcatenar(A107:CB107,"|")</f>
        <v>ed7YsALA0ixr8IN5|COM2021-1509|3|DIGNITY|TABASCO|COMALCALCO|COMALCALCO|2021-04-04|24500|0|200|50|0|0|0|0|0|0|0|0|0|0|0|0|0|0|0|DOMINGUEZ|MARQUEZ|EDUARDO|SOLTERO|X|X|COBRAR EN CARRETERA HACIA SUR PRIMERA SECCION TALLER FRENTE A ALIMENTOS PIERNA|FRACCIONAMIENTO LAS ROSAS|x|9331129735|x|x|x|COBRAR EN CARRETERA HACIA SUR PRIMERA SECCION TALLER FRENTE A ALIMENTOS PIERNA|x|LUNES|X|X|X|X|X|DOMICILIO |7700|16800|X|X|X|2022-02-22|2022-03-01|X|X|X|X|X|ZCEYT2126ZYSJM7|X|HOMBRE|X|24500|X|X|X|X|X|X|X|X|CARDENAS|X|X|X|X|FINAL</v>
      </c>
    </row>
    <row r="108" spans="1:82" x14ac:dyDescent="0.25">
      <c r="A108" t="s">
        <v>743</v>
      </c>
      <c r="B108" t="s">
        <v>744</v>
      </c>
      <c r="C108">
        <v>3</v>
      </c>
      <c r="D108" t="s">
        <v>144</v>
      </c>
      <c r="E108" t="s">
        <v>150</v>
      </c>
      <c r="F108" t="s">
        <v>153</v>
      </c>
      <c r="G108" t="s">
        <v>153</v>
      </c>
      <c r="H108" t="s">
        <v>1101</v>
      </c>
      <c r="I108">
        <v>12900</v>
      </c>
      <c r="J108">
        <v>0</v>
      </c>
      <c r="K108">
        <v>200</v>
      </c>
      <c r="L108">
        <v>50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231</v>
      </c>
      <c r="AC108" t="s">
        <v>209</v>
      </c>
      <c r="AD108" t="s">
        <v>745</v>
      </c>
      <c r="AE108" t="s">
        <v>4</v>
      </c>
      <c r="AF108" t="s">
        <v>1</v>
      </c>
      <c r="AG108" t="s">
        <v>1</v>
      </c>
      <c r="AH108" t="s">
        <v>746</v>
      </c>
      <c r="AI108" t="s">
        <v>254</v>
      </c>
      <c r="AJ108" t="s">
        <v>3</v>
      </c>
      <c r="AK108">
        <v>9331561110</v>
      </c>
      <c r="AL108" t="s">
        <v>3</v>
      </c>
      <c r="AM108" t="s">
        <v>3</v>
      </c>
      <c r="AN108" t="s">
        <v>3</v>
      </c>
      <c r="AO108" t="s">
        <v>746</v>
      </c>
      <c r="AP108" t="s">
        <v>3</v>
      </c>
      <c r="AQ108" t="s">
        <v>2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11</v>
      </c>
      <c r="AX108">
        <f>Tabla1[[#This Row],[precio del paquete]]-Tabla1[[#This Row],[Saldo_Deudor]]</f>
        <v>9800</v>
      </c>
      <c r="AY108">
        <v>3100</v>
      </c>
      <c r="AZ108" t="s">
        <v>1</v>
      </c>
      <c r="BA108" t="s">
        <v>1</v>
      </c>
      <c r="BB108" t="s">
        <v>1</v>
      </c>
      <c r="BC108" t="s">
        <v>178</v>
      </c>
      <c r="BD108" t="s">
        <v>267</v>
      </c>
      <c r="BE108" t="s">
        <v>1</v>
      </c>
      <c r="BF108" t="s">
        <v>1</v>
      </c>
      <c r="BG108" t="s">
        <v>1</v>
      </c>
      <c r="BH108" t="s">
        <v>1</v>
      </c>
      <c r="BI108" t="s">
        <v>1</v>
      </c>
      <c r="BJ108" t="s">
        <v>273</v>
      </c>
      <c r="BK108" t="s">
        <v>1</v>
      </c>
      <c r="BL108" t="s">
        <v>132</v>
      </c>
      <c r="BM108" t="s">
        <v>1</v>
      </c>
      <c r="BN108">
        <v>12900</v>
      </c>
      <c r="BO108" t="s">
        <v>1</v>
      </c>
      <c r="BP108" t="s">
        <v>1</v>
      </c>
      <c r="BQ108" t="s">
        <v>1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0</v>
      </c>
      <c r="BX108" t="s">
        <v>1</v>
      </c>
      <c r="BY108" t="s">
        <v>1</v>
      </c>
      <c r="BZ108" t="s">
        <v>1</v>
      </c>
      <c r="CA108" t="s">
        <v>1</v>
      </c>
      <c r="CB108" t="s">
        <v>277</v>
      </c>
      <c r="CD108" t="str" cm="1">
        <f t="array" aca="1" ref="CD108" ca="1">eConcatenar(A108:CB108,"|")</f>
        <v>r4gSB9S1tA576wua|COM2019-0948|3|IMPERIAL DE LUJO|TABASCO|COMALCALCO|COMALCALCO|2019-05-02|12900|0|200|50|1|0|0|0|0|0|0|0|0|0|0|0|0|0|0|GALLEGOS|CORDOVA|DELTONIRA|SOLTERO|X|X|CARRETERA A CHILTEPEC|RANCHERIA NICOLAS BRAVO TERCERA SECCION|x|9331561110|x|x|x|CARRETERA A CHILTEPEC|x|LUNES|X|X|X|X|X|DOMICILIO |9800|3100|X|X|X|2022-01-31|2022-02-07|X|X|X|X|X|ZCEYT2126ZYSJM7|X|HOMBRE|X|12900|X|X|X|X|X|X|X|X|CARDENAS|X|X|X|X|FINAL</v>
      </c>
    </row>
    <row r="109" spans="1:82" x14ac:dyDescent="0.25">
      <c r="A109" t="s">
        <v>747</v>
      </c>
      <c r="B109" t="s">
        <v>748</v>
      </c>
      <c r="C109">
        <v>3</v>
      </c>
      <c r="D109" t="s">
        <v>148</v>
      </c>
      <c r="E109" t="s">
        <v>150</v>
      </c>
      <c r="F109" t="s">
        <v>153</v>
      </c>
      <c r="G109" t="s">
        <v>153</v>
      </c>
      <c r="H109" t="s">
        <v>164</v>
      </c>
      <c r="I109">
        <v>24500</v>
      </c>
      <c r="J109">
        <v>4100</v>
      </c>
      <c r="K109">
        <v>100</v>
      </c>
      <c r="L109">
        <v>50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311</v>
      </c>
      <c r="AC109" t="s">
        <v>221</v>
      </c>
      <c r="AD109" t="s">
        <v>453</v>
      </c>
      <c r="AE109" t="s">
        <v>4</v>
      </c>
      <c r="AF109" t="s">
        <v>1</v>
      </c>
      <c r="AG109" t="s">
        <v>1</v>
      </c>
      <c r="AH109" t="s">
        <v>237</v>
      </c>
      <c r="AI109" t="s">
        <v>441</v>
      </c>
      <c r="AJ109" t="s">
        <v>3</v>
      </c>
      <c r="AK109">
        <v>9331605445</v>
      </c>
      <c r="AL109" t="s">
        <v>3</v>
      </c>
      <c r="AM109" t="s">
        <v>3</v>
      </c>
      <c r="AN109" t="s">
        <v>3</v>
      </c>
      <c r="AO109" t="s">
        <v>237</v>
      </c>
      <c r="AP109" t="s">
        <v>3</v>
      </c>
      <c r="AQ109" t="s">
        <v>2</v>
      </c>
      <c r="AR109" t="s">
        <v>1</v>
      </c>
      <c r="AS109" t="s">
        <v>1</v>
      </c>
      <c r="AT109" t="s">
        <v>1</v>
      </c>
      <c r="AU109" t="s">
        <v>1</v>
      </c>
      <c r="AV109" t="s">
        <v>1</v>
      </c>
      <c r="AW109" t="s">
        <v>11</v>
      </c>
      <c r="AX109">
        <f>Tabla1[[#This Row],[precio del paquete]]-Tabla1[[#This Row],[Saldo_Deudor]]</f>
        <v>5300</v>
      </c>
      <c r="AY109">
        <v>19200</v>
      </c>
      <c r="AZ109" t="s">
        <v>1</v>
      </c>
      <c r="BA109" t="s">
        <v>1</v>
      </c>
      <c r="BB109" t="s">
        <v>1</v>
      </c>
      <c r="BC109" t="s">
        <v>1084</v>
      </c>
      <c r="BD109" t="s">
        <v>177</v>
      </c>
      <c r="BE109" t="s">
        <v>1</v>
      </c>
      <c r="BF109" t="s">
        <v>1</v>
      </c>
      <c r="BG109" t="s">
        <v>1</v>
      </c>
      <c r="BH109" t="s">
        <v>1</v>
      </c>
      <c r="BI109" t="s">
        <v>1</v>
      </c>
      <c r="BJ109" t="s">
        <v>273</v>
      </c>
      <c r="BK109" t="s">
        <v>1</v>
      </c>
      <c r="BL109" t="s">
        <v>132</v>
      </c>
      <c r="BM109" t="s">
        <v>1</v>
      </c>
      <c r="BN109">
        <v>24500</v>
      </c>
      <c r="BO109" t="s">
        <v>1</v>
      </c>
      <c r="BP109" t="s">
        <v>1</v>
      </c>
      <c r="BQ109" t="s">
        <v>1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0</v>
      </c>
      <c r="BX109" t="s">
        <v>1</v>
      </c>
      <c r="BY109" t="s">
        <v>1</v>
      </c>
      <c r="BZ109" t="s">
        <v>1</v>
      </c>
      <c r="CA109" t="s">
        <v>1</v>
      </c>
      <c r="CB109" t="s">
        <v>277</v>
      </c>
      <c r="CD109" t="str" cm="1">
        <f t="array" aca="1" ref="CD109" ca="1">eConcatenar(A109:CB109,"|")</f>
        <v>gI6niisIoLpDc8GM|COM2021-3758|3|DIGNITY|TABASCO|COMALCALCO|COMALCALCO|2021-11-23|24500|4100|100|50|0|0|0|0|0|0|0|0|0|0|0|0|0|0|0|VALENCIA|HERRERA|GERARDO|SOLTERO|X|X|CARRETERA PRINCIPAL SIN NUMERO|RANCHERIA SUR PRIMERA SECCION|x|9331605445|x|x|x|CARRETERA PRINCIPAL SIN NUMERO|x|LUNES|X|X|X|X|X|DOMICILIO |5300|19200|X|X|X|2022-02-08|2022-02-15|X|X|X|X|X|ZCEYT2126ZYSJM7|X|HOMBRE|X|24500|X|X|X|X|X|X|X|X|CARDENAS|X|X|X|X|FINAL</v>
      </c>
    </row>
    <row r="110" spans="1:82" x14ac:dyDescent="0.25">
      <c r="A110" t="s">
        <v>749</v>
      </c>
      <c r="B110" t="s">
        <v>750</v>
      </c>
      <c r="C110">
        <v>3</v>
      </c>
      <c r="D110" t="s">
        <v>144</v>
      </c>
      <c r="E110" t="s">
        <v>150</v>
      </c>
      <c r="F110" t="s">
        <v>153</v>
      </c>
      <c r="G110" t="s">
        <v>153</v>
      </c>
      <c r="H110" t="s">
        <v>1102</v>
      </c>
      <c r="I110">
        <v>12900</v>
      </c>
      <c r="J110">
        <v>0</v>
      </c>
      <c r="K110">
        <v>100</v>
      </c>
      <c r="L110">
        <v>50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751</v>
      </c>
      <c r="AC110" t="s">
        <v>752</v>
      </c>
      <c r="AD110" t="s">
        <v>753</v>
      </c>
      <c r="AE110" t="s">
        <v>4</v>
      </c>
      <c r="AF110" t="s">
        <v>1</v>
      </c>
      <c r="AG110" t="s">
        <v>1</v>
      </c>
      <c r="AH110" t="s">
        <v>754</v>
      </c>
      <c r="AI110" t="s">
        <v>755</v>
      </c>
      <c r="AJ110" t="s">
        <v>3</v>
      </c>
      <c r="AK110">
        <v>9331191089</v>
      </c>
      <c r="AL110" t="s">
        <v>3</v>
      </c>
      <c r="AM110" t="s">
        <v>3</v>
      </c>
      <c r="AN110" t="s">
        <v>3</v>
      </c>
      <c r="AO110" t="s">
        <v>754</v>
      </c>
      <c r="AP110" t="s">
        <v>3</v>
      </c>
      <c r="AQ110" t="s">
        <v>2</v>
      </c>
      <c r="AR110" t="s">
        <v>1</v>
      </c>
      <c r="AS110" t="s">
        <v>1</v>
      </c>
      <c r="AT110" t="s">
        <v>1</v>
      </c>
      <c r="AU110" t="s">
        <v>1</v>
      </c>
      <c r="AV110" t="s">
        <v>1</v>
      </c>
      <c r="AW110" t="s">
        <v>11</v>
      </c>
      <c r="AX110">
        <f>Tabla1[[#This Row],[precio del paquete]]-Tabla1[[#This Row],[Saldo_Deudor]]</f>
        <v>8200</v>
      </c>
      <c r="AY110">
        <v>4700</v>
      </c>
      <c r="AZ110" t="s">
        <v>1</v>
      </c>
      <c r="BA110" t="s">
        <v>1</v>
      </c>
      <c r="BB110" t="s">
        <v>1</v>
      </c>
      <c r="BC110" t="s">
        <v>177</v>
      </c>
      <c r="BD110" t="s">
        <v>176</v>
      </c>
      <c r="BE110" t="s">
        <v>1</v>
      </c>
      <c r="BF110" t="s">
        <v>1</v>
      </c>
      <c r="BG110" t="s">
        <v>1</v>
      </c>
      <c r="BH110" t="s">
        <v>1</v>
      </c>
      <c r="BI110" t="s">
        <v>1</v>
      </c>
      <c r="BJ110" t="s">
        <v>273</v>
      </c>
      <c r="BK110" t="s">
        <v>1</v>
      </c>
      <c r="BL110" t="s">
        <v>132</v>
      </c>
      <c r="BM110" t="s">
        <v>1</v>
      </c>
      <c r="BN110">
        <v>12900</v>
      </c>
      <c r="BO110" t="s">
        <v>1</v>
      </c>
      <c r="BP110" t="s">
        <v>1</v>
      </c>
      <c r="BQ110" t="s">
        <v>1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1</v>
      </c>
      <c r="CB110" t="s">
        <v>277</v>
      </c>
      <c r="CD110" t="str" cm="1">
        <f t="array" aca="1" ref="CD110" ca="1">eConcatenar(A110:CB110,"|")</f>
        <v>zYEFsozUbCFry8H1|COM2019-0996|3|IMPERIAL DE LUJO|TABASCO|COMALCALCO|COMALCALCO|2019-05-09|12900|0|100|50|0|0|0|0|0|0|0|0|0|0|0|0|0|0|0|VAZQUEZ|MAY|CLAUDIA DARDONIA|SOLTERO|X|X|VILLA DE ORIENTE|VILLA ORIENTE|x|9331191089|x|x|x|VILLA DE ORIENTE|x|LUNES|X|X|X|X|X|DOMICILIO |8200|4700|X|X|X|2022-02-15|2022-02-22|X|X|X|X|X|ZCEYT2126ZYSJM7|X|HOMBRE|X|12900|X|X|X|X|X|X|X|X|CARDENAS|X|X|X|X|FINAL</v>
      </c>
    </row>
    <row r="111" spans="1:82" x14ac:dyDescent="0.25">
      <c r="A111" t="s">
        <v>756</v>
      </c>
      <c r="B111" t="s">
        <v>757</v>
      </c>
      <c r="C111">
        <v>3</v>
      </c>
      <c r="D111" t="s">
        <v>145</v>
      </c>
      <c r="E111" t="s">
        <v>150</v>
      </c>
      <c r="F111" t="s">
        <v>153</v>
      </c>
      <c r="G111" t="s">
        <v>153</v>
      </c>
      <c r="H111" t="s">
        <v>1103</v>
      </c>
      <c r="I111">
        <v>14800</v>
      </c>
      <c r="J111">
        <v>0</v>
      </c>
      <c r="K111">
        <v>200</v>
      </c>
      <c r="L111">
        <v>50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758</v>
      </c>
      <c r="AC111" t="s">
        <v>233</v>
      </c>
      <c r="AD111" t="s">
        <v>759</v>
      </c>
      <c r="AE111" t="s">
        <v>4</v>
      </c>
      <c r="AF111" t="s">
        <v>1</v>
      </c>
      <c r="AG111" t="s">
        <v>1</v>
      </c>
      <c r="AH111" t="s">
        <v>760</v>
      </c>
      <c r="AI111" t="s">
        <v>761</v>
      </c>
      <c r="AJ111" t="s">
        <v>3</v>
      </c>
      <c r="AK111">
        <v>9331602817</v>
      </c>
      <c r="AL111" t="s">
        <v>3</v>
      </c>
      <c r="AM111" t="s">
        <v>3</v>
      </c>
      <c r="AN111" t="s">
        <v>3</v>
      </c>
      <c r="AO111" t="s">
        <v>760</v>
      </c>
      <c r="AP111" t="s">
        <v>3</v>
      </c>
      <c r="AQ111" t="s">
        <v>2</v>
      </c>
      <c r="AR111" t="s">
        <v>1</v>
      </c>
      <c r="AS111" t="s">
        <v>1</v>
      </c>
      <c r="AT111" t="s">
        <v>1</v>
      </c>
      <c r="AU111" t="s">
        <v>1</v>
      </c>
      <c r="AV111" t="s">
        <v>1</v>
      </c>
      <c r="AW111" t="s">
        <v>11</v>
      </c>
      <c r="AX111">
        <f>Tabla1[[#This Row],[precio del paquete]]-Tabla1[[#This Row],[Saldo_Deudor]]</f>
        <v>3600</v>
      </c>
      <c r="AY111">
        <v>11200</v>
      </c>
      <c r="AZ111" t="s">
        <v>1</v>
      </c>
      <c r="BA111" t="s">
        <v>1</v>
      </c>
      <c r="BB111" t="s">
        <v>1</v>
      </c>
      <c r="BC111" t="s">
        <v>258</v>
      </c>
      <c r="BD111" t="s">
        <v>266</v>
      </c>
      <c r="BE111" t="s">
        <v>1</v>
      </c>
      <c r="BF111" t="s">
        <v>1</v>
      </c>
      <c r="BG111" t="s">
        <v>1</v>
      </c>
      <c r="BH111" t="s">
        <v>1</v>
      </c>
      <c r="BI111" t="s">
        <v>1</v>
      </c>
      <c r="BJ111" t="s">
        <v>762</v>
      </c>
      <c r="BK111" t="s">
        <v>1</v>
      </c>
      <c r="BL111" t="s">
        <v>132</v>
      </c>
      <c r="BM111" t="s">
        <v>1</v>
      </c>
      <c r="BN111">
        <v>14800</v>
      </c>
      <c r="BO111" t="s">
        <v>1</v>
      </c>
      <c r="BP111" t="s">
        <v>1</v>
      </c>
      <c r="BQ111" t="s">
        <v>1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0</v>
      </c>
      <c r="BX111" t="s">
        <v>1</v>
      </c>
      <c r="BY111" t="s">
        <v>1</v>
      </c>
      <c r="BZ111" t="s">
        <v>1</v>
      </c>
      <c r="CA111" t="s">
        <v>1</v>
      </c>
      <c r="CB111" t="s">
        <v>277</v>
      </c>
      <c r="CD111" t="str" cm="1">
        <f t="array" aca="1" ref="CD111" ca="1">eConcatenar(A111:CB111,"|")</f>
        <v>kaBT0vD83qPjq11Y|COM2021-2759|3|MEMORIAL|TABASCO|COMALCALCO|COMALCALCO|2021-09-01|14800|0|200|50|0|0|0|0|0|0|0|0|0|0|0|0|0|0|0|BAUTISTA|DE LOS SANTOS|RENE|SOLTERO|X|X|GREGORIO MENDEZ PRIMERA SECCION SIN NUMERO|RANCHERIA GREGORIO MENDEZ PRIMERA SECCION|x|9331602817|x|x|x|GREGORIO MENDEZ PRIMERA SECCION SIN NUMERO|x|LUNES|X|X|X|X|X|DOMICILIO |3600|11200|X|X|X|2022-02-21|2022-02-28|X|X|X|X|X|QX002L4E9KVTQO|X|HOMBRE|X|14800|X|X|X|X|X|X|X|X|CARDENAS|X|X|X|X|FINAL</v>
      </c>
    </row>
    <row r="112" spans="1:82" x14ac:dyDescent="0.25">
      <c r="A112" t="s">
        <v>763</v>
      </c>
      <c r="B112" t="s">
        <v>764</v>
      </c>
      <c r="C112">
        <v>3</v>
      </c>
      <c r="D112" t="s">
        <v>145</v>
      </c>
      <c r="E112" t="s">
        <v>150</v>
      </c>
      <c r="F112" t="s">
        <v>153</v>
      </c>
      <c r="G112" t="s">
        <v>153</v>
      </c>
      <c r="H112" t="s">
        <v>1104</v>
      </c>
      <c r="I112">
        <v>14800</v>
      </c>
      <c r="J112">
        <v>400</v>
      </c>
      <c r="K112">
        <v>50</v>
      </c>
      <c r="L112">
        <v>50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209</v>
      </c>
      <c r="AC112" t="s">
        <v>215</v>
      </c>
      <c r="AD112" t="s">
        <v>191</v>
      </c>
      <c r="AE112" t="s">
        <v>4</v>
      </c>
      <c r="AF112" t="s">
        <v>1</v>
      </c>
      <c r="AG112" t="s">
        <v>1</v>
      </c>
      <c r="AH112" t="s">
        <v>765</v>
      </c>
      <c r="AI112" t="s">
        <v>766</v>
      </c>
      <c r="AJ112" t="s">
        <v>3</v>
      </c>
      <c r="AK112">
        <v>9331085176</v>
      </c>
      <c r="AL112" t="s">
        <v>3</v>
      </c>
      <c r="AM112" t="s">
        <v>3</v>
      </c>
      <c r="AN112" t="s">
        <v>3</v>
      </c>
      <c r="AO112" t="s">
        <v>765</v>
      </c>
      <c r="AP112" t="s">
        <v>3</v>
      </c>
      <c r="AQ112" t="s">
        <v>2</v>
      </c>
      <c r="AR112" t="s">
        <v>1</v>
      </c>
      <c r="AS112" t="s">
        <v>1</v>
      </c>
      <c r="AT112" t="s">
        <v>1</v>
      </c>
      <c r="AU112" t="s">
        <v>1</v>
      </c>
      <c r="AV112" t="s">
        <v>1</v>
      </c>
      <c r="AW112" t="s">
        <v>11</v>
      </c>
      <c r="AX112">
        <f>Tabla1[[#This Row],[precio del paquete]]-Tabla1[[#This Row],[Saldo_Deudor]]</f>
        <v>2550</v>
      </c>
      <c r="AY112">
        <v>12250</v>
      </c>
      <c r="AZ112" t="s">
        <v>1</v>
      </c>
      <c r="BA112" t="s">
        <v>1</v>
      </c>
      <c r="BB112" t="s">
        <v>1</v>
      </c>
      <c r="BC112" t="s">
        <v>258</v>
      </c>
      <c r="BD112" t="s">
        <v>266</v>
      </c>
      <c r="BE112" t="s">
        <v>1</v>
      </c>
      <c r="BF112" t="s">
        <v>1</v>
      </c>
      <c r="BG112" t="s">
        <v>1</v>
      </c>
      <c r="BH112" t="s">
        <v>1</v>
      </c>
      <c r="BI112" t="s">
        <v>1</v>
      </c>
      <c r="BJ112" t="s">
        <v>762</v>
      </c>
      <c r="BK112" t="s">
        <v>1</v>
      </c>
      <c r="BL112" t="s">
        <v>132</v>
      </c>
      <c r="BM112" t="s">
        <v>1</v>
      </c>
      <c r="BN112">
        <v>14800</v>
      </c>
      <c r="BO112" t="s">
        <v>1</v>
      </c>
      <c r="BP112" t="s">
        <v>1</v>
      </c>
      <c r="BQ112" t="s">
        <v>1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0</v>
      </c>
      <c r="BX112" t="s">
        <v>1</v>
      </c>
      <c r="BY112" t="s">
        <v>1</v>
      </c>
      <c r="BZ112" t="s">
        <v>1</v>
      </c>
      <c r="CA112" t="s">
        <v>1</v>
      </c>
      <c r="CB112" t="s">
        <v>277</v>
      </c>
      <c r="CD112" t="str" cm="1">
        <f t="array" aca="1" ref="CD112" ca="1">eConcatenar(A112:CB112,"|")</f>
        <v>e6n82hiAnjdroiFw|COM2021-2745|3|MEMORIAL|TABASCO|COMALCALCO|COMALCALCO|2021-08-28|14800|400|50|50|1|0|0|0|0|0|0|0|0|0|0|0|0|0|0|CORDOVA|SANCHEZ|MARIA DEL CARMEN|SOLTERO|X|X|CARRTERA PRINCIPAL SIN NUMERO|RANCHERIA GREGORIO MENDEZ SEGUNDA SECCION|x|9331085176|x|x|x|CARRTERA PRINCIPAL SIN NUMERO|x|LUNES|X|X|X|X|X|DOMICILIO |2550|12250|X|X|X|2022-02-21|2022-02-28|X|X|X|X|X|QX002L4E9KVTQO|X|HOMBRE|X|14800|X|X|X|X|X|X|X|X|CARDENAS|X|X|X|X|FINAL</v>
      </c>
    </row>
    <row r="113" spans="1:82" x14ac:dyDescent="0.25">
      <c r="A113" t="s">
        <v>767</v>
      </c>
      <c r="B113" t="s">
        <v>768</v>
      </c>
      <c r="C113">
        <v>3</v>
      </c>
      <c r="D113" t="s">
        <v>144</v>
      </c>
      <c r="E113" t="s">
        <v>150</v>
      </c>
      <c r="F113" t="s">
        <v>153</v>
      </c>
      <c r="G113" t="s">
        <v>153</v>
      </c>
      <c r="H113" t="s">
        <v>1105</v>
      </c>
      <c r="I113">
        <v>12900</v>
      </c>
      <c r="J113">
        <v>0</v>
      </c>
      <c r="K113">
        <v>100</v>
      </c>
      <c r="L113">
        <v>50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228</v>
      </c>
      <c r="AC113" t="s">
        <v>208</v>
      </c>
      <c r="AD113" t="s">
        <v>642</v>
      </c>
      <c r="AE113" t="s">
        <v>4</v>
      </c>
      <c r="AF113" t="s">
        <v>1</v>
      </c>
      <c r="AG113" t="s">
        <v>1</v>
      </c>
      <c r="AH113" t="s">
        <v>769</v>
      </c>
      <c r="AI113" t="s">
        <v>770</v>
      </c>
      <c r="AJ113" t="s">
        <v>3</v>
      </c>
      <c r="AK113">
        <v>9332076026</v>
      </c>
      <c r="AL113" t="s">
        <v>3</v>
      </c>
      <c r="AM113" t="s">
        <v>3</v>
      </c>
      <c r="AN113" t="s">
        <v>3</v>
      </c>
      <c r="AO113" t="s">
        <v>769</v>
      </c>
      <c r="AP113" t="s">
        <v>3</v>
      </c>
      <c r="AQ113" t="s">
        <v>2</v>
      </c>
      <c r="AR113" t="s">
        <v>1</v>
      </c>
      <c r="AS113" t="s">
        <v>1</v>
      </c>
      <c r="AT113" t="s">
        <v>1</v>
      </c>
      <c r="AU113" t="s">
        <v>1</v>
      </c>
      <c r="AV113" t="s">
        <v>1</v>
      </c>
      <c r="AW113" t="s">
        <v>11</v>
      </c>
      <c r="AX113">
        <f>Tabla1[[#This Row],[precio del paquete]]-Tabla1[[#This Row],[Saldo_Deudor]]</f>
        <v>2800</v>
      </c>
      <c r="AY113">
        <v>10100</v>
      </c>
      <c r="AZ113" t="s">
        <v>1</v>
      </c>
      <c r="BA113" t="s">
        <v>1</v>
      </c>
      <c r="BB113" t="s">
        <v>1</v>
      </c>
      <c r="BC113" t="s">
        <v>258</v>
      </c>
      <c r="BD113" t="s">
        <v>266</v>
      </c>
      <c r="BE113" t="s">
        <v>1</v>
      </c>
      <c r="BF113" t="s">
        <v>1</v>
      </c>
      <c r="BG113" t="s">
        <v>1</v>
      </c>
      <c r="BH113" t="s">
        <v>1</v>
      </c>
      <c r="BI113" t="s">
        <v>1</v>
      </c>
      <c r="BJ113" t="s">
        <v>762</v>
      </c>
      <c r="BK113" t="s">
        <v>1</v>
      </c>
      <c r="BL113" t="s">
        <v>132</v>
      </c>
      <c r="BM113" t="s">
        <v>1</v>
      </c>
      <c r="BN113">
        <v>12900</v>
      </c>
      <c r="BO113" t="s">
        <v>1</v>
      </c>
      <c r="BP113" t="s">
        <v>1</v>
      </c>
      <c r="BQ113" t="s">
        <v>1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0</v>
      </c>
      <c r="BX113" t="s">
        <v>1</v>
      </c>
      <c r="BY113" t="s">
        <v>1</v>
      </c>
      <c r="BZ113" t="s">
        <v>1</v>
      </c>
      <c r="CA113" t="s">
        <v>1</v>
      </c>
      <c r="CB113" t="s">
        <v>277</v>
      </c>
      <c r="CD113" t="str" cm="1">
        <f t="array" aca="1" ref="CD113" ca="1">eConcatenar(A113:CB113,"|")</f>
        <v>CCOFG8ZOK3o9nBNi|COM2020-1982|3|IMPERIAL DE LUJO|TABASCO|COMALCALCO|COMALCALCO|2020-09-15|12900|0|100|50|0|0|0|0|0|0|0|0|0|0|0|0|0|0|0|FLORES|MARTINEZ|CAROLINA|SOLTERO|X|X|CALLE FRANCISCO PERALTA|CIUDAD TECOLUTILLA|x|9332076026|x|x|x|CALLE FRANCISCO PERALTA|x|LUNES|X|X|X|X|X|DOMICILIO |2800|10100|X|X|X|2022-02-21|2022-02-28|X|X|X|X|X|QX002L4E9KVTQO|X|HOMBRE|X|12900|X|X|X|X|X|X|X|X|CARDENAS|X|X|X|X|FINAL</v>
      </c>
    </row>
    <row r="114" spans="1:82" x14ac:dyDescent="0.25">
      <c r="A114" t="s">
        <v>771</v>
      </c>
      <c r="B114" t="s">
        <v>772</v>
      </c>
      <c r="C114">
        <v>3</v>
      </c>
      <c r="D114" t="s">
        <v>144</v>
      </c>
      <c r="E114" t="s">
        <v>150</v>
      </c>
      <c r="F114" t="s">
        <v>153</v>
      </c>
      <c r="G114" t="s">
        <v>153</v>
      </c>
      <c r="H114" t="s">
        <v>1106</v>
      </c>
      <c r="I114">
        <v>12900</v>
      </c>
      <c r="J114">
        <v>0</v>
      </c>
      <c r="K114">
        <v>200</v>
      </c>
      <c r="L114">
        <v>50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773</v>
      </c>
      <c r="AC114" t="s">
        <v>774</v>
      </c>
      <c r="AD114" t="s">
        <v>775</v>
      </c>
      <c r="AE114" t="s">
        <v>4</v>
      </c>
      <c r="AF114" t="s">
        <v>1</v>
      </c>
      <c r="AG114" t="s">
        <v>1</v>
      </c>
      <c r="AH114" t="s">
        <v>776</v>
      </c>
      <c r="AI114" t="s">
        <v>777</v>
      </c>
      <c r="AJ114" t="s">
        <v>3</v>
      </c>
      <c r="AK114">
        <v>9331365375</v>
      </c>
      <c r="AL114" t="s">
        <v>3</v>
      </c>
      <c r="AM114" t="s">
        <v>3</v>
      </c>
      <c r="AN114" t="s">
        <v>3</v>
      </c>
      <c r="AO114" t="s">
        <v>776</v>
      </c>
      <c r="AP114" t="s">
        <v>3</v>
      </c>
      <c r="AQ114" t="s">
        <v>2</v>
      </c>
      <c r="AR114" t="s">
        <v>1</v>
      </c>
      <c r="AS114" t="s">
        <v>1</v>
      </c>
      <c r="AT114" t="s">
        <v>1</v>
      </c>
      <c r="AU114" t="s">
        <v>1</v>
      </c>
      <c r="AV114" t="s">
        <v>1</v>
      </c>
      <c r="AW114" t="s">
        <v>11</v>
      </c>
      <c r="AX114">
        <f>Tabla1[[#This Row],[precio del paquete]]-Tabla1[[#This Row],[Saldo_Deudor]]</f>
        <v>7700</v>
      </c>
      <c r="AY114">
        <v>5200</v>
      </c>
      <c r="AZ114" t="s">
        <v>1</v>
      </c>
      <c r="BA114" t="s">
        <v>1</v>
      </c>
      <c r="BB114" t="s">
        <v>1</v>
      </c>
      <c r="BC114" t="s">
        <v>258</v>
      </c>
      <c r="BD114" t="s">
        <v>266</v>
      </c>
      <c r="BE114" t="s">
        <v>1</v>
      </c>
      <c r="BF114" t="s">
        <v>1</v>
      </c>
      <c r="BG114" t="s">
        <v>1</v>
      </c>
      <c r="BH114" t="s">
        <v>1</v>
      </c>
      <c r="BI114" t="s">
        <v>1</v>
      </c>
      <c r="BJ114" t="s">
        <v>762</v>
      </c>
      <c r="BK114" t="s">
        <v>1</v>
      </c>
      <c r="BL114" t="s">
        <v>132</v>
      </c>
      <c r="BM114" t="s">
        <v>1</v>
      </c>
      <c r="BN114">
        <v>12900</v>
      </c>
      <c r="BO114" t="s">
        <v>1</v>
      </c>
      <c r="BP114" t="s">
        <v>1</v>
      </c>
      <c r="BQ114" t="s">
        <v>1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0</v>
      </c>
      <c r="BX114" t="s">
        <v>1</v>
      </c>
      <c r="BY114" t="s">
        <v>1</v>
      </c>
      <c r="BZ114" t="s">
        <v>1</v>
      </c>
      <c r="CA114" t="s">
        <v>1</v>
      </c>
      <c r="CB114" t="s">
        <v>277</v>
      </c>
      <c r="CD114" t="str" cm="1">
        <f t="array" aca="1" ref="CD114" ca="1">eConcatenar(A114:CB114,"|")</f>
        <v>AYwHLnoX403X5Wi1|COM2020-2310|3|IMPERIAL DE LUJO|TABASCO|COMALCALCO|COMALCALCO|2020-10-03|12900|0|200|50|1|0|0|0|0|0|0|0|0|0|0|0|0|0|0|TRUJILLO|VERGAS|CANDELARIA|SOLTERO|X|X|CARRETERA A PARAISO|RANCHERIA POTRERITOS|x|9331365375|x|x|x|CARRETERA A PARAISO|x|LUNES|X|X|X|X|X|DOMICILIO |7700|5200|X|X|X|2022-02-21|2022-02-28|X|X|X|X|X|QX002L4E9KVTQO|X|HOMBRE|X|12900|X|X|X|X|X|X|X|X|CARDENAS|X|X|X|X|FINAL</v>
      </c>
    </row>
    <row r="115" spans="1:82" x14ac:dyDescent="0.25">
      <c r="A115" t="s">
        <v>778</v>
      </c>
      <c r="B115" t="s">
        <v>779</v>
      </c>
      <c r="C115">
        <v>3</v>
      </c>
      <c r="D115" t="s">
        <v>144</v>
      </c>
      <c r="E115" t="s">
        <v>150</v>
      </c>
      <c r="F115" t="s">
        <v>153</v>
      </c>
      <c r="G115" t="s">
        <v>153</v>
      </c>
      <c r="H115" t="s">
        <v>1107</v>
      </c>
      <c r="I115">
        <v>12900</v>
      </c>
      <c r="J115">
        <v>0</v>
      </c>
      <c r="K115">
        <v>400</v>
      </c>
      <c r="L115">
        <v>50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780</v>
      </c>
      <c r="AC115" t="s">
        <v>210</v>
      </c>
      <c r="AD115" t="s">
        <v>781</v>
      </c>
      <c r="AE115" t="s">
        <v>4</v>
      </c>
      <c r="AF115" t="s">
        <v>1</v>
      </c>
      <c r="AG115" t="s">
        <v>1</v>
      </c>
      <c r="AH115" t="s">
        <v>782</v>
      </c>
      <c r="AI115" t="s">
        <v>783</v>
      </c>
      <c r="AJ115" t="s">
        <v>3</v>
      </c>
      <c r="AK115">
        <v>9331561593</v>
      </c>
      <c r="AL115" t="s">
        <v>3</v>
      </c>
      <c r="AM115" t="s">
        <v>3</v>
      </c>
      <c r="AN115" t="s">
        <v>3</v>
      </c>
      <c r="AO115" t="s">
        <v>782</v>
      </c>
      <c r="AP115" t="s">
        <v>3</v>
      </c>
      <c r="AQ115" t="s">
        <v>2</v>
      </c>
      <c r="AR115" t="s">
        <v>1</v>
      </c>
      <c r="AS115" t="s">
        <v>1</v>
      </c>
      <c r="AT115" t="s">
        <v>1</v>
      </c>
      <c r="AU115" t="s">
        <v>1</v>
      </c>
      <c r="AV115" t="s">
        <v>1</v>
      </c>
      <c r="AW115" t="s">
        <v>11</v>
      </c>
      <c r="AX115">
        <f>Tabla1[[#This Row],[precio del paquete]]-Tabla1[[#This Row],[Saldo_Deudor]]</f>
        <v>4400</v>
      </c>
      <c r="AY115">
        <v>8500</v>
      </c>
      <c r="AZ115" t="s">
        <v>1</v>
      </c>
      <c r="BA115" t="s">
        <v>1</v>
      </c>
      <c r="BB115" t="s">
        <v>1</v>
      </c>
      <c r="BC115" t="s">
        <v>1084</v>
      </c>
      <c r="BD115" t="s">
        <v>177</v>
      </c>
      <c r="BE115" t="s">
        <v>1</v>
      </c>
      <c r="BF115" t="s">
        <v>1</v>
      </c>
      <c r="BG115" t="s">
        <v>1</v>
      </c>
      <c r="BH115" t="s">
        <v>1</v>
      </c>
      <c r="BI115" t="s">
        <v>1</v>
      </c>
      <c r="BJ115" t="s">
        <v>762</v>
      </c>
      <c r="BK115" t="s">
        <v>1</v>
      </c>
      <c r="BL115" t="s">
        <v>132</v>
      </c>
      <c r="BM115" t="s">
        <v>1</v>
      </c>
      <c r="BN115">
        <v>12900</v>
      </c>
      <c r="BO115" t="s">
        <v>1</v>
      </c>
      <c r="BP115" t="s">
        <v>1</v>
      </c>
      <c r="BQ115" t="s">
        <v>1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0</v>
      </c>
      <c r="BX115" t="s">
        <v>1</v>
      </c>
      <c r="BY115" t="s">
        <v>1</v>
      </c>
      <c r="BZ115" t="s">
        <v>1</v>
      </c>
      <c r="CA115" t="s">
        <v>1</v>
      </c>
      <c r="CB115" t="s">
        <v>277</v>
      </c>
      <c r="CD115" t="str" cm="1">
        <f t="array" aca="1" ref="CD115" ca="1">eConcatenar(A115:CB115,"|")</f>
        <v>lAgD0pxGuqja6wTA|COM2020-2157|3|IMPERIAL DE LUJO|TABASCO|COMALCALCO|COMALCALCO|2020-09-24|12900|0|400|50|2|0|0|0|0|0|0|0|0|0|0|0|0|0|0|DAN|DE LA CRUZ|GLADIS|SOLTERO|X|X|CARRETERA TECOLUTILLA|RANCHERIA REYES HERNANDEZ PRIMERA SECCION|x|9331561593|x|x|x|CARRETERA TECOLUTILLA|x|LUNES|X|X|X|X|X|DOMICILIO |4400|8500|X|X|X|2022-02-08|2022-02-15|X|X|X|X|X|QX002L4E9KVTQO|X|HOMBRE|X|12900|X|X|X|X|X|X|X|X|CARDENAS|X|X|X|X|FINAL</v>
      </c>
    </row>
    <row r="116" spans="1:82" x14ac:dyDescent="0.25">
      <c r="A116" t="s">
        <v>784</v>
      </c>
      <c r="B116" t="s">
        <v>340</v>
      </c>
      <c r="C116">
        <v>3</v>
      </c>
      <c r="D116" t="s">
        <v>144</v>
      </c>
      <c r="E116" t="s">
        <v>150</v>
      </c>
      <c r="F116" t="s">
        <v>152</v>
      </c>
      <c r="G116" t="s">
        <v>152</v>
      </c>
      <c r="H116" t="s">
        <v>1108</v>
      </c>
      <c r="I116">
        <v>12900</v>
      </c>
      <c r="J116">
        <v>0</v>
      </c>
      <c r="K116">
        <v>100</v>
      </c>
      <c r="L116">
        <v>50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215</v>
      </c>
      <c r="AC116" t="s">
        <v>213</v>
      </c>
      <c r="AD116" t="s">
        <v>200</v>
      </c>
      <c r="AE116" t="s">
        <v>4</v>
      </c>
      <c r="AF116" t="s">
        <v>1</v>
      </c>
      <c r="AG116" t="s">
        <v>1</v>
      </c>
      <c r="AH116" t="s">
        <v>342</v>
      </c>
      <c r="AI116" t="s">
        <v>785</v>
      </c>
      <c r="AJ116" t="s">
        <v>3</v>
      </c>
      <c r="AK116">
        <v>9141197786</v>
      </c>
      <c r="AL116" t="s">
        <v>3</v>
      </c>
      <c r="AM116" t="s">
        <v>3</v>
      </c>
      <c r="AN116" t="s">
        <v>3</v>
      </c>
      <c r="AO116" t="s">
        <v>342</v>
      </c>
      <c r="AP116" t="s">
        <v>3</v>
      </c>
      <c r="AQ116" t="s">
        <v>2</v>
      </c>
      <c r="AR116" t="s">
        <v>1</v>
      </c>
      <c r="AS116" t="s">
        <v>1</v>
      </c>
      <c r="AT116" t="s">
        <v>1</v>
      </c>
      <c r="AU116" t="s">
        <v>1</v>
      </c>
      <c r="AV116" t="s">
        <v>1</v>
      </c>
      <c r="AW116" t="s">
        <v>11</v>
      </c>
      <c r="AX116">
        <f>Tabla1[[#This Row],[precio del paquete]]-Tabla1[[#This Row],[Saldo_Deudor]]</f>
        <v>6000</v>
      </c>
      <c r="AY116">
        <v>6900</v>
      </c>
      <c r="AZ116" t="s">
        <v>1</v>
      </c>
      <c r="BA116" t="s">
        <v>1</v>
      </c>
      <c r="BB116" t="s">
        <v>1</v>
      </c>
      <c r="BC116" t="s">
        <v>176</v>
      </c>
      <c r="BD116" t="s">
        <v>255</v>
      </c>
      <c r="BE116" t="s">
        <v>1</v>
      </c>
      <c r="BF116" t="s">
        <v>1</v>
      </c>
      <c r="BG116" t="s">
        <v>1</v>
      </c>
      <c r="BH116" t="s">
        <v>1</v>
      </c>
      <c r="BI116" t="s">
        <v>1</v>
      </c>
      <c r="BJ116" t="s">
        <v>271</v>
      </c>
      <c r="BK116" t="s">
        <v>1</v>
      </c>
      <c r="BL116" t="s">
        <v>132</v>
      </c>
      <c r="BM116" t="s">
        <v>1</v>
      </c>
      <c r="BN116">
        <v>12900</v>
      </c>
      <c r="BO116" t="s">
        <v>1</v>
      </c>
      <c r="BP116" t="s">
        <v>1</v>
      </c>
      <c r="BQ116" t="s">
        <v>1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0</v>
      </c>
      <c r="BX116" t="s">
        <v>1</v>
      </c>
      <c r="BY116" t="s">
        <v>1</v>
      </c>
      <c r="BZ116" t="s">
        <v>1</v>
      </c>
      <c r="CA116" t="s">
        <v>1</v>
      </c>
      <c r="CB116" t="s">
        <v>277</v>
      </c>
      <c r="CD116" t="str" cm="1">
        <f t="array" aca="1" ref="CD116" ca="1">eConcatenar(A116:CB116,"|")</f>
        <v>yCMZ3S6Q5uqZyw4W|CAR2020-1606|3|IMPERIAL DE LUJO|TABASCO|CUNDUACAN|CUNDUACAN|2020-07-15|12900|0|100|50|0|0|0|0|0|0|0|0|0|0|0|0|0|0|0|SANCHEZ|OLAN|ALEJANDRO|SOLTERO|X|X|CALLE MIGUEL HIDALGO SIN NUMERO|EJIDO 11 DE FEBRERO|x|9141197786|x|x|x|CALLE MIGUEL HIDALGO SIN NUMERO|x|LUNES|X|X|X|X|X|DOMICILIO |6000|6900|X|X|X|2022-02-22|2022-03-01|X|X|X|X|X|KYMDH4NUTCJVUQD|X|HOMBRE|X|12900|X|X|X|X|X|X|X|X|CARDENAS|X|X|X|X|FINAL</v>
      </c>
    </row>
    <row r="117" spans="1:82" x14ac:dyDescent="0.25">
      <c r="A117" t="s">
        <v>786</v>
      </c>
      <c r="B117" t="s">
        <v>351</v>
      </c>
      <c r="C117">
        <v>3</v>
      </c>
      <c r="D117" t="s">
        <v>145</v>
      </c>
      <c r="E117" t="s">
        <v>150</v>
      </c>
      <c r="F117" t="s">
        <v>152</v>
      </c>
      <c r="G117" t="s">
        <v>152</v>
      </c>
      <c r="H117" t="s">
        <v>1044</v>
      </c>
      <c r="I117">
        <v>14800</v>
      </c>
      <c r="J117">
        <v>0</v>
      </c>
      <c r="K117">
        <v>100</v>
      </c>
      <c r="L117">
        <v>50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210</v>
      </c>
      <c r="AC117" t="s">
        <v>205</v>
      </c>
      <c r="AD117" t="s">
        <v>352</v>
      </c>
      <c r="AE117" t="s">
        <v>4</v>
      </c>
      <c r="AF117" t="s">
        <v>1</v>
      </c>
      <c r="AG117" t="s">
        <v>1</v>
      </c>
      <c r="AH117" t="s">
        <v>787</v>
      </c>
      <c r="AI117" t="s">
        <v>354</v>
      </c>
      <c r="AJ117" t="s">
        <v>3</v>
      </c>
      <c r="AK117">
        <v>8994525843</v>
      </c>
      <c r="AL117" t="s">
        <v>3</v>
      </c>
      <c r="AM117" t="s">
        <v>3</v>
      </c>
      <c r="AN117" t="s">
        <v>3</v>
      </c>
      <c r="AO117" t="s">
        <v>787</v>
      </c>
      <c r="AP117" t="s">
        <v>3</v>
      </c>
      <c r="AQ117" t="s">
        <v>2</v>
      </c>
      <c r="AR117" t="s">
        <v>1</v>
      </c>
      <c r="AS117" t="s">
        <v>1</v>
      </c>
      <c r="AT117" t="s">
        <v>1</v>
      </c>
      <c r="AU117" t="s">
        <v>1</v>
      </c>
      <c r="AV117" t="s">
        <v>1</v>
      </c>
      <c r="AW117" t="s">
        <v>11</v>
      </c>
      <c r="AX117">
        <f>Tabla1[[#This Row],[precio del paquete]]-Tabla1[[#This Row],[Saldo_Deudor]]</f>
        <v>800</v>
      </c>
      <c r="AY117">
        <v>14000</v>
      </c>
      <c r="AZ117" t="s">
        <v>1</v>
      </c>
      <c r="BA117" t="s">
        <v>1</v>
      </c>
      <c r="BB117" t="s">
        <v>1</v>
      </c>
      <c r="BC117" t="s">
        <v>176</v>
      </c>
      <c r="BD117" t="s">
        <v>255</v>
      </c>
      <c r="BE117" t="s">
        <v>1</v>
      </c>
      <c r="BF117" t="s">
        <v>1</v>
      </c>
      <c r="BG117" t="s">
        <v>1</v>
      </c>
      <c r="BH117" t="s">
        <v>1</v>
      </c>
      <c r="BI117" t="s">
        <v>1</v>
      </c>
      <c r="BJ117" t="s">
        <v>271</v>
      </c>
      <c r="BK117" t="s">
        <v>1</v>
      </c>
      <c r="BL117" t="s">
        <v>132</v>
      </c>
      <c r="BM117" t="s">
        <v>1</v>
      </c>
      <c r="BN117">
        <v>14800</v>
      </c>
      <c r="BO117" t="s">
        <v>1</v>
      </c>
      <c r="BP117" t="s">
        <v>1</v>
      </c>
      <c r="BQ117" t="s">
        <v>1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0</v>
      </c>
      <c r="BX117" t="s">
        <v>1</v>
      </c>
      <c r="BY117" t="s">
        <v>1</v>
      </c>
      <c r="BZ117" t="s">
        <v>1</v>
      </c>
      <c r="CA117" t="s">
        <v>1</v>
      </c>
      <c r="CB117" t="s">
        <v>277</v>
      </c>
      <c r="CD117" t="str" cm="1">
        <f t="array" aca="1" ref="CD117" ca="1">eConcatenar(A117:CB117,"|")</f>
        <v>Qa8CblBRFGjXvmtS|CAR2021-6480|3|MEMORIAL|TABASCO|CUNDUACAN|CUNDUACAN|2021-10-28|14800|0|100|50|0|0|0|0|0|0|0|0|0|0|0|0|0|0|0|DE LA CRUZ|HERNANDEZ|MARTHA|SOLTERO|X|X|CARRETERA A LA VIA ENTRADA EL CARMEN SIN NUMERO|RANCHERIA RIO SECO TIERRA Y LIBERTAD|x|8994525843|x|x|x|CARRETERA A LA VIA ENTRADA EL CARMEN SIN NUMERO|x|LUNES|X|X|X|X|X|DOMICILIO |800|14000|X|X|X|2022-02-22|2022-03-01|X|X|X|X|X|KYMDH4NUTCJVUQD|X|HOMBRE|X|14800|X|X|X|X|X|X|X|X|CARDENAS|X|X|X|X|FINAL</v>
      </c>
    </row>
    <row r="118" spans="1:82" x14ac:dyDescent="0.25">
      <c r="A118" t="s">
        <v>788</v>
      </c>
      <c r="B118" t="s">
        <v>373</v>
      </c>
      <c r="C118">
        <v>3</v>
      </c>
      <c r="D118" t="s">
        <v>145</v>
      </c>
      <c r="E118" t="s">
        <v>150</v>
      </c>
      <c r="F118" t="s">
        <v>0</v>
      </c>
      <c r="G118" t="s">
        <v>0</v>
      </c>
      <c r="H118" t="s">
        <v>1047</v>
      </c>
      <c r="I118">
        <v>14800</v>
      </c>
      <c r="J118">
        <v>0</v>
      </c>
      <c r="K118">
        <v>100</v>
      </c>
      <c r="L118">
        <v>50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374</v>
      </c>
      <c r="AC118" t="s">
        <v>214</v>
      </c>
      <c r="AD118" t="s">
        <v>375</v>
      </c>
      <c r="AE118" t="s">
        <v>4</v>
      </c>
      <c r="AF118" t="s">
        <v>1</v>
      </c>
      <c r="AG118" t="s">
        <v>1</v>
      </c>
      <c r="AH118" t="s">
        <v>789</v>
      </c>
      <c r="AI118" t="s">
        <v>790</v>
      </c>
      <c r="AJ118" t="s">
        <v>3</v>
      </c>
      <c r="AK118">
        <v>9371185567</v>
      </c>
      <c r="AL118" t="s">
        <v>3</v>
      </c>
      <c r="AM118" t="s">
        <v>3</v>
      </c>
      <c r="AN118" t="s">
        <v>3</v>
      </c>
      <c r="AO118" t="s">
        <v>789</v>
      </c>
      <c r="AP118" t="s">
        <v>3</v>
      </c>
      <c r="AQ118" t="s">
        <v>2</v>
      </c>
      <c r="AR118" t="s">
        <v>1</v>
      </c>
      <c r="AS118" t="s">
        <v>1</v>
      </c>
      <c r="AT118" t="s">
        <v>1</v>
      </c>
      <c r="AU118" t="s">
        <v>1</v>
      </c>
      <c r="AV118" t="s">
        <v>1</v>
      </c>
      <c r="AW118" t="s">
        <v>11</v>
      </c>
      <c r="AX118">
        <f>Tabla1[[#This Row],[precio del paquete]]-Tabla1[[#This Row],[Saldo_Deudor]]</f>
        <v>2050</v>
      </c>
      <c r="AY118">
        <v>12750</v>
      </c>
      <c r="AZ118" t="s">
        <v>1</v>
      </c>
      <c r="BA118" t="s">
        <v>1</v>
      </c>
      <c r="BB118" t="s">
        <v>1</v>
      </c>
      <c r="BC118" t="s">
        <v>177</v>
      </c>
      <c r="BD118" t="s">
        <v>176</v>
      </c>
      <c r="BE118" t="s">
        <v>1</v>
      </c>
      <c r="BF118" t="s">
        <v>1</v>
      </c>
      <c r="BG118" t="s">
        <v>1</v>
      </c>
      <c r="BH118" t="s">
        <v>1</v>
      </c>
      <c r="BI118" t="s">
        <v>1</v>
      </c>
      <c r="BJ118" t="s">
        <v>271</v>
      </c>
      <c r="BK118" t="s">
        <v>1</v>
      </c>
      <c r="BL118" t="s">
        <v>132</v>
      </c>
      <c r="BM118" t="s">
        <v>1</v>
      </c>
      <c r="BN118">
        <v>14800</v>
      </c>
      <c r="BO118" t="s">
        <v>1</v>
      </c>
      <c r="BP118" t="s">
        <v>1</v>
      </c>
      <c r="BQ118" t="s">
        <v>1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0</v>
      </c>
      <c r="BX118" t="s">
        <v>1</v>
      </c>
      <c r="BY118" t="s">
        <v>1</v>
      </c>
      <c r="BZ118" t="s">
        <v>1</v>
      </c>
      <c r="CA118" t="s">
        <v>1</v>
      </c>
      <c r="CB118" t="s">
        <v>277</v>
      </c>
      <c r="CD118" t="str" cm="1">
        <f t="array" aca="1" ref="CD118" ca="1">eConcatenar(A118:CB118,"|")</f>
        <v>v3VWR4CojrzftEiy|CAR2021-5428|3|MEMORIAL|TABASCO|CARDENAS|CARDENAS|2021-09-16|14800|0|100|50|0|0|0|0|0|0|0|0|0|0|0|0|0|0|0|ORDOÑEZ|PEREZ|PATRICIO|SOLTERO|X|X|ENTRADA LA A 100 METROS DEL DEPOSITO|COLONIA PLAYITA|x|9371185567|x|x|x|ENTRADA LA A 100 METROS DEL DEPOSITO|x|LUNES|X|X|X|X|X|DOMICILIO |2050|12750|X|X|X|2022-02-15|2022-02-22|X|X|X|X|X|KYMDH4NUTCJVUQD|X|HOMBRE|X|14800|X|X|X|X|X|X|X|X|CARDENAS|X|X|X|X|FINAL</v>
      </c>
    </row>
    <row r="119" spans="1:82" x14ac:dyDescent="0.25">
      <c r="A119" t="s">
        <v>791</v>
      </c>
      <c r="B119" t="s">
        <v>792</v>
      </c>
      <c r="C119">
        <v>3</v>
      </c>
      <c r="D119" t="s">
        <v>144</v>
      </c>
      <c r="E119" t="s">
        <v>150</v>
      </c>
      <c r="F119" t="s">
        <v>0</v>
      </c>
      <c r="G119" t="s">
        <v>0</v>
      </c>
      <c r="H119" t="s">
        <v>1109</v>
      </c>
      <c r="I119">
        <v>12900</v>
      </c>
      <c r="J119">
        <v>0</v>
      </c>
      <c r="K119">
        <v>100</v>
      </c>
      <c r="L119">
        <v>50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793</v>
      </c>
      <c r="AC119" t="s">
        <v>794</v>
      </c>
      <c r="AD119" t="s">
        <v>287</v>
      </c>
      <c r="AE119" t="s">
        <v>4</v>
      </c>
      <c r="AF119" t="s">
        <v>1</v>
      </c>
      <c r="AG119" t="s">
        <v>1</v>
      </c>
      <c r="AH119" t="s">
        <v>795</v>
      </c>
      <c r="AI119" t="s">
        <v>796</v>
      </c>
      <c r="AJ119" t="s">
        <v>3</v>
      </c>
      <c r="AK119">
        <v>8993401441</v>
      </c>
      <c r="AL119" t="s">
        <v>3</v>
      </c>
      <c r="AM119" t="s">
        <v>3</v>
      </c>
      <c r="AN119" t="s">
        <v>3</v>
      </c>
      <c r="AO119" t="s">
        <v>795</v>
      </c>
      <c r="AP119" t="s">
        <v>3</v>
      </c>
      <c r="AQ119" t="s">
        <v>2</v>
      </c>
      <c r="AR119" t="s">
        <v>1</v>
      </c>
      <c r="AS119" t="s">
        <v>1</v>
      </c>
      <c r="AT119" t="s">
        <v>1</v>
      </c>
      <c r="AU119" t="s">
        <v>1</v>
      </c>
      <c r="AV119" t="s">
        <v>1</v>
      </c>
      <c r="AW119" t="s">
        <v>11</v>
      </c>
      <c r="AX119">
        <f>Tabla1[[#This Row],[precio del paquete]]-Tabla1[[#This Row],[Saldo_Deudor]]</f>
        <v>4100</v>
      </c>
      <c r="AY119">
        <v>8800</v>
      </c>
      <c r="AZ119" t="s">
        <v>1</v>
      </c>
      <c r="BA119" t="s">
        <v>1</v>
      </c>
      <c r="BB119" t="s">
        <v>1</v>
      </c>
      <c r="BC119" t="s">
        <v>262</v>
      </c>
      <c r="BD119" t="s">
        <v>259</v>
      </c>
      <c r="BE119" t="s">
        <v>1</v>
      </c>
      <c r="BF119" t="s">
        <v>1</v>
      </c>
      <c r="BG119" t="s">
        <v>1</v>
      </c>
      <c r="BH119" t="s">
        <v>1</v>
      </c>
      <c r="BI119" t="s">
        <v>1</v>
      </c>
      <c r="BJ119" t="s">
        <v>276</v>
      </c>
      <c r="BK119" t="s">
        <v>1</v>
      </c>
      <c r="BL119" t="s">
        <v>132</v>
      </c>
      <c r="BM119" t="s">
        <v>1</v>
      </c>
      <c r="BN119">
        <v>12900</v>
      </c>
      <c r="BO119" t="s">
        <v>1</v>
      </c>
      <c r="BP119" t="s">
        <v>1</v>
      </c>
      <c r="BQ119" t="s">
        <v>1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0</v>
      </c>
      <c r="BX119" t="s">
        <v>1</v>
      </c>
      <c r="BY119" t="s">
        <v>1</v>
      </c>
      <c r="BZ119" t="s">
        <v>1</v>
      </c>
      <c r="CA119" t="s">
        <v>1</v>
      </c>
      <c r="CB119" t="s">
        <v>277</v>
      </c>
      <c r="CD119" t="str" cm="1">
        <f t="array" aca="1" ref="CD119" ca="1">eConcatenar(A119:CB119,"|")</f>
        <v>tRpLVbmyi4Fzbmks|CAR2020-1469|3|IMPERIAL DE LUJO|TABASCO|CARDENAS|CARDENAS|2020-07-11|12900|0|100|50|0|0|0|0|0|0|0|0|0|0|0|0|0|0|0|CERON|BRITO|JESUS|SOLTERO|X|X|CERRADA DE SANTO DOMINGO|COLONIA NUEVA ESPERANZA|x|8993401441|x|x|x|CERRADA DE SANTO DOMINGO|x|LUNES|X|X|X|X|X|DOMICILIO |4100|8800|X|X|X|2022-02-24|2022-03-03|X|X|X|X|X|XJ7NCYLLDZFLMWF|X|HOMBRE|X|12900|X|X|X|X|X|X|X|X|CARDENAS|X|X|X|X|FINAL</v>
      </c>
    </row>
    <row r="120" spans="1:82" x14ac:dyDescent="0.25">
      <c r="A120" t="s">
        <v>797</v>
      </c>
      <c r="B120" t="s">
        <v>798</v>
      </c>
      <c r="C120">
        <v>3</v>
      </c>
      <c r="D120" t="s">
        <v>145</v>
      </c>
      <c r="E120" t="s">
        <v>150</v>
      </c>
      <c r="F120" t="s">
        <v>0</v>
      </c>
      <c r="G120" t="s">
        <v>0</v>
      </c>
      <c r="H120" t="s">
        <v>174</v>
      </c>
      <c r="I120">
        <v>14800</v>
      </c>
      <c r="J120">
        <v>0</v>
      </c>
      <c r="K120">
        <v>200</v>
      </c>
      <c r="L120">
        <v>50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368</v>
      </c>
      <c r="AC120" t="s">
        <v>799</v>
      </c>
      <c r="AD120" t="s">
        <v>800</v>
      </c>
      <c r="AE120" t="s">
        <v>4</v>
      </c>
      <c r="AF120" t="s">
        <v>1</v>
      </c>
      <c r="AG120" t="s">
        <v>1</v>
      </c>
      <c r="AH120" t="s">
        <v>801</v>
      </c>
      <c r="AI120" t="s">
        <v>802</v>
      </c>
      <c r="AJ120" t="s">
        <v>3</v>
      </c>
      <c r="AK120">
        <v>9934330157</v>
      </c>
      <c r="AL120" t="s">
        <v>3</v>
      </c>
      <c r="AM120" t="s">
        <v>3</v>
      </c>
      <c r="AN120" t="s">
        <v>3</v>
      </c>
      <c r="AO120" t="s">
        <v>801</v>
      </c>
      <c r="AP120" t="s">
        <v>3</v>
      </c>
      <c r="AQ120" t="s">
        <v>2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11</v>
      </c>
      <c r="AX120">
        <f>Tabla1[[#This Row],[precio del paquete]]-Tabla1[[#This Row],[Saldo_Deudor]]</f>
        <v>1500</v>
      </c>
      <c r="AY120">
        <v>13300</v>
      </c>
      <c r="AZ120" t="s">
        <v>1</v>
      </c>
      <c r="BA120" t="s">
        <v>1</v>
      </c>
      <c r="BB120" t="s">
        <v>1</v>
      </c>
      <c r="BC120" t="s">
        <v>262</v>
      </c>
      <c r="BD120" t="s">
        <v>259</v>
      </c>
      <c r="BE120" t="s">
        <v>1</v>
      </c>
      <c r="BF120" t="s">
        <v>1</v>
      </c>
      <c r="BG120" t="s">
        <v>1</v>
      </c>
      <c r="BH120" t="s">
        <v>1</v>
      </c>
      <c r="BI120" t="s">
        <v>1</v>
      </c>
      <c r="BJ120" t="s">
        <v>276</v>
      </c>
      <c r="BK120" t="s">
        <v>1</v>
      </c>
      <c r="BL120" t="s">
        <v>132</v>
      </c>
      <c r="BM120" t="s">
        <v>1</v>
      </c>
      <c r="BN120">
        <v>14800</v>
      </c>
      <c r="BO120" t="s">
        <v>1</v>
      </c>
      <c r="BP120" t="s">
        <v>1</v>
      </c>
      <c r="BQ120" t="s">
        <v>1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277</v>
      </c>
      <c r="CD120" t="str" cm="1">
        <f t="array" aca="1" ref="CD120" ca="1">eConcatenar(A120:CB120,"|")</f>
        <v>ESenG8AJl1W7CGgG|CAR2021-7624|3|MEMORIAL|TABASCO|CARDENAS|CARDENAS|2021-12-18|14800|0|200|50|0|0|0|0|0|0|0|0|0|0|0|0|0|0|0|TORRES|SALAYA|CARMEN MANUEL|SOLTERO|X|X|CALLE NUMERO 4 SIN NUMERO|POBLADO C-28 GREGORIO MENDEZ|x|9934330157|x|x|x|CALLE NUMERO 4 SIN NUMERO|x|LUNES|X|X|X|X|X|DOMICILIO |1500|13300|X|X|X|2022-02-24|2022-03-03|X|X|X|X|X|XJ7NCYLLDZFLMWF|X|HOMBRE|X|14800|X|X|X|X|X|X|X|X|CARDENAS|X|X|X|X|FINAL</v>
      </c>
    </row>
    <row r="121" spans="1:82" x14ac:dyDescent="0.25">
      <c r="A121" t="s">
        <v>803</v>
      </c>
      <c r="B121" t="s">
        <v>804</v>
      </c>
      <c r="C121">
        <v>3</v>
      </c>
      <c r="D121" t="s">
        <v>147</v>
      </c>
      <c r="E121" t="s">
        <v>150</v>
      </c>
      <c r="F121" t="s">
        <v>0</v>
      </c>
      <c r="G121" t="s">
        <v>0</v>
      </c>
      <c r="H121" t="s">
        <v>1110</v>
      </c>
      <c r="I121">
        <v>12900</v>
      </c>
      <c r="J121">
        <v>0</v>
      </c>
      <c r="K121">
        <v>200</v>
      </c>
      <c r="L121">
        <v>50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805</v>
      </c>
      <c r="AC121" t="s">
        <v>806</v>
      </c>
      <c r="AD121" t="s">
        <v>807</v>
      </c>
      <c r="AE121" t="s">
        <v>4</v>
      </c>
      <c r="AF121" t="s">
        <v>1</v>
      </c>
      <c r="AG121" t="s">
        <v>1</v>
      </c>
      <c r="AH121" t="s">
        <v>808</v>
      </c>
      <c r="AI121" t="s">
        <v>809</v>
      </c>
      <c r="AJ121" t="s">
        <v>3</v>
      </c>
      <c r="AK121">
        <v>9371229648</v>
      </c>
      <c r="AL121" t="s">
        <v>3</v>
      </c>
      <c r="AM121" t="s">
        <v>3</v>
      </c>
      <c r="AN121" t="s">
        <v>3</v>
      </c>
      <c r="AO121" t="s">
        <v>808</v>
      </c>
      <c r="AP121" t="s">
        <v>3</v>
      </c>
      <c r="AQ121" t="s">
        <v>2</v>
      </c>
      <c r="AR121" t="s">
        <v>1</v>
      </c>
      <c r="AS121" t="s">
        <v>1</v>
      </c>
      <c r="AT121" t="s">
        <v>1</v>
      </c>
      <c r="AU121" t="s">
        <v>1</v>
      </c>
      <c r="AV121" t="s">
        <v>1</v>
      </c>
      <c r="AW121" t="s">
        <v>11</v>
      </c>
      <c r="AX121">
        <f>Tabla1[[#This Row],[precio del paquete]]-Tabla1[[#This Row],[Saldo_Deudor]]</f>
        <v>4900</v>
      </c>
      <c r="AY121">
        <v>8000</v>
      </c>
      <c r="AZ121" t="s">
        <v>1</v>
      </c>
      <c r="BA121" t="s">
        <v>1</v>
      </c>
      <c r="BB121" t="s">
        <v>1</v>
      </c>
      <c r="BC121" t="s">
        <v>262</v>
      </c>
      <c r="BD121" t="s">
        <v>259</v>
      </c>
      <c r="BE121" t="s">
        <v>1</v>
      </c>
      <c r="BF121" t="s">
        <v>1</v>
      </c>
      <c r="BG121" t="s">
        <v>1</v>
      </c>
      <c r="BH121" t="s">
        <v>1</v>
      </c>
      <c r="BI121" t="s">
        <v>1</v>
      </c>
      <c r="BJ121" t="s">
        <v>276</v>
      </c>
      <c r="BK121" t="s">
        <v>1</v>
      </c>
      <c r="BL121" t="s">
        <v>132</v>
      </c>
      <c r="BM121" t="s">
        <v>1</v>
      </c>
      <c r="BN121">
        <v>12900</v>
      </c>
      <c r="BO121" t="s">
        <v>1</v>
      </c>
      <c r="BP121" t="s">
        <v>1</v>
      </c>
      <c r="BQ121" t="s">
        <v>1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0</v>
      </c>
      <c r="BX121" t="s">
        <v>1</v>
      </c>
      <c r="BY121" t="s">
        <v>1</v>
      </c>
      <c r="BZ121" t="s">
        <v>1</v>
      </c>
      <c r="CA121" t="s">
        <v>1</v>
      </c>
      <c r="CB121" t="s">
        <v>277</v>
      </c>
      <c r="CD121" t="str" cm="1">
        <f t="array" aca="1" ref="CD121" ca="1">eConcatenar(A121:CB121,"|")</f>
        <v>bxiwAAw7mAsJEjHa|CAR2020-1689|3|ECONOLINE|TABASCO|CARDENAS|CARDENAS|2020-07-20|12900|0|200|50|0|0|0|0|0|0|0|0|0|0|0|0|0|0|0|RIVERA|LEON|AMADA|SOLTERO|X|X|CALLE ANDADOR GUARGUAO|UNIDAD HABITACIONAL INFONAVIT DEPORTIVA|x|9371229648|x|x|x|CALLE ANDADOR GUARGUAO|x|LUNES|X|X|X|X|X|DOMICILIO |4900|8000|X|X|X|2022-02-24|2022-03-03|X|X|X|X|X|XJ7NCYLLDZFLMWF|X|HOMBRE|X|12900|X|X|X|X|X|X|X|X|CARDENAS|X|X|X|X|FINAL</v>
      </c>
    </row>
    <row r="122" spans="1:82" x14ac:dyDescent="0.25">
      <c r="A122" t="s">
        <v>810</v>
      </c>
      <c r="B122" t="s">
        <v>811</v>
      </c>
      <c r="C122">
        <v>3</v>
      </c>
      <c r="D122" t="s">
        <v>145</v>
      </c>
      <c r="E122" t="s">
        <v>150</v>
      </c>
      <c r="F122" t="s">
        <v>0</v>
      </c>
      <c r="G122" t="s">
        <v>0</v>
      </c>
      <c r="H122" t="s">
        <v>1075</v>
      </c>
      <c r="I122">
        <v>14800</v>
      </c>
      <c r="J122">
        <v>0</v>
      </c>
      <c r="K122">
        <v>100</v>
      </c>
      <c r="L122">
        <v>50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230</v>
      </c>
      <c r="AC122" t="s">
        <v>230</v>
      </c>
      <c r="AD122" t="s">
        <v>812</v>
      </c>
      <c r="AE122" t="s">
        <v>4</v>
      </c>
      <c r="AF122" t="s">
        <v>1</v>
      </c>
      <c r="AG122" t="s">
        <v>1</v>
      </c>
      <c r="AH122" t="s">
        <v>813</v>
      </c>
      <c r="AI122" t="s">
        <v>814</v>
      </c>
      <c r="AJ122" t="s">
        <v>3</v>
      </c>
      <c r="AK122">
        <v>9371062112</v>
      </c>
      <c r="AL122" t="s">
        <v>3</v>
      </c>
      <c r="AM122" t="s">
        <v>3</v>
      </c>
      <c r="AN122" t="s">
        <v>3</v>
      </c>
      <c r="AO122" t="s">
        <v>813</v>
      </c>
      <c r="AP122" t="s">
        <v>3</v>
      </c>
      <c r="AQ122" t="s">
        <v>2</v>
      </c>
      <c r="AR122" t="s">
        <v>1</v>
      </c>
      <c r="AS122" t="s">
        <v>1</v>
      </c>
      <c r="AT122" t="s">
        <v>1</v>
      </c>
      <c r="AU122" t="s">
        <v>1</v>
      </c>
      <c r="AV122" t="s">
        <v>1</v>
      </c>
      <c r="AW122" t="s">
        <v>11</v>
      </c>
      <c r="AX122">
        <f>Tabla1[[#This Row],[precio del paquete]]-Tabla1[[#This Row],[Saldo_Deudor]]</f>
        <v>900</v>
      </c>
      <c r="AY122">
        <v>13900</v>
      </c>
      <c r="AZ122" t="s">
        <v>1</v>
      </c>
      <c r="BA122" t="s">
        <v>1</v>
      </c>
      <c r="BB122" t="s">
        <v>1</v>
      </c>
      <c r="BC122" t="s">
        <v>263</v>
      </c>
      <c r="BD122" t="s">
        <v>262</v>
      </c>
      <c r="BE122" t="s">
        <v>1</v>
      </c>
      <c r="BF122" t="s">
        <v>1</v>
      </c>
      <c r="BG122" t="s">
        <v>1</v>
      </c>
      <c r="BH122" t="s">
        <v>1</v>
      </c>
      <c r="BI122" t="s">
        <v>1</v>
      </c>
      <c r="BJ122" t="s">
        <v>276</v>
      </c>
      <c r="BK122" t="s">
        <v>1</v>
      </c>
      <c r="BL122" t="s">
        <v>132</v>
      </c>
      <c r="BM122" t="s">
        <v>1</v>
      </c>
      <c r="BN122">
        <v>14800</v>
      </c>
      <c r="BO122" t="s">
        <v>1</v>
      </c>
      <c r="BP122" t="s">
        <v>1</v>
      </c>
      <c r="BQ122" t="s">
        <v>1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0</v>
      </c>
      <c r="BX122" t="s">
        <v>1</v>
      </c>
      <c r="BY122" t="s">
        <v>1</v>
      </c>
      <c r="BZ122" t="s">
        <v>1</v>
      </c>
      <c r="CA122" t="s">
        <v>1</v>
      </c>
      <c r="CB122" t="s">
        <v>277</v>
      </c>
      <c r="CD122" t="str" cm="1">
        <f t="array" aca="1" ref="CD122" ca="1">eConcatenar(A122:CB122,"|")</f>
        <v>QGPWBMYW5sx8lZG3|CAR2021-7066|3|MEMORIAL|TABASCO|CARDENAS|CARDENAS|2021-11-20|14800|0|100|50|0|0|0|0|0|0|0|0|0|0|0|0|0|0|0|MORALES|MORALES|MARIA DE LA LUZ|SOLTERO|X|X|CALLE REPUBLICA DE ARGENTINA|COLONIA EL PALMAR|x|9371062112|x|x|x|CALLE REPUBLICA DE ARGENTINA|x|LUNES|X|X|X|X|X|DOMICILIO |900|13900|X|X|X|2022-02-17|2022-02-24|X|X|X|X|X|XJ7NCYLLDZFLMWF|X|HOMBRE|X|14800|X|X|X|X|X|X|X|X|CARDENAS|X|X|X|X|FINAL</v>
      </c>
    </row>
    <row r="123" spans="1:82" x14ac:dyDescent="0.25">
      <c r="A123" t="s">
        <v>815</v>
      </c>
      <c r="B123" t="s">
        <v>816</v>
      </c>
      <c r="C123">
        <v>3</v>
      </c>
      <c r="D123" t="s">
        <v>145</v>
      </c>
      <c r="E123" t="s">
        <v>150</v>
      </c>
      <c r="F123" t="s">
        <v>0</v>
      </c>
      <c r="G123" t="s">
        <v>0</v>
      </c>
      <c r="H123" t="s">
        <v>175</v>
      </c>
      <c r="I123">
        <v>14800</v>
      </c>
      <c r="J123">
        <v>0</v>
      </c>
      <c r="K123">
        <v>50</v>
      </c>
      <c r="L123">
        <v>50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817</v>
      </c>
      <c r="AC123" t="s">
        <v>205</v>
      </c>
      <c r="AD123" t="s">
        <v>192</v>
      </c>
      <c r="AE123" t="s">
        <v>4</v>
      </c>
      <c r="AF123" t="s">
        <v>1</v>
      </c>
      <c r="AG123" t="s">
        <v>1</v>
      </c>
      <c r="AH123" t="s">
        <v>818</v>
      </c>
      <c r="AI123" t="s">
        <v>819</v>
      </c>
      <c r="AJ123" t="s">
        <v>3</v>
      </c>
      <c r="AK123">
        <v>9371621982</v>
      </c>
      <c r="AL123" t="s">
        <v>3</v>
      </c>
      <c r="AM123" t="s">
        <v>3</v>
      </c>
      <c r="AN123" t="s">
        <v>3</v>
      </c>
      <c r="AO123" t="s">
        <v>818</v>
      </c>
      <c r="AP123" t="s">
        <v>3</v>
      </c>
      <c r="AQ123" t="s">
        <v>2</v>
      </c>
      <c r="AR123" t="s">
        <v>1</v>
      </c>
      <c r="AS123" t="s">
        <v>1</v>
      </c>
      <c r="AT123" t="s">
        <v>1</v>
      </c>
      <c r="AU123" t="s">
        <v>1</v>
      </c>
      <c r="AV123" t="s">
        <v>1</v>
      </c>
      <c r="AW123" t="s">
        <v>11</v>
      </c>
      <c r="AX123">
        <f>Tabla1[[#This Row],[precio del paquete]]-Tabla1[[#This Row],[Saldo_Deudor]]</f>
        <v>950</v>
      </c>
      <c r="AY123">
        <v>13850</v>
      </c>
      <c r="AZ123" t="s">
        <v>1</v>
      </c>
      <c r="BA123" t="s">
        <v>1</v>
      </c>
      <c r="BB123" t="s">
        <v>1</v>
      </c>
      <c r="BC123" t="s">
        <v>261</v>
      </c>
      <c r="BD123" t="s">
        <v>256</v>
      </c>
      <c r="BE123" t="s">
        <v>1</v>
      </c>
      <c r="BF123" t="s">
        <v>1</v>
      </c>
      <c r="BG123" t="s">
        <v>1</v>
      </c>
      <c r="BH123" t="s">
        <v>1</v>
      </c>
      <c r="BI123" t="s">
        <v>1</v>
      </c>
      <c r="BJ123" t="s">
        <v>276</v>
      </c>
      <c r="BK123" t="s">
        <v>1</v>
      </c>
      <c r="BL123" t="s">
        <v>132</v>
      </c>
      <c r="BM123" t="s">
        <v>1</v>
      </c>
      <c r="BN123">
        <v>14800</v>
      </c>
      <c r="BO123" t="s">
        <v>1</v>
      </c>
      <c r="BP123" t="s">
        <v>1</v>
      </c>
      <c r="BQ123" t="s">
        <v>1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0</v>
      </c>
      <c r="BX123" t="s">
        <v>1</v>
      </c>
      <c r="BY123" t="s">
        <v>1</v>
      </c>
      <c r="BZ123" t="s">
        <v>1</v>
      </c>
      <c r="CA123" t="s">
        <v>1</v>
      </c>
      <c r="CB123" t="s">
        <v>277</v>
      </c>
      <c r="CD123" t="str" cm="1">
        <f t="array" aca="1" ref="CD123" ca="1">eConcatenar(A123:CB123,"|")</f>
        <v>ATNiHdKb6AIEOnGZ|CAR2021-6898|3|MEMORIAL|TABASCO|CARDENAS|CARDENAS|2021-11-13|14800|0|50|50|0|0|0|0|0|0|0|0|0|0|0|0|0|0|0|BROCA|HERNANDEZ|JANET|SOLTERO|X|X|CALLE SECTOR SAN ANTONIO NUMERO 27|COLONIA SAN ANTONIO|x|9371621982|x|x|x|CALLE SECTOR SAN ANTONIO NUMERO 27|x|LUNES|X|X|X|X|X|DOMICILIO |950|13850|X|X|X|2022-02-23|2022-03-02|X|X|X|X|X|XJ7NCYLLDZFLMWF|X|HOMBRE|X|14800|X|X|X|X|X|X|X|X|CARDENAS|X|X|X|X|FINAL</v>
      </c>
    </row>
    <row r="124" spans="1:82" x14ac:dyDescent="0.25">
      <c r="A124" t="s">
        <v>820</v>
      </c>
      <c r="B124" t="s">
        <v>821</v>
      </c>
      <c r="C124">
        <v>3</v>
      </c>
      <c r="D124" t="s">
        <v>145</v>
      </c>
      <c r="E124" t="s">
        <v>150</v>
      </c>
      <c r="F124" t="s">
        <v>0</v>
      </c>
      <c r="G124" t="s">
        <v>0</v>
      </c>
      <c r="H124" t="s">
        <v>1111</v>
      </c>
      <c r="I124">
        <v>14800</v>
      </c>
      <c r="J124">
        <v>0</v>
      </c>
      <c r="K124">
        <v>200</v>
      </c>
      <c r="L124">
        <v>50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222</v>
      </c>
      <c r="AC124" t="s">
        <v>822</v>
      </c>
      <c r="AD124" t="s">
        <v>190</v>
      </c>
      <c r="AE124" t="s">
        <v>4</v>
      </c>
      <c r="AF124" t="s">
        <v>1</v>
      </c>
      <c r="AG124" t="s">
        <v>1</v>
      </c>
      <c r="AH124" t="s">
        <v>823</v>
      </c>
      <c r="AI124" t="s">
        <v>823</v>
      </c>
      <c r="AJ124" t="s">
        <v>3</v>
      </c>
      <c r="AK124">
        <v>9371042402</v>
      </c>
      <c r="AL124" t="s">
        <v>3</v>
      </c>
      <c r="AM124" t="s">
        <v>3</v>
      </c>
      <c r="AN124" t="s">
        <v>3</v>
      </c>
      <c r="AO124" t="s">
        <v>823</v>
      </c>
      <c r="AP124" t="s">
        <v>3</v>
      </c>
      <c r="AQ124" t="s">
        <v>2</v>
      </c>
      <c r="AR124" t="s">
        <v>1</v>
      </c>
      <c r="AS124" t="s">
        <v>1</v>
      </c>
      <c r="AT124" t="s">
        <v>1</v>
      </c>
      <c r="AU124" t="s">
        <v>1</v>
      </c>
      <c r="AV124" t="s">
        <v>1</v>
      </c>
      <c r="AW124" t="s">
        <v>11</v>
      </c>
      <c r="AX124">
        <f>Tabla1[[#This Row],[precio del paquete]]-Tabla1[[#This Row],[Saldo_Deudor]]</f>
        <v>1800</v>
      </c>
      <c r="AY124">
        <v>13000</v>
      </c>
      <c r="AZ124" t="s">
        <v>1</v>
      </c>
      <c r="BA124" t="s">
        <v>1</v>
      </c>
      <c r="BB124" t="s">
        <v>1</v>
      </c>
      <c r="BC124" t="s">
        <v>261</v>
      </c>
      <c r="BD124" t="s">
        <v>256</v>
      </c>
      <c r="BE124" t="s">
        <v>1</v>
      </c>
      <c r="BF124" t="s">
        <v>1</v>
      </c>
      <c r="BG124" t="s">
        <v>1</v>
      </c>
      <c r="BH124" t="s">
        <v>1</v>
      </c>
      <c r="BI124" t="s">
        <v>1</v>
      </c>
      <c r="BJ124" t="s">
        <v>272</v>
      </c>
      <c r="BK124" t="s">
        <v>1</v>
      </c>
      <c r="BL124" t="s">
        <v>132</v>
      </c>
      <c r="BM124" t="s">
        <v>1</v>
      </c>
      <c r="BN124">
        <v>14800</v>
      </c>
      <c r="BO124" t="s">
        <v>1</v>
      </c>
      <c r="BP124" t="s">
        <v>1</v>
      </c>
      <c r="BQ124" t="s">
        <v>1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1</v>
      </c>
      <c r="BZ124" t="s">
        <v>1</v>
      </c>
      <c r="CA124" t="s">
        <v>1</v>
      </c>
      <c r="CB124" t="s">
        <v>277</v>
      </c>
      <c r="CD124" t="str" cm="1">
        <f t="array" aca="1" ref="CD124" ca="1">eConcatenar(A124:CB124,"|")</f>
        <v>tRa2J1hkc4tfdK42|COM2021-7551|3|MEMORIAL|TABASCO|CARDENAS|CARDENAS|2021-12-13|14800|0|200|50|0|0|0|0|0|0|0|0|0|0|0|0|0|0|0|RAMIREZ|ESPINOZA|JOSE LUIS|SOLTERO|X|X|COLONA CALZADA|COLONA CALZADA|x|9371042402|x|x|x|COLONA CALZADA|x|LUNES|X|X|X|X|X|DOMICILIO |1800|13000|X|X|X|2022-02-23|2022-03-02|X|X|X|X|X|QX002L6W9KVTQO|X|HOMBRE|X|14800|X|X|X|X|X|X|X|X|CARDENAS|X|X|X|X|FINAL</v>
      </c>
    </row>
    <row r="125" spans="1:82" x14ac:dyDescent="0.25">
      <c r="A125" t="s">
        <v>824</v>
      </c>
      <c r="B125" t="s">
        <v>825</v>
      </c>
      <c r="C125">
        <v>3</v>
      </c>
      <c r="D125" t="s">
        <v>145</v>
      </c>
      <c r="E125" t="s">
        <v>150</v>
      </c>
      <c r="F125" t="s">
        <v>0</v>
      </c>
      <c r="G125" t="s">
        <v>0</v>
      </c>
      <c r="H125" t="s">
        <v>1112</v>
      </c>
      <c r="I125">
        <v>14800</v>
      </c>
      <c r="J125">
        <v>0</v>
      </c>
      <c r="K125">
        <v>50</v>
      </c>
      <c r="L125">
        <v>50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8</v>
      </c>
      <c r="AC125" t="s">
        <v>7</v>
      </c>
      <c r="AD125" t="s">
        <v>722</v>
      </c>
      <c r="AE125" t="s">
        <v>4</v>
      </c>
      <c r="AF125" t="s">
        <v>1</v>
      </c>
      <c r="AG125" t="s">
        <v>1</v>
      </c>
      <c r="AH125" t="s">
        <v>826</v>
      </c>
      <c r="AI125" t="s">
        <v>826</v>
      </c>
      <c r="AJ125" t="s">
        <v>3</v>
      </c>
      <c r="AK125">
        <v>9371014017</v>
      </c>
      <c r="AL125" t="s">
        <v>3</v>
      </c>
      <c r="AM125" t="s">
        <v>3</v>
      </c>
      <c r="AN125" t="s">
        <v>3</v>
      </c>
      <c r="AO125" t="s">
        <v>826</v>
      </c>
      <c r="AP125" t="s">
        <v>3</v>
      </c>
      <c r="AQ125" t="s">
        <v>2</v>
      </c>
      <c r="AR125" t="s">
        <v>1</v>
      </c>
      <c r="AS125" t="s">
        <v>1</v>
      </c>
      <c r="AT125" t="s">
        <v>1</v>
      </c>
      <c r="AU125" t="s">
        <v>1</v>
      </c>
      <c r="AV125" t="s">
        <v>1</v>
      </c>
      <c r="AW125" t="s">
        <v>11</v>
      </c>
      <c r="AX125">
        <f>Tabla1[[#This Row],[precio del paquete]]-Tabla1[[#This Row],[Saldo_Deudor]]</f>
        <v>2350</v>
      </c>
      <c r="AY125">
        <v>12450</v>
      </c>
      <c r="AZ125" t="s">
        <v>1</v>
      </c>
      <c r="BA125" t="s">
        <v>1</v>
      </c>
      <c r="BB125" t="s">
        <v>1</v>
      </c>
      <c r="BC125" t="s">
        <v>262</v>
      </c>
      <c r="BD125" t="s">
        <v>259</v>
      </c>
      <c r="BE125" t="s">
        <v>1</v>
      </c>
      <c r="BF125" t="s">
        <v>1</v>
      </c>
      <c r="BG125" t="s">
        <v>1</v>
      </c>
      <c r="BH125" t="s">
        <v>1</v>
      </c>
      <c r="BI125" t="s">
        <v>1</v>
      </c>
      <c r="BJ125" t="s">
        <v>272</v>
      </c>
      <c r="BK125" t="s">
        <v>1</v>
      </c>
      <c r="BL125" t="s">
        <v>132</v>
      </c>
      <c r="BM125" t="s">
        <v>1</v>
      </c>
      <c r="BN125">
        <v>14800</v>
      </c>
      <c r="BO125" t="s">
        <v>1</v>
      </c>
      <c r="BP125" t="s">
        <v>1</v>
      </c>
      <c r="BQ125" t="s">
        <v>1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0</v>
      </c>
      <c r="BX125" t="s">
        <v>1</v>
      </c>
      <c r="BY125" t="s">
        <v>1</v>
      </c>
      <c r="BZ125" t="s">
        <v>1</v>
      </c>
      <c r="CA125" t="s">
        <v>1</v>
      </c>
      <c r="CB125" t="s">
        <v>277</v>
      </c>
      <c r="CD125" t="str" cm="1">
        <f t="array" aca="1" ref="CD125" ca="1">eConcatenar(A125:CB125,"|")</f>
        <v>O9AWy53BeyZxpsBQ|CAR2021-6843|3|MEMORIAL|TABASCO|CARDENAS|CARDENAS|2021-11-11|14800|0|50|50|0|0|0|0|0|0|0|0|0|0|0|0|0|0|0|GOMEZ|LOPEZ|GUADALUPE|SOLTERO|X|X|COLONIA CALZADA|COLONIA CALZADA|x|9371014017|x|x|x|COLONIA CALZADA|x|LUNES|X|X|X|X|X|DOMICILIO |2350|12450|X|X|X|2022-02-24|2022-03-03|X|X|X|X|X|QX002L6W9KVTQO|X|HOMBRE|X|14800|X|X|X|X|X|X|X|X|CARDENAS|X|X|X|X|FINAL</v>
      </c>
    </row>
    <row r="126" spans="1:82" x14ac:dyDescent="0.25">
      <c r="A126" t="s">
        <v>827</v>
      </c>
      <c r="B126" t="s">
        <v>828</v>
      </c>
      <c r="C126">
        <v>3</v>
      </c>
      <c r="D126" t="s">
        <v>144</v>
      </c>
      <c r="E126" t="s">
        <v>150</v>
      </c>
      <c r="F126" t="s">
        <v>0</v>
      </c>
      <c r="G126" t="s">
        <v>0</v>
      </c>
      <c r="H126" t="s">
        <v>180</v>
      </c>
      <c r="I126">
        <v>12900</v>
      </c>
      <c r="J126">
        <v>0</v>
      </c>
      <c r="K126">
        <v>11350</v>
      </c>
      <c r="L126">
        <v>50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817</v>
      </c>
      <c r="AC126" t="s">
        <v>466</v>
      </c>
      <c r="AD126" t="s">
        <v>829</v>
      </c>
      <c r="AE126" t="s">
        <v>4</v>
      </c>
      <c r="AF126" t="s">
        <v>1</v>
      </c>
      <c r="AG126" t="s">
        <v>1</v>
      </c>
      <c r="AH126" t="s">
        <v>243</v>
      </c>
      <c r="AI126" t="s">
        <v>243</v>
      </c>
      <c r="AJ126" t="s">
        <v>3</v>
      </c>
      <c r="AK126">
        <v>9371648962</v>
      </c>
      <c r="AL126" t="s">
        <v>3</v>
      </c>
      <c r="AM126" t="s">
        <v>3</v>
      </c>
      <c r="AN126" t="s">
        <v>3</v>
      </c>
      <c r="AO126" t="s">
        <v>243</v>
      </c>
      <c r="AP126" t="s">
        <v>3</v>
      </c>
      <c r="AQ126" t="s">
        <v>2</v>
      </c>
      <c r="AR126" t="s">
        <v>1</v>
      </c>
      <c r="AS126" t="s">
        <v>1</v>
      </c>
      <c r="AT126" t="s">
        <v>1</v>
      </c>
      <c r="AU126" t="s">
        <v>1</v>
      </c>
      <c r="AV126" t="s">
        <v>1</v>
      </c>
      <c r="AW126" t="s">
        <v>11</v>
      </c>
      <c r="AX126">
        <f>Tabla1[[#This Row],[precio del paquete]]-Tabla1[[#This Row],[Saldo_Deudor]]</f>
        <v>1550</v>
      </c>
      <c r="AY126">
        <v>11350</v>
      </c>
      <c r="AZ126" t="s">
        <v>1</v>
      </c>
      <c r="BA126" t="s">
        <v>1</v>
      </c>
      <c r="BB126" t="s">
        <v>1</v>
      </c>
      <c r="BC126" t="s">
        <v>262</v>
      </c>
      <c r="BD126" t="s">
        <v>259</v>
      </c>
      <c r="BE126" t="s">
        <v>1</v>
      </c>
      <c r="BF126" t="s">
        <v>1</v>
      </c>
      <c r="BG126" t="s">
        <v>1</v>
      </c>
      <c r="BH126" t="s">
        <v>1</v>
      </c>
      <c r="BI126" t="s">
        <v>1</v>
      </c>
      <c r="BJ126" t="s">
        <v>272</v>
      </c>
      <c r="BK126" t="s">
        <v>1</v>
      </c>
      <c r="BL126" t="s">
        <v>132</v>
      </c>
      <c r="BM126" t="s">
        <v>1</v>
      </c>
      <c r="BN126">
        <v>12900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0</v>
      </c>
      <c r="BX126" t="s">
        <v>1</v>
      </c>
      <c r="BY126" t="s">
        <v>1</v>
      </c>
      <c r="BZ126" t="s">
        <v>1</v>
      </c>
      <c r="CA126" t="s">
        <v>1</v>
      </c>
      <c r="CB126" t="s">
        <v>277</v>
      </c>
      <c r="CD126" t="str" cm="1">
        <f t="array" aca="1" ref="CD126" ca="1">eConcatenar(A126:CB126,"|")</f>
        <v>HWxgLzIcncPy0RXO|CAR2021-1870|3|IMPERIAL DE LUJO|TABASCO|CARDENAS|CARDENAS|2021-05-10|12900|0|11350|50|0|0|0|0|0|0|0|0|0|0|0|0|0|0|0|BROCA|ESCALANTE|ALMA NELLY|SOLTERO|X|X|COLONIA NUEVO PROGRESO|COLONIA NUEVO PROGRESO|x|9371648962|x|x|x|COLONIA NUEVO PROGRESO|x|LUNES|X|X|X|X|X|DOMICILIO |1550|11350|X|X|X|2022-02-24|2022-03-03|X|X|X|X|X|QX002L6W9KVTQO|X|HOMBRE|X|12900|X|X|X|X|X|X|X|X|CARDENAS|X|X|X|X|FINAL</v>
      </c>
    </row>
    <row r="127" spans="1:82" x14ac:dyDescent="0.25">
      <c r="A127" t="s">
        <v>830</v>
      </c>
      <c r="B127" t="s">
        <v>831</v>
      </c>
      <c r="C127">
        <v>3</v>
      </c>
      <c r="D127" t="s">
        <v>145</v>
      </c>
      <c r="E127" t="s">
        <v>150</v>
      </c>
      <c r="F127" t="s">
        <v>0</v>
      </c>
      <c r="G127" t="s">
        <v>0</v>
      </c>
      <c r="H127" t="s">
        <v>1113</v>
      </c>
      <c r="I127">
        <v>14800</v>
      </c>
      <c r="J127">
        <v>0</v>
      </c>
      <c r="K127">
        <v>200</v>
      </c>
      <c r="L127">
        <v>50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203</v>
      </c>
      <c r="AC127" t="s">
        <v>758</v>
      </c>
      <c r="AD127" t="s">
        <v>832</v>
      </c>
      <c r="AE127" t="s">
        <v>4</v>
      </c>
      <c r="AF127" t="s">
        <v>1</v>
      </c>
      <c r="AG127" t="s">
        <v>1</v>
      </c>
      <c r="AH127" t="s">
        <v>243</v>
      </c>
      <c r="AI127" t="s">
        <v>243</v>
      </c>
      <c r="AJ127" t="s">
        <v>3</v>
      </c>
      <c r="AK127">
        <v>9371422831</v>
      </c>
      <c r="AL127" t="s">
        <v>3</v>
      </c>
      <c r="AM127" t="s">
        <v>3</v>
      </c>
      <c r="AN127" t="s">
        <v>3</v>
      </c>
      <c r="AO127" t="s">
        <v>243</v>
      </c>
      <c r="AP127" t="s">
        <v>3</v>
      </c>
      <c r="AQ127" t="s">
        <v>2</v>
      </c>
      <c r="AR127" t="s">
        <v>1</v>
      </c>
      <c r="AS127" t="s">
        <v>1</v>
      </c>
      <c r="AT127" t="s">
        <v>1</v>
      </c>
      <c r="AU127" t="s">
        <v>1</v>
      </c>
      <c r="AV127" t="s">
        <v>1</v>
      </c>
      <c r="AW127" t="s">
        <v>11</v>
      </c>
      <c r="AX127">
        <f>Tabla1[[#This Row],[precio del paquete]]-Tabla1[[#This Row],[Saldo_Deudor]]</f>
        <v>1900</v>
      </c>
      <c r="AY127">
        <v>12900</v>
      </c>
      <c r="AZ127" t="s">
        <v>1</v>
      </c>
      <c r="BA127" t="s">
        <v>1</v>
      </c>
      <c r="BB127" t="s">
        <v>1</v>
      </c>
      <c r="BC127" t="s">
        <v>262</v>
      </c>
      <c r="BD127" t="s">
        <v>259</v>
      </c>
      <c r="BE127" t="s">
        <v>1</v>
      </c>
      <c r="BF127" t="s">
        <v>1</v>
      </c>
      <c r="BG127" t="s">
        <v>1</v>
      </c>
      <c r="BH127" t="s">
        <v>1</v>
      </c>
      <c r="BI127" t="s">
        <v>1</v>
      </c>
      <c r="BJ127" t="s">
        <v>272</v>
      </c>
      <c r="BK127" t="s">
        <v>1</v>
      </c>
      <c r="BL127" t="s">
        <v>132</v>
      </c>
      <c r="BM127" t="s">
        <v>1</v>
      </c>
      <c r="BN127">
        <v>14800</v>
      </c>
      <c r="BO127" t="s">
        <v>1</v>
      </c>
      <c r="BP127" t="s">
        <v>1</v>
      </c>
      <c r="BQ127" t="s">
        <v>1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0</v>
      </c>
      <c r="BX127" t="s">
        <v>1</v>
      </c>
      <c r="BY127" t="s">
        <v>1</v>
      </c>
      <c r="BZ127" t="s">
        <v>1</v>
      </c>
      <c r="CA127" t="s">
        <v>1</v>
      </c>
      <c r="CB127" t="s">
        <v>277</v>
      </c>
      <c r="CD127" t="str" cm="1">
        <f t="array" aca="1" ref="CD127" ca="1">eConcatenar(A127:CB127,"|")</f>
        <v>CFsnGNmxidDjqklA|CAR2021-6450|3|MEMORIAL|TABASCO|CARDENAS|CARDENAS|2021-10-27|14800|0|200|50|0|0|0|0|0|0|0|0|0|0|0|0|0|0|0|GARCIA|BAUTISTA|ROSA DEL CARMEN|SOLTERO|X|X|COLONIA NUEVO PROGRESO|COLONIA NUEVO PROGRESO|x|9371422831|x|x|x|COLONIA NUEVO PROGRESO|x|LUNES|X|X|X|X|X|DOMICILIO |1900|12900|X|X|X|2022-02-24|2022-03-03|X|X|X|X|X|QX002L6W9KVTQO|X|HOMBRE|X|14800|X|X|X|X|X|X|X|X|CARDENAS|X|X|X|X|FINAL</v>
      </c>
    </row>
    <row r="128" spans="1:82" x14ac:dyDescent="0.25">
      <c r="A128" t="s">
        <v>833</v>
      </c>
      <c r="B128" t="s">
        <v>834</v>
      </c>
      <c r="C128">
        <v>3</v>
      </c>
      <c r="D128" t="s">
        <v>147</v>
      </c>
      <c r="E128" t="s">
        <v>150</v>
      </c>
      <c r="F128" t="s">
        <v>0</v>
      </c>
      <c r="G128" t="s">
        <v>0</v>
      </c>
      <c r="H128" t="s">
        <v>1114</v>
      </c>
      <c r="I128">
        <v>12900</v>
      </c>
      <c r="J128">
        <v>0</v>
      </c>
      <c r="K128">
        <v>100</v>
      </c>
      <c r="L128">
        <v>50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214</v>
      </c>
      <c r="AC128" t="s">
        <v>835</v>
      </c>
      <c r="AD128" t="s">
        <v>197</v>
      </c>
      <c r="AE128" t="s">
        <v>4</v>
      </c>
      <c r="AF128" t="s">
        <v>1</v>
      </c>
      <c r="AG128" t="s">
        <v>1</v>
      </c>
      <c r="AH128" t="s">
        <v>836</v>
      </c>
      <c r="AI128" t="s">
        <v>836</v>
      </c>
      <c r="AJ128" t="s">
        <v>3</v>
      </c>
      <c r="AK128">
        <v>9371671766</v>
      </c>
      <c r="AL128" t="s">
        <v>3</v>
      </c>
      <c r="AM128" t="s">
        <v>3</v>
      </c>
      <c r="AN128" t="s">
        <v>3</v>
      </c>
      <c r="AO128" t="s">
        <v>836</v>
      </c>
      <c r="AP128" t="s">
        <v>3</v>
      </c>
      <c r="AQ128" t="s">
        <v>2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11</v>
      </c>
      <c r="AX128">
        <f>Tabla1[[#This Row],[precio del paquete]]-Tabla1[[#This Row],[Saldo_Deudor]]</f>
        <v>5300</v>
      </c>
      <c r="AY128">
        <v>7600</v>
      </c>
      <c r="AZ128" t="s">
        <v>1</v>
      </c>
      <c r="BA128" t="s">
        <v>1</v>
      </c>
      <c r="BB128" t="s">
        <v>1</v>
      </c>
      <c r="BC128" t="s">
        <v>262</v>
      </c>
      <c r="BD128" t="s">
        <v>259</v>
      </c>
      <c r="BE128" t="s">
        <v>1</v>
      </c>
      <c r="BF128" t="s">
        <v>1</v>
      </c>
      <c r="BG128" t="s">
        <v>1</v>
      </c>
      <c r="BH128" t="s">
        <v>1</v>
      </c>
      <c r="BI128" t="s">
        <v>1</v>
      </c>
      <c r="BJ128" t="s">
        <v>272</v>
      </c>
      <c r="BK128" t="s">
        <v>1</v>
      </c>
      <c r="BL128" t="s">
        <v>132</v>
      </c>
      <c r="BM128" t="s">
        <v>1</v>
      </c>
      <c r="BN128">
        <v>12900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277</v>
      </c>
      <c r="CD128" t="str" cm="1">
        <f t="array" aca="1" ref="CD128" ca="1">eConcatenar(A128:CB128,"|")</f>
        <v>Hsb3EhT06VPtzfRH|CAR2020-3017|3|ECONOLINE|TABASCO|CARDENAS|CARDENAS|2020-09-08|12900|0|100|50|0|0|0|0|0|0|0|0|0|0|0|0|0|0|0|PEREZ|XICONTENCATL|ELIZABETH|SOLTERO|X|X|COLONIA LAZARO CARDENAS|COLONIA LAZARO CARDENAS|x|9371671766|x|x|x|COLONIA LAZARO CARDENAS|x|LUNES|X|X|X|X|X|DOMICILIO |5300|7600|X|X|X|2022-02-24|2022-03-03|X|X|X|X|X|QX002L6W9KVTQO|X|HOMBRE|X|12900|X|X|X|X|X|X|X|X|CARDENAS|X|X|X|X|FINAL</v>
      </c>
    </row>
    <row r="129" spans="1:82" x14ac:dyDescent="0.25">
      <c r="A129" t="s">
        <v>837</v>
      </c>
      <c r="B129" t="s">
        <v>838</v>
      </c>
      <c r="C129">
        <v>3</v>
      </c>
      <c r="D129" t="s">
        <v>145</v>
      </c>
      <c r="E129" t="s">
        <v>150</v>
      </c>
      <c r="F129" t="s">
        <v>0</v>
      </c>
      <c r="G129" t="s">
        <v>0</v>
      </c>
      <c r="H129" t="s">
        <v>181</v>
      </c>
      <c r="I129">
        <v>14800</v>
      </c>
      <c r="J129">
        <v>0</v>
      </c>
      <c r="K129">
        <v>200</v>
      </c>
      <c r="L129">
        <v>50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839</v>
      </c>
      <c r="AC129" t="s">
        <v>215</v>
      </c>
      <c r="AD129" t="s">
        <v>840</v>
      </c>
      <c r="AE129" t="s">
        <v>4</v>
      </c>
      <c r="AF129" t="s">
        <v>1</v>
      </c>
      <c r="AG129" t="s">
        <v>1</v>
      </c>
      <c r="AH129" t="s">
        <v>841</v>
      </c>
      <c r="AI129" t="s">
        <v>841</v>
      </c>
      <c r="AJ129" t="s">
        <v>3</v>
      </c>
      <c r="AK129">
        <v>9371114790</v>
      </c>
      <c r="AL129" t="s">
        <v>3</v>
      </c>
      <c r="AM129" t="s">
        <v>3</v>
      </c>
      <c r="AN129" t="s">
        <v>3</v>
      </c>
      <c r="AO129" t="s">
        <v>841</v>
      </c>
      <c r="AP129" t="s">
        <v>3</v>
      </c>
      <c r="AQ129" t="s">
        <v>2</v>
      </c>
      <c r="AR129" t="s">
        <v>1</v>
      </c>
      <c r="AS129" t="s">
        <v>1</v>
      </c>
      <c r="AT129" t="s">
        <v>1</v>
      </c>
      <c r="AU129" t="s">
        <v>1</v>
      </c>
      <c r="AV129" t="s">
        <v>1</v>
      </c>
      <c r="AW129" t="s">
        <v>11</v>
      </c>
      <c r="AX129">
        <f>Tabla1[[#This Row],[precio del paquete]]-Tabla1[[#This Row],[Saldo_Deudor]]</f>
        <v>1900</v>
      </c>
      <c r="AY129">
        <v>12900</v>
      </c>
      <c r="AZ129" t="s">
        <v>1</v>
      </c>
      <c r="BA129" t="s">
        <v>1</v>
      </c>
      <c r="BB129" t="s">
        <v>1</v>
      </c>
      <c r="BC129" t="s">
        <v>262</v>
      </c>
      <c r="BD129" t="s">
        <v>259</v>
      </c>
      <c r="BE129" t="s">
        <v>1</v>
      </c>
      <c r="BF129" t="s">
        <v>1</v>
      </c>
      <c r="BG129" t="s">
        <v>1</v>
      </c>
      <c r="BH129" t="s">
        <v>1</v>
      </c>
      <c r="BI129" t="s">
        <v>1</v>
      </c>
      <c r="BJ129" t="s">
        <v>272</v>
      </c>
      <c r="BK129" t="s">
        <v>1</v>
      </c>
      <c r="BL129" t="s">
        <v>132</v>
      </c>
      <c r="BM129" t="s">
        <v>1</v>
      </c>
      <c r="BN129">
        <v>14800</v>
      </c>
      <c r="BO129" t="s">
        <v>1</v>
      </c>
      <c r="BP129" t="s">
        <v>1</v>
      </c>
      <c r="BQ129" t="s">
        <v>1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0</v>
      </c>
      <c r="BX129" t="s">
        <v>1</v>
      </c>
      <c r="BY129" t="s">
        <v>1</v>
      </c>
      <c r="BZ129" t="s">
        <v>1</v>
      </c>
      <c r="CA129" t="s">
        <v>1</v>
      </c>
      <c r="CB129" t="s">
        <v>277</v>
      </c>
      <c r="CD129" t="str" cm="1">
        <f t="array" aca="1" ref="CD129" ca="1">eConcatenar(A129:CB129,"|")</f>
        <v>otGbm8crfrfyslnQ|CAR2021-6427|3|MEMORIAL|TABASCO|CARDENAS|CARDENAS|2021-10-25|14800|0|200|50|0|0|0|0|0|0|0|0|0|0|0|0|0|0|0|YASMIN|SANCHEZ|NAYVI MARIA|SOLTERO|X|X|COLONIA MELCHOR OCAMPO|COLONIA MELCHOR OCAMPO|x|9371114790|x|x|x|COLONIA MELCHOR OCAMPO|x|LUNES|X|X|X|X|X|DOMICILIO |1900|12900|X|X|X|2022-02-24|2022-03-03|X|X|X|X|X|QX002L6W9KVTQO|X|HOMBRE|X|14800|X|X|X|X|X|X|X|X|CARDENAS|X|X|X|X|FINAL</v>
      </c>
    </row>
    <row r="130" spans="1:82" x14ac:dyDescent="0.25">
      <c r="A130" t="s">
        <v>842</v>
      </c>
      <c r="B130" t="s">
        <v>843</v>
      </c>
      <c r="C130">
        <v>3</v>
      </c>
      <c r="D130" t="s">
        <v>145</v>
      </c>
      <c r="E130" t="s">
        <v>150</v>
      </c>
      <c r="F130" t="s">
        <v>0</v>
      </c>
      <c r="G130" t="s">
        <v>0</v>
      </c>
      <c r="H130" t="s">
        <v>181</v>
      </c>
      <c r="I130">
        <v>14800</v>
      </c>
      <c r="J130">
        <v>0</v>
      </c>
      <c r="K130">
        <v>200</v>
      </c>
      <c r="L130">
        <v>50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844</v>
      </c>
      <c r="AC130" t="s">
        <v>845</v>
      </c>
      <c r="AD130" t="s">
        <v>846</v>
      </c>
      <c r="AE130" t="s">
        <v>4</v>
      </c>
      <c r="AF130" t="s">
        <v>1</v>
      </c>
      <c r="AG130" t="s">
        <v>1</v>
      </c>
      <c r="AH130" t="s">
        <v>841</v>
      </c>
      <c r="AI130" t="s">
        <v>841</v>
      </c>
      <c r="AJ130" t="s">
        <v>3</v>
      </c>
      <c r="AK130">
        <v>9371294605</v>
      </c>
      <c r="AL130" t="s">
        <v>3</v>
      </c>
      <c r="AM130" t="s">
        <v>3</v>
      </c>
      <c r="AN130" t="s">
        <v>3</v>
      </c>
      <c r="AO130" t="s">
        <v>841</v>
      </c>
      <c r="AP130" t="s">
        <v>3</v>
      </c>
      <c r="AQ130" t="s">
        <v>2</v>
      </c>
      <c r="AR130" t="s">
        <v>1</v>
      </c>
      <c r="AS130" t="s">
        <v>1</v>
      </c>
      <c r="AT130" t="s">
        <v>1</v>
      </c>
      <c r="AU130" t="s">
        <v>1</v>
      </c>
      <c r="AV130" t="s">
        <v>1</v>
      </c>
      <c r="AW130" t="s">
        <v>11</v>
      </c>
      <c r="AX130">
        <f>Tabla1[[#This Row],[precio del paquete]]-Tabla1[[#This Row],[Saldo_Deudor]]</f>
        <v>1800</v>
      </c>
      <c r="AY130">
        <v>13000</v>
      </c>
      <c r="AZ130" t="s">
        <v>1</v>
      </c>
      <c r="BA130" t="s">
        <v>1</v>
      </c>
      <c r="BB130" t="s">
        <v>1</v>
      </c>
      <c r="BC130" t="s">
        <v>262</v>
      </c>
      <c r="BD130" t="s">
        <v>259</v>
      </c>
      <c r="BE130" t="s">
        <v>1</v>
      </c>
      <c r="BF130" t="s">
        <v>1</v>
      </c>
      <c r="BG130" t="s">
        <v>1</v>
      </c>
      <c r="BH130" t="s">
        <v>1</v>
      </c>
      <c r="BI130" t="s">
        <v>1</v>
      </c>
      <c r="BJ130" t="s">
        <v>272</v>
      </c>
      <c r="BK130" t="s">
        <v>1</v>
      </c>
      <c r="BL130" t="s">
        <v>132</v>
      </c>
      <c r="BM130" t="s">
        <v>1</v>
      </c>
      <c r="BN130">
        <v>14800</v>
      </c>
      <c r="BO130" t="s">
        <v>1</v>
      </c>
      <c r="BP130" t="s">
        <v>1</v>
      </c>
      <c r="BQ130" t="s">
        <v>1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0</v>
      </c>
      <c r="BX130" t="s">
        <v>1</v>
      </c>
      <c r="BY130" t="s">
        <v>1</v>
      </c>
      <c r="BZ130" t="s">
        <v>1</v>
      </c>
      <c r="CA130" t="s">
        <v>1</v>
      </c>
      <c r="CB130" t="s">
        <v>277</v>
      </c>
      <c r="CD130" t="str" cm="1">
        <f t="array" aca="1" ref="CD130" ca="1">eConcatenar(A130:CB130,"|")</f>
        <v>ovgxLp9MD7jqEH5o|CAR2021-6430|3|MEMORIAL|TABASCO|CARDENAS|CARDENAS|2021-10-25|14800|0|200|50|0|0|0|0|0|0|0|0|0|0|0|0|0|0|0|ACEVEDO|DOMINGEZ|MARIA GABRIELA|SOLTERO|X|X|COLONIA MELCHOR OCAMPO|COLONIA MELCHOR OCAMPO|x|9371294605|x|x|x|COLONIA MELCHOR OCAMPO|x|LUNES|X|X|X|X|X|DOMICILIO |1800|13000|X|X|X|2022-02-24|2022-03-03|X|X|X|X|X|QX002L6W9KVTQO|X|HOMBRE|X|14800|X|X|X|X|X|X|X|X|CARDENAS|X|X|X|X|FINAL</v>
      </c>
    </row>
    <row r="131" spans="1:82" x14ac:dyDescent="0.25">
      <c r="A131" t="s">
        <v>847</v>
      </c>
      <c r="B131" t="s">
        <v>378</v>
      </c>
      <c r="C131">
        <v>3</v>
      </c>
      <c r="D131" t="s">
        <v>145</v>
      </c>
      <c r="E131" t="s">
        <v>150</v>
      </c>
      <c r="F131" t="s">
        <v>0</v>
      </c>
      <c r="G131" t="s">
        <v>0</v>
      </c>
      <c r="H131" t="s">
        <v>161</v>
      </c>
      <c r="I131">
        <v>14800</v>
      </c>
      <c r="J131">
        <v>0</v>
      </c>
      <c r="K131">
        <v>100</v>
      </c>
      <c r="L131">
        <v>50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215</v>
      </c>
      <c r="AC131" t="s">
        <v>216</v>
      </c>
      <c r="AD131" t="s">
        <v>380</v>
      </c>
      <c r="AE131" t="s">
        <v>4</v>
      </c>
      <c r="AF131" t="s">
        <v>1</v>
      </c>
      <c r="AG131" t="s">
        <v>1</v>
      </c>
      <c r="AH131" t="s">
        <v>381</v>
      </c>
      <c r="AI131" t="s">
        <v>382</v>
      </c>
      <c r="AJ131" t="s">
        <v>3</v>
      </c>
      <c r="AK131">
        <v>9371190495</v>
      </c>
      <c r="AL131" t="s">
        <v>3</v>
      </c>
      <c r="AM131" t="s">
        <v>3</v>
      </c>
      <c r="AN131" t="s">
        <v>3</v>
      </c>
      <c r="AO131" t="s">
        <v>381</v>
      </c>
      <c r="AP131" t="s">
        <v>3</v>
      </c>
      <c r="AQ131" t="s">
        <v>2</v>
      </c>
      <c r="AR131" t="s">
        <v>1</v>
      </c>
      <c r="AS131" t="s">
        <v>1</v>
      </c>
      <c r="AT131" t="s">
        <v>1</v>
      </c>
      <c r="AU131" t="s">
        <v>1</v>
      </c>
      <c r="AV131" t="s">
        <v>1</v>
      </c>
      <c r="AW131" t="s">
        <v>11</v>
      </c>
      <c r="AX131">
        <f>Tabla1[[#This Row],[precio del paquete]]-Tabla1[[#This Row],[Saldo_Deudor]]</f>
        <v>2100</v>
      </c>
      <c r="AY131">
        <v>12700</v>
      </c>
      <c r="AZ131" t="s">
        <v>1</v>
      </c>
      <c r="BA131" t="s">
        <v>1</v>
      </c>
      <c r="BB131" t="s">
        <v>1</v>
      </c>
      <c r="BC131" t="s">
        <v>256</v>
      </c>
      <c r="BD131" t="s">
        <v>264</v>
      </c>
      <c r="BE131" t="s">
        <v>1</v>
      </c>
      <c r="BF131" t="s">
        <v>1</v>
      </c>
      <c r="BG131" t="s">
        <v>1</v>
      </c>
      <c r="BH131" t="s">
        <v>1</v>
      </c>
      <c r="BI131" t="s">
        <v>1</v>
      </c>
      <c r="BJ131" t="s">
        <v>272</v>
      </c>
      <c r="BK131" t="s">
        <v>1</v>
      </c>
      <c r="BL131" t="s">
        <v>132</v>
      </c>
      <c r="BM131" t="s">
        <v>1</v>
      </c>
      <c r="BN131">
        <v>14800</v>
      </c>
      <c r="BO131" t="s">
        <v>1</v>
      </c>
      <c r="BP131" t="s">
        <v>1</v>
      </c>
      <c r="BQ131" t="s">
        <v>1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0</v>
      </c>
      <c r="BX131" t="s">
        <v>1</v>
      </c>
      <c r="BY131" t="s">
        <v>1</v>
      </c>
      <c r="BZ131" t="s">
        <v>1</v>
      </c>
      <c r="CA131" t="s">
        <v>1</v>
      </c>
      <c r="CB131" t="s">
        <v>277</v>
      </c>
      <c r="CD131" t="str" cm="1">
        <f t="array" aca="1" ref="CD131" ca="1">eConcatenar(A131:CB131,"|")</f>
        <v>vj3Eh29sfASoYr1C|CAR2021-7269|3|MEMORIAL|TABASCO|CARDENAS|CARDENAS|2021-11-29|14800|0|100|50|0|0|0|0|0|0|0|0|0|0|0|0|0|0|0|SANCHEZ|CHABLE|DALILA|SOLTERO|X|X|CALLE 14 MANZANA 42 LOTE 7|FRACCIONAMIENTO CAÑALES TERCERA ETAPA|x|9371190495|x|x|x|CALLE 14 MANZANA 42 LOTE 7|x|LUNES|X|X|X|X|X|DOMICILIO |2100|12700|X|X|X|2022-03-02|2022-03-09|X|X|X|X|X|QX002L6W9KVTQO|X|HOMBRE|X|14800|X|X|X|X|X|X|X|X|CARDENAS|X|X|X|X|FINAL</v>
      </c>
    </row>
    <row r="132" spans="1:82" x14ac:dyDescent="0.25">
      <c r="A132" t="s">
        <v>848</v>
      </c>
      <c r="B132" t="s">
        <v>384</v>
      </c>
      <c r="C132">
        <v>3</v>
      </c>
      <c r="D132" t="s">
        <v>849</v>
      </c>
      <c r="E132" t="s">
        <v>150</v>
      </c>
      <c r="F132" t="s">
        <v>0</v>
      </c>
      <c r="G132" t="s">
        <v>0</v>
      </c>
      <c r="H132" t="s">
        <v>161</v>
      </c>
      <c r="I132">
        <v>35000</v>
      </c>
      <c r="J132">
        <v>0</v>
      </c>
      <c r="K132">
        <v>200</v>
      </c>
      <c r="L132">
        <v>50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8</v>
      </c>
      <c r="AC132" t="s">
        <v>8</v>
      </c>
      <c r="AD132" t="s">
        <v>385</v>
      </c>
      <c r="AE132" t="s">
        <v>4</v>
      </c>
      <c r="AF132" t="s">
        <v>1</v>
      </c>
      <c r="AG132" t="s">
        <v>1</v>
      </c>
      <c r="AH132" t="s">
        <v>386</v>
      </c>
      <c r="AI132" t="s">
        <v>382</v>
      </c>
      <c r="AJ132" t="s">
        <v>3</v>
      </c>
      <c r="AK132">
        <v>9371360251</v>
      </c>
      <c r="AL132" t="s">
        <v>3</v>
      </c>
      <c r="AM132" t="s">
        <v>3</v>
      </c>
      <c r="AN132" t="s">
        <v>3</v>
      </c>
      <c r="AO132" t="s">
        <v>386</v>
      </c>
      <c r="AP132" t="s">
        <v>3</v>
      </c>
      <c r="AQ132" t="s">
        <v>2</v>
      </c>
      <c r="AR132" t="s">
        <v>1</v>
      </c>
      <c r="AS132" t="s">
        <v>1</v>
      </c>
      <c r="AT132" t="s">
        <v>1</v>
      </c>
      <c r="AU132" t="s">
        <v>1</v>
      </c>
      <c r="AV132" t="s">
        <v>1</v>
      </c>
      <c r="AW132" t="s">
        <v>11</v>
      </c>
      <c r="AX132">
        <f>Tabla1[[#This Row],[precio del paquete]]-Tabla1[[#This Row],[Saldo_Deudor]]</f>
        <v>2600</v>
      </c>
      <c r="AY132">
        <v>32400</v>
      </c>
      <c r="AZ132" t="s">
        <v>1</v>
      </c>
      <c r="BA132" t="s">
        <v>1</v>
      </c>
      <c r="BB132" t="s">
        <v>1</v>
      </c>
      <c r="BC132" t="s">
        <v>256</v>
      </c>
      <c r="BD132" t="s">
        <v>264</v>
      </c>
      <c r="BE132" t="s">
        <v>1</v>
      </c>
      <c r="BF132" t="s">
        <v>1</v>
      </c>
      <c r="BG132" t="s">
        <v>1</v>
      </c>
      <c r="BH132" t="s">
        <v>1</v>
      </c>
      <c r="BI132" t="s">
        <v>1</v>
      </c>
      <c r="BJ132" t="s">
        <v>272</v>
      </c>
      <c r="BK132" t="s">
        <v>1</v>
      </c>
      <c r="BL132" t="s">
        <v>132</v>
      </c>
      <c r="BM132" t="s">
        <v>1</v>
      </c>
      <c r="BN132">
        <v>35000</v>
      </c>
      <c r="BO132" t="s">
        <v>1</v>
      </c>
      <c r="BP132" t="s">
        <v>1</v>
      </c>
      <c r="BQ132" t="s">
        <v>1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0</v>
      </c>
      <c r="BX132" t="s">
        <v>1</v>
      </c>
      <c r="BY132" t="s">
        <v>1</v>
      </c>
      <c r="BZ132" t="s">
        <v>1</v>
      </c>
      <c r="CA132" t="s">
        <v>1</v>
      </c>
      <c r="CB132" t="s">
        <v>277</v>
      </c>
      <c r="CD132" t="str" cm="1">
        <f t="array" aca="1" ref="CD132" ca="1">eConcatenar(A132:CB132,"|")</f>
        <v>Q2BdwhY48oGV4D8f|CAR2021-7265|3|DELUXE|TABASCO|CARDENAS|CARDENAS|2021-11-29|35000|0|200|50|0|0|0|0|0|0|0|0|0|0|0|0|0|0|0|GOMEZ|GOMEZ|OBET|SOLTERO|X|X|CALLE 11 LADO SUR SIN NUMERO|FRACCIONAMIENTO CAÑALES TERCERA ETAPA|x|9371360251|x|x|x|CALLE 11 LADO SUR SIN NUMERO|x|LUNES|X|X|X|X|X|DOMICILIO |2600|32400|X|X|X|2022-03-02|2022-03-09|X|X|X|X|X|QX002L6W9KVTQO|X|HOMBRE|X|35000|X|X|X|X|X|X|X|X|CARDENAS|X|X|X|X|FINAL</v>
      </c>
    </row>
    <row r="133" spans="1:82" x14ac:dyDescent="0.25">
      <c r="A133" t="s">
        <v>850</v>
      </c>
      <c r="B133" t="s">
        <v>388</v>
      </c>
      <c r="C133">
        <v>3</v>
      </c>
      <c r="D133" t="s">
        <v>147</v>
      </c>
      <c r="E133" t="s">
        <v>150</v>
      </c>
      <c r="F133" t="s">
        <v>0</v>
      </c>
      <c r="G133" t="s">
        <v>0</v>
      </c>
      <c r="H133" t="s">
        <v>1048</v>
      </c>
      <c r="I133">
        <v>12900</v>
      </c>
      <c r="J133">
        <v>0</v>
      </c>
      <c r="K133">
        <v>50</v>
      </c>
      <c r="L133">
        <v>50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389</v>
      </c>
      <c r="AC133" t="s">
        <v>390</v>
      </c>
      <c r="AD133" t="s">
        <v>188</v>
      </c>
      <c r="AE133" t="s">
        <v>4</v>
      </c>
      <c r="AF133" t="s">
        <v>1</v>
      </c>
      <c r="AG133" t="s">
        <v>1</v>
      </c>
      <c r="AH133" t="s">
        <v>391</v>
      </c>
      <c r="AI133" t="s">
        <v>392</v>
      </c>
      <c r="AJ133" t="s">
        <v>3</v>
      </c>
      <c r="AK133">
        <v>9371295906</v>
      </c>
      <c r="AL133" t="s">
        <v>3</v>
      </c>
      <c r="AM133" t="s">
        <v>3</v>
      </c>
      <c r="AN133" t="s">
        <v>3</v>
      </c>
      <c r="AO133" t="s">
        <v>391</v>
      </c>
      <c r="AP133" t="s">
        <v>3</v>
      </c>
      <c r="AQ133" t="s">
        <v>2</v>
      </c>
      <c r="AR133" t="s">
        <v>1</v>
      </c>
      <c r="AS133" t="s">
        <v>1</v>
      </c>
      <c r="AT133" t="s">
        <v>1</v>
      </c>
      <c r="AU133" t="s">
        <v>1</v>
      </c>
      <c r="AV133" t="s">
        <v>1</v>
      </c>
      <c r="AW133" t="s">
        <v>11</v>
      </c>
      <c r="AX133">
        <f>Tabla1[[#This Row],[precio del paquete]]-Tabla1[[#This Row],[Saldo_Deudor]]</f>
        <v>8350</v>
      </c>
      <c r="AY133">
        <v>4550</v>
      </c>
      <c r="AZ133" t="s">
        <v>1</v>
      </c>
      <c r="BA133" t="s">
        <v>1</v>
      </c>
      <c r="BB133" t="s">
        <v>1</v>
      </c>
      <c r="BC133" t="s">
        <v>173</v>
      </c>
      <c r="BD133" t="s">
        <v>159</v>
      </c>
      <c r="BE133" t="s">
        <v>1</v>
      </c>
      <c r="BF133" t="s">
        <v>1</v>
      </c>
      <c r="BG133" t="s">
        <v>1</v>
      </c>
      <c r="BH133" t="s">
        <v>1</v>
      </c>
      <c r="BI133" t="s">
        <v>1</v>
      </c>
      <c r="BJ133" t="s">
        <v>272</v>
      </c>
      <c r="BK133" t="s">
        <v>1</v>
      </c>
      <c r="BL133" t="s">
        <v>132</v>
      </c>
      <c r="BM133" t="s">
        <v>1</v>
      </c>
      <c r="BN133">
        <v>12900</v>
      </c>
      <c r="BO133" t="s">
        <v>1</v>
      </c>
      <c r="BP133" t="s">
        <v>1</v>
      </c>
      <c r="BQ133" t="s">
        <v>1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0</v>
      </c>
      <c r="BX133" t="s">
        <v>1</v>
      </c>
      <c r="BY133" t="s">
        <v>1</v>
      </c>
      <c r="BZ133" t="s">
        <v>1</v>
      </c>
      <c r="CA133" t="s">
        <v>1</v>
      </c>
      <c r="CB133" t="s">
        <v>277</v>
      </c>
      <c r="CD133" t="str" cm="1">
        <f t="array" aca="1" ref="CD133" ca="1">eConcatenar(A133:CB133,"|")</f>
        <v>ix33mpucxXBNAUUH| CAR2018-1298|3|ECONOLINE|TABASCO|CARDENAS|CARDENAS|2019-07-08|12900|0|50|50|0|0|0|0|0|0|0|0|0|0|0|0|0|0|0|TEJEDA|VELAZQUEZ|RAUL|SOLTERO|X|X|CALLE 5 MANZANA 4 LOTE 6|FRACCIONAMIENTO CAÑALES SEGUNDA ETAPA|x|9371295906|x|x|x|CALLE 5 MANZANA 4 LOTE 6|x|LUNES|X|X|X|X|X|DOMICILIO |8350|4550|X|X|X|2022-02-03|2022-02-10|X|X|X|X|X|QX002L6W9KVTQO|X|HOMBRE|X|12900|X|X|X|X|X|X|X|X|CARDENAS|X|X|X|X|FINAL</v>
      </c>
    </row>
    <row r="134" spans="1:82" x14ac:dyDescent="0.25">
      <c r="A134" t="s">
        <v>851</v>
      </c>
      <c r="B134" t="s">
        <v>394</v>
      </c>
      <c r="C134">
        <v>3</v>
      </c>
      <c r="D134" t="s">
        <v>145</v>
      </c>
      <c r="E134" t="s">
        <v>150</v>
      </c>
      <c r="F134" t="s">
        <v>0</v>
      </c>
      <c r="G134" t="s">
        <v>0</v>
      </c>
      <c r="H134" t="s">
        <v>1049</v>
      </c>
      <c r="I134">
        <v>14800</v>
      </c>
      <c r="J134">
        <v>0</v>
      </c>
      <c r="K134">
        <v>100</v>
      </c>
      <c r="L134">
        <v>50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395</v>
      </c>
      <c r="AC134" t="s">
        <v>204</v>
      </c>
      <c r="AD134" t="s">
        <v>396</v>
      </c>
      <c r="AE134" t="s">
        <v>4</v>
      </c>
      <c r="AF134" t="s">
        <v>1</v>
      </c>
      <c r="AG134" t="s">
        <v>1</v>
      </c>
      <c r="AH134" t="s">
        <v>397</v>
      </c>
      <c r="AI134" t="s">
        <v>392</v>
      </c>
      <c r="AJ134" t="s">
        <v>3</v>
      </c>
      <c r="AK134">
        <v>9371654236</v>
      </c>
      <c r="AL134" t="s">
        <v>3</v>
      </c>
      <c r="AM134" t="s">
        <v>3</v>
      </c>
      <c r="AN134" t="s">
        <v>3</v>
      </c>
      <c r="AO134" t="s">
        <v>397</v>
      </c>
      <c r="AP134" t="s">
        <v>3</v>
      </c>
      <c r="AQ134" t="s">
        <v>2</v>
      </c>
      <c r="AR134" t="s">
        <v>1</v>
      </c>
      <c r="AS134" t="s">
        <v>1</v>
      </c>
      <c r="AT134" t="s">
        <v>1</v>
      </c>
      <c r="AU134" t="s">
        <v>1</v>
      </c>
      <c r="AV134" t="s">
        <v>1</v>
      </c>
      <c r="AW134" t="s">
        <v>11</v>
      </c>
      <c r="AX134">
        <f>Tabla1[[#This Row],[precio del paquete]]-Tabla1[[#This Row],[Saldo_Deudor]]</f>
        <v>1400</v>
      </c>
      <c r="AY134">
        <v>13400</v>
      </c>
      <c r="AZ134" t="s">
        <v>1</v>
      </c>
      <c r="BA134" t="s">
        <v>1</v>
      </c>
      <c r="BB134" t="s">
        <v>1</v>
      </c>
      <c r="BC134" t="s">
        <v>173</v>
      </c>
      <c r="BD134" t="s">
        <v>159</v>
      </c>
      <c r="BE134" t="s">
        <v>1</v>
      </c>
      <c r="BF134" t="s">
        <v>1</v>
      </c>
      <c r="BG134" t="s">
        <v>1</v>
      </c>
      <c r="BH134" t="s">
        <v>1</v>
      </c>
      <c r="BI134" t="s">
        <v>1</v>
      </c>
      <c r="BJ134" t="s">
        <v>272</v>
      </c>
      <c r="BK134" t="s">
        <v>1</v>
      </c>
      <c r="BL134" t="s">
        <v>132</v>
      </c>
      <c r="BM134" t="s">
        <v>1</v>
      </c>
      <c r="BN134">
        <v>14800</v>
      </c>
      <c r="BO134" t="s">
        <v>1</v>
      </c>
      <c r="BP134" t="s">
        <v>1</v>
      </c>
      <c r="BQ134" t="s">
        <v>1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0</v>
      </c>
      <c r="BX134" t="s">
        <v>1</v>
      </c>
      <c r="BY134" t="s">
        <v>1</v>
      </c>
      <c r="BZ134" t="s">
        <v>1</v>
      </c>
      <c r="CA134" t="s">
        <v>1</v>
      </c>
      <c r="CB134" t="s">
        <v>277</v>
      </c>
      <c r="CD134" t="str" cm="1">
        <f t="array" aca="1" ref="CD134" ca="1">eConcatenar(A134:CB134,"|")</f>
        <v>erNoFCuQmBzlxpZR|CAR2021-7253|3|MEMORIAL|TABASCO|CARDENAS|CARDENAS|2021-11-27|14800|0|100|50|0|0|0|0|0|0|0|0|0|0|0|0|0|0|0|PERALTA|DIAZ|ANASTACIA|SOLTERO|X|X|CALLE MESOAMERICANA|FRACCIONAMIENTO CAÑALES SEGUNDA ETAPA|x|9371654236|x|x|x|CALLE MESOAMERICANA|x|LUNES|X|X|X|X|X|DOMICILIO |1400|13400|X|X|X|2022-02-03|2022-02-10|X|X|X|X|X|QX002L6W9KVTQO|X|HOMBRE|X|14800|X|X|X|X|X|X|X|X|CARDENAS|X|X|X|X|FINAL</v>
      </c>
    </row>
    <row r="135" spans="1:82" x14ac:dyDescent="0.25">
      <c r="A135" t="s">
        <v>852</v>
      </c>
      <c r="B135" t="s">
        <v>399</v>
      </c>
      <c r="C135">
        <v>3</v>
      </c>
      <c r="D135" t="s">
        <v>149</v>
      </c>
      <c r="E135" t="s">
        <v>150</v>
      </c>
      <c r="F135" t="s">
        <v>0</v>
      </c>
      <c r="G135" t="s">
        <v>0</v>
      </c>
      <c r="H135" t="s">
        <v>1050</v>
      </c>
      <c r="I135">
        <v>19800</v>
      </c>
      <c r="J135">
        <v>0</v>
      </c>
      <c r="K135">
        <v>200</v>
      </c>
      <c r="L135">
        <v>50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217</v>
      </c>
      <c r="AC135" t="s">
        <v>212</v>
      </c>
      <c r="AD135" t="s">
        <v>400</v>
      </c>
      <c r="AE135" t="s">
        <v>4</v>
      </c>
      <c r="AF135" t="s">
        <v>1</v>
      </c>
      <c r="AG135" t="s">
        <v>1</v>
      </c>
      <c r="AH135" t="s">
        <v>401</v>
      </c>
      <c r="AI135" t="s">
        <v>402</v>
      </c>
      <c r="AJ135" t="s">
        <v>3</v>
      </c>
      <c r="AK135">
        <v>9372284896</v>
      </c>
      <c r="AL135" t="s">
        <v>3</v>
      </c>
      <c r="AM135" t="s">
        <v>3</v>
      </c>
      <c r="AN135" t="s">
        <v>3</v>
      </c>
      <c r="AO135" t="s">
        <v>401</v>
      </c>
      <c r="AP135" t="s">
        <v>3</v>
      </c>
      <c r="AQ135" t="s">
        <v>2</v>
      </c>
      <c r="AR135" t="s">
        <v>1</v>
      </c>
      <c r="AS135" t="s">
        <v>1</v>
      </c>
      <c r="AT135" t="s">
        <v>1</v>
      </c>
      <c r="AU135" t="s">
        <v>1</v>
      </c>
      <c r="AV135" t="s">
        <v>1</v>
      </c>
      <c r="AW135" t="s">
        <v>11</v>
      </c>
      <c r="AX135">
        <f>Tabla1[[#This Row],[precio del paquete]]-Tabla1[[#This Row],[Saldo_Deudor]]</f>
        <v>5500</v>
      </c>
      <c r="AY135">
        <v>14300</v>
      </c>
      <c r="AZ135" t="s">
        <v>1</v>
      </c>
      <c r="BA135" t="s">
        <v>1</v>
      </c>
      <c r="BB135" t="s">
        <v>1</v>
      </c>
      <c r="BC135" t="s">
        <v>173</v>
      </c>
      <c r="BD135" t="s">
        <v>159</v>
      </c>
      <c r="BE135" t="s">
        <v>1</v>
      </c>
      <c r="BF135" t="s">
        <v>1</v>
      </c>
      <c r="BG135" t="s">
        <v>1</v>
      </c>
      <c r="BH135" t="s">
        <v>1</v>
      </c>
      <c r="BI135" t="s">
        <v>1</v>
      </c>
      <c r="BJ135" t="s">
        <v>272</v>
      </c>
      <c r="BK135" t="s">
        <v>1</v>
      </c>
      <c r="BL135" t="s">
        <v>132</v>
      </c>
      <c r="BM135" t="s">
        <v>1</v>
      </c>
      <c r="BN135">
        <v>19800</v>
      </c>
      <c r="BO135" t="s">
        <v>1</v>
      </c>
      <c r="BP135" t="s">
        <v>1</v>
      </c>
      <c r="BQ135" t="s">
        <v>1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0</v>
      </c>
      <c r="BX135" t="s">
        <v>1</v>
      </c>
      <c r="BY135" t="s">
        <v>1</v>
      </c>
      <c r="BZ135" t="s">
        <v>1</v>
      </c>
      <c r="CA135" t="s">
        <v>1</v>
      </c>
      <c r="CB135" t="s">
        <v>277</v>
      </c>
      <c r="CD135" t="str" cm="1">
        <f t="array" aca="1" ref="CD135" ca="1">eConcatenar(A135:CB135,"|")</f>
        <v>9OxCtvEXKzLx3ejm|CAR2020-2812|3|ZAFIRO|TABASCO|CARDENAS|CARDENAS|2020-08-29|19800|0|200|50|0|0|0|0|0|0|0|0|0|0|0|0|0|0|0|MENDEZ|DOMINGUEZ|ADRIANA|SOLTERO|X|X|CALLE DE PIZZERIA|POBLADO MIGUEL HIDALGO|x|9372284896|x|x|x|CALLE DE PIZZERIA|x|LUNES|X|X|X|X|X|DOMICILIO |5500|14300|X|X|X|2022-02-03|2022-02-10|X|X|X|X|X|QX002L6W9KVTQO|X|HOMBRE|X|19800|X|X|X|X|X|X|X|X|CARDENAS|X|X|X|X|FINAL</v>
      </c>
    </row>
    <row r="136" spans="1:82" x14ac:dyDescent="0.25">
      <c r="A136" t="s">
        <v>853</v>
      </c>
      <c r="B136" t="s">
        <v>825</v>
      </c>
      <c r="C136">
        <v>3</v>
      </c>
      <c r="D136" t="s">
        <v>145</v>
      </c>
      <c r="E136" t="s">
        <v>150</v>
      </c>
      <c r="F136" t="s">
        <v>0</v>
      </c>
      <c r="G136" t="s">
        <v>0</v>
      </c>
      <c r="H136" t="s">
        <v>184</v>
      </c>
      <c r="I136">
        <v>14800</v>
      </c>
      <c r="J136">
        <v>0</v>
      </c>
      <c r="K136">
        <v>50</v>
      </c>
      <c r="L136">
        <v>50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8</v>
      </c>
      <c r="AC136" t="s">
        <v>7</v>
      </c>
      <c r="AD136" t="s">
        <v>722</v>
      </c>
      <c r="AE136" t="s">
        <v>4</v>
      </c>
      <c r="AF136" t="s">
        <v>1</v>
      </c>
      <c r="AG136" t="s">
        <v>1</v>
      </c>
      <c r="AH136" t="s">
        <v>854</v>
      </c>
      <c r="AI136" t="s">
        <v>826</v>
      </c>
      <c r="AJ136" t="s">
        <v>3</v>
      </c>
      <c r="AK136">
        <v>9371014017</v>
      </c>
      <c r="AL136" t="s">
        <v>3</v>
      </c>
      <c r="AM136" t="s">
        <v>3</v>
      </c>
      <c r="AN136" t="s">
        <v>3</v>
      </c>
      <c r="AO136" t="s">
        <v>854</v>
      </c>
      <c r="AP136" t="s">
        <v>3</v>
      </c>
      <c r="AQ136" t="s">
        <v>2</v>
      </c>
      <c r="AR136" t="s">
        <v>1</v>
      </c>
      <c r="AS136" t="s">
        <v>1</v>
      </c>
      <c r="AT136" t="s">
        <v>1</v>
      </c>
      <c r="AU136" t="s">
        <v>1</v>
      </c>
      <c r="AV136" t="s">
        <v>1</v>
      </c>
      <c r="AW136" t="s">
        <v>11</v>
      </c>
      <c r="AX136">
        <f>Tabla1[[#This Row],[precio del paquete]]-Tabla1[[#This Row],[Saldo_Deudor]]</f>
        <v>2450</v>
      </c>
      <c r="AY136">
        <v>12350</v>
      </c>
      <c r="AZ136" t="s">
        <v>1</v>
      </c>
      <c r="BA136" t="s">
        <v>1</v>
      </c>
      <c r="BB136" t="s">
        <v>1</v>
      </c>
      <c r="BC136" t="s">
        <v>259</v>
      </c>
      <c r="BD136" t="s">
        <v>1157</v>
      </c>
      <c r="BE136" t="s">
        <v>1</v>
      </c>
      <c r="BF136" t="s">
        <v>1</v>
      </c>
      <c r="BG136" t="s">
        <v>1</v>
      </c>
      <c r="BH136" t="s">
        <v>1</v>
      </c>
      <c r="BI136" t="s">
        <v>1</v>
      </c>
      <c r="BJ136" t="s">
        <v>272</v>
      </c>
      <c r="BK136" t="s">
        <v>1</v>
      </c>
      <c r="BL136" t="s">
        <v>132</v>
      </c>
      <c r="BM136" t="s">
        <v>1</v>
      </c>
      <c r="BN136">
        <v>14800</v>
      </c>
      <c r="BO136" t="s">
        <v>1</v>
      </c>
      <c r="BP136" t="s">
        <v>1</v>
      </c>
      <c r="BQ136" t="s">
        <v>1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0</v>
      </c>
      <c r="BX136" t="s">
        <v>1</v>
      </c>
      <c r="BY136" t="s">
        <v>1</v>
      </c>
      <c r="BZ136" t="s">
        <v>1</v>
      </c>
      <c r="CA136" t="s">
        <v>1</v>
      </c>
      <c r="CB136" t="s">
        <v>277</v>
      </c>
      <c r="CD136" t="str" cm="1">
        <f t="array" aca="1" ref="CD136" ca="1">eConcatenar(A136:CB136,"|")</f>
        <v>AmVK6PWD4GxbmdzD|CAR2021-6843|3|MEMORIAL|TABASCO|CARDENAS|CARDENAS|2021-01-11|14800|0|50|50|0|0|0|0|0|0|0|0|0|0|0|0|0|0|0|GOMEZ|LOPEZ|GUADALUPE|SOLTERO|X|X|AVENIDA EL RETEN 224 INTERIOR|COLONIA CALZADA|x|9371014017|x|x|x|AVENIDA EL RETEN 224 INTERIOR|x|LUNES|X|X|X|X|X|DOMICILIO |2450|12350|X|X|X|2022-03-03|2022-03-10|X|X|X|X|X|QX002L6W9KVTQO|X|HOMBRE|X|14800|X|X|X|X|X|X|X|X|CARDENAS|X|X|X|X|FINAL</v>
      </c>
    </row>
    <row r="137" spans="1:82" x14ac:dyDescent="0.25">
      <c r="A137" t="s">
        <v>855</v>
      </c>
      <c r="B137" t="s">
        <v>856</v>
      </c>
      <c r="C137">
        <v>3</v>
      </c>
      <c r="D137" t="s">
        <v>145</v>
      </c>
      <c r="E137" t="s">
        <v>150</v>
      </c>
      <c r="F137" t="s">
        <v>0</v>
      </c>
      <c r="G137" t="s">
        <v>0</v>
      </c>
      <c r="H137" t="s">
        <v>1115</v>
      </c>
      <c r="I137">
        <v>14800</v>
      </c>
      <c r="J137">
        <v>0</v>
      </c>
      <c r="K137">
        <v>100</v>
      </c>
      <c r="L137">
        <v>50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234</v>
      </c>
      <c r="AD137" t="s">
        <v>857</v>
      </c>
      <c r="AE137" t="s">
        <v>4</v>
      </c>
      <c r="AF137" t="s">
        <v>1</v>
      </c>
      <c r="AG137" t="s">
        <v>1</v>
      </c>
      <c r="AH137" t="s">
        <v>858</v>
      </c>
      <c r="AI137" t="s">
        <v>859</v>
      </c>
      <c r="AJ137" t="s">
        <v>3</v>
      </c>
      <c r="AK137" t="s">
        <v>1</v>
      </c>
      <c r="AL137" t="s">
        <v>3</v>
      </c>
      <c r="AM137" t="s">
        <v>3</v>
      </c>
      <c r="AN137" t="s">
        <v>3</v>
      </c>
      <c r="AO137" t="s">
        <v>858</v>
      </c>
      <c r="AP137" t="s">
        <v>3</v>
      </c>
      <c r="AQ137" t="s">
        <v>2</v>
      </c>
      <c r="AR137" t="s">
        <v>1</v>
      </c>
      <c r="AS137" t="s">
        <v>1</v>
      </c>
      <c r="AT137" t="s">
        <v>1</v>
      </c>
      <c r="AU137" t="s">
        <v>1</v>
      </c>
      <c r="AV137" t="s">
        <v>1</v>
      </c>
      <c r="AW137" t="s">
        <v>11</v>
      </c>
      <c r="AX137">
        <f>Tabla1[[#This Row],[precio del paquete]]-Tabla1[[#This Row],[Saldo_Deudor]]</f>
        <v>7400</v>
      </c>
      <c r="AY137">
        <v>7400</v>
      </c>
      <c r="AZ137" t="s">
        <v>1</v>
      </c>
      <c r="BA137" t="s">
        <v>1</v>
      </c>
      <c r="BB137" t="s">
        <v>1</v>
      </c>
      <c r="BC137" t="s">
        <v>259</v>
      </c>
      <c r="BD137" t="s">
        <v>1157</v>
      </c>
      <c r="BE137" t="s">
        <v>1</v>
      </c>
      <c r="BF137" t="s">
        <v>1</v>
      </c>
      <c r="BG137" t="s">
        <v>1</v>
      </c>
      <c r="BH137" t="s">
        <v>1</v>
      </c>
      <c r="BI137" t="s">
        <v>1</v>
      </c>
      <c r="BJ137" t="s">
        <v>272</v>
      </c>
      <c r="BK137" t="s">
        <v>1</v>
      </c>
      <c r="BL137" t="s">
        <v>132</v>
      </c>
      <c r="BM137" t="s">
        <v>1</v>
      </c>
      <c r="BN137">
        <v>14800</v>
      </c>
      <c r="BO137" t="s">
        <v>1</v>
      </c>
      <c r="BP137" t="s">
        <v>1</v>
      </c>
      <c r="BQ137" t="s">
        <v>1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0</v>
      </c>
      <c r="BX137" t="s">
        <v>1</v>
      </c>
      <c r="BY137" t="s">
        <v>1</v>
      </c>
      <c r="BZ137" t="s">
        <v>1</v>
      </c>
      <c r="CA137" t="s">
        <v>1</v>
      </c>
      <c r="CB137" t="s">
        <v>277</v>
      </c>
      <c r="CD137" t="str" cm="1">
        <f t="array" aca="1" ref="CD137" ca="1">eConcatenar(A137:CB137,"|")</f>
        <v>8TLw2P1TpTqrhnC8|CAR2020-2468|3|MEMORIAL|TABASCO|CARDENAS|CARDENAS|2020-08-17|14800|0|100|50|0|0|0|0|0|0|0|0|0|0|0|0|0|0|0|AGUILAR||YOLANDA GUARDA|SOLTERO|X|X|CALLE NUMERO 10 LOTE 45|FRACCIONAMIENTO CAÑALES III|x|X|x|x|x|CALLE NUMERO 10 LOTE 45|x|LUNES|X|X|X|X|X|DOMICILIO |7400|7400|X|X|X|2022-03-03|2022-03-10|X|X|X|X|X|QX002L6W9KVTQO|X|HOMBRE|X|14800|X|X|X|X|X|X|X|X|CARDENAS|X|X|X|X|FINAL</v>
      </c>
    </row>
    <row r="138" spans="1:82" x14ac:dyDescent="0.25">
      <c r="A138" t="s">
        <v>860</v>
      </c>
      <c r="B138" t="s">
        <v>861</v>
      </c>
      <c r="C138">
        <v>3</v>
      </c>
      <c r="D138" t="s">
        <v>145</v>
      </c>
      <c r="E138" t="s">
        <v>150</v>
      </c>
      <c r="F138" t="s">
        <v>0</v>
      </c>
      <c r="G138" t="s">
        <v>0</v>
      </c>
      <c r="H138" t="s">
        <v>1116</v>
      </c>
      <c r="I138">
        <v>14800</v>
      </c>
      <c r="J138">
        <v>0</v>
      </c>
      <c r="K138">
        <v>1000</v>
      </c>
      <c r="L138">
        <v>50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209</v>
      </c>
      <c r="AC138" t="s">
        <v>862</v>
      </c>
      <c r="AD138" t="s">
        <v>863</v>
      </c>
      <c r="AE138" t="s">
        <v>4</v>
      </c>
      <c r="AF138" t="s">
        <v>1</v>
      </c>
      <c r="AG138" t="s">
        <v>1</v>
      </c>
      <c r="AH138" t="s">
        <v>864</v>
      </c>
      <c r="AI138" t="s">
        <v>865</v>
      </c>
      <c r="AJ138" t="s">
        <v>3</v>
      </c>
      <c r="AK138">
        <v>9371431095</v>
      </c>
      <c r="AL138" t="s">
        <v>3</v>
      </c>
      <c r="AM138" t="s">
        <v>3</v>
      </c>
      <c r="AN138" t="s">
        <v>3</v>
      </c>
      <c r="AO138" t="s">
        <v>864</v>
      </c>
      <c r="AP138" t="s">
        <v>3</v>
      </c>
      <c r="AQ138" t="s">
        <v>2</v>
      </c>
      <c r="AR138" t="s">
        <v>1</v>
      </c>
      <c r="AS138" t="s">
        <v>1</v>
      </c>
      <c r="AT138" t="s">
        <v>1</v>
      </c>
      <c r="AU138" t="s">
        <v>1</v>
      </c>
      <c r="AV138" t="s">
        <v>1</v>
      </c>
      <c r="AW138" t="s">
        <v>11</v>
      </c>
      <c r="AX138">
        <f>Tabla1[[#This Row],[precio del paquete]]-Tabla1[[#This Row],[Saldo_Deudor]]</f>
        <v>700</v>
      </c>
      <c r="AY138">
        <v>14100</v>
      </c>
      <c r="AZ138" t="s">
        <v>1</v>
      </c>
      <c r="BA138" t="s">
        <v>1</v>
      </c>
      <c r="BB138" t="s">
        <v>1</v>
      </c>
      <c r="BC138" t="s">
        <v>259</v>
      </c>
      <c r="BD138" t="s">
        <v>1157</v>
      </c>
      <c r="BE138" t="s">
        <v>1</v>
      </c>
      <c r="BF138" t="s">
        <v>1</v>
      </c>
      <c r="BG138" t="s">
        <v>1</v>
      </c>
      <c r="BH138" t="s">
        <v>1</v>
      </c>
      <c r="BI138" t="s">
        <v>1</v>
      </c>
      <c r="BJ138" t="s">
        <v>272</v>
      </c>
      <c r="BK138" t="s">
        <v>1</v>
      </c>
      <c r="BL138" t="s">
        <v>132</v>
      </c>
      <c r="BM138" t="s">
        <v>1</v>
      </c>
      <c r="BN138">
        <v>14800</v>
      </c>
      <c r="BO138" t="s">
        <v>1</v>
      </c>
      <c r="BP138" t="s">
        <v>1</v>
      </c>
      <c r="BQ138" t="s">
        <v>1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0</v>
      </c>
      <c r="BX138" t="s">
        <v>1</v>
      </c>
      <c r="BY138" t="s">
        <v>1</v>
      </c>
      <c r="BZ138" t="s">
        <v>1</v>
      </c>
      <c r="CA138" t="s">
        <v>1</v>
      </c>
      <c r="CB138" t="s">
        <v>277</v>
      </c>
      <c r="CD138" t="str" cm="1">
        <f t="array" aca="1" ref="CD138" ca="1">eConcatenar(A138:CB138,"|")</f>
        <v>tvE8SjCFGa9s8DlY|CAR2020-4651|3|MEMORIAL|TABASCO|CARDENAS|CARDENAS|2020-11-14|14800|0|1000|50|0|0|0|0|0|0|0|0|0|0|0|0|0|0|0|CORDOVA|ULLOA|NOEMI|SOLTERO|X|X|CALLE NUMERO 4|FRACCIONAMIENTO CAÑALES II   |x|9371431095|x|x|x|CALLE NUMERO 4|x|LUNES|X|X|X|X|X|DOMICILIO |700|14100|X|X|X|2022-03-03|2022-03-10|X|X|X|X|X|QX002L6W9KVTQO|X|HOMBRE|X|14800|X|X|X|X|X|X|X|X|CARDENAS|X|X|X|X|FINAL</v>
      </c>
    </row>
    <row r="139" spans="1:82" x14ac:dyDescent="0.25">
      <c r="A139" t="s">
        <v>866</v>
      </c>
      <c r="B139" t="s">
        <v>867</v>
      </c>
      <c r="C139">
        <v>3</v>
      </c>
      <c r="D139" t="s">
        <v>145</v>
      </c>
      <c r="E139" t="s">
        <v>150</v>
      </c>
      <c r="F139" t="s">
        <v>10</v>
      </c>
      <c r="G139" t="s">
        <v>10</v>
      </c>
      <c r="H139" t="s">
        <v>1117</v>
      </c>
      <c r="I139">
        <v>14800</v>
      </c>
      <c r="J139">
        <v>0</v>
      </c>
      <c r="K139">
        <v>100</v>
      </c>
      <c r="L139">
        <v>50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205</v>
      </c>
      <c r="AC139" t="s">
        <v>205</v>
      </c>
      <c r="AD139" t="s">
        <v>201</v>
      </c>
      <c r="AE139" t="s">
        <v>4</v>
      </c>
      <c r="AF139" t="s">
        <v>1</v>
      </c>
      <c r="AG139" t="s">
        <v>1</v>
      </c>
      <c r="AH139" t="s">
        <v>868</v>
      </c>
      <c r="AI139" t="s">
        <v>869</v>
      </c>
      <c r="AJ139" t="s">
        <v>3</v>
      </c>
      <c r="AK139">
        <v>9371394157</v>
      </c>
      <c r="AL139" t="s">
        <v>3</v>
      </c>
      <c r="AM139" t="s">
        <v>3</v>
      </c>
      <c r="AN139" t="s">
        <v>3</v>
      </c>
      <c r="AO139" t="s">
        <v>868</v>
      </c>
      <c r="AP139" t="s">
        <v>3</v>
      </c>
      <c r="AQ139" t="s">
        <v>2</v>
      </c>
      <c r="AR139" t="s">
        <v>1</v>
      </c>
      <c r="AS139" t="s">
        <v>1</v>
      </c>
      <c r="AT139" t="s">
        <v>1</v>
      </c>
      <c r="AU139" t="s">
        <v>1</v>
      </c>
      <c r="AV139" t="s">
        <v>1</v>
      </c>
      <c r="AW139" t="s">
        <v>11</v>
      </c>
      <c r="AX139">
        <f>Tabla1[[#This Row],[precio del paquete]]-Tabla1[[#This Row],[Saldo_Deudor]]</f>
        <v>8600</v>
      </c>
      <c r="AY139">
        <v>6200</v>
      </c>
      <c r="AZ139" t="s">
        <v>1</v>
      </c>
      <c r="BA139" t="s">
        <v>1</v>
      </c>
      <c r="BB139" t="s">
        <v>1</v>
      </c>
      <c r="BC139" t="s">
        <v>259</v>
      </c>
      <c r="BD139" t="s">
        <v>1157</v>
      </c>
      <c r="BE139" t="s">
        <v>1</v>
      </c>
      <c r="BF139" t="s">
        <v>1</v>
      </c>
      <c r="BG139" t="s">
        <v>1</v>
      </c>
      <c r="BH139" t="s">
        <v>1</v>
      </c>
      <c r="BI139" t="s">
        <v>1</v>
      </c>
      <c r="BJ139" t="s">
        <v>272</v>
      </c>
      <c r="BK139" t="s">
        <v>1</v>
      </c>
      <c r="BL139" t="s">
        <v>132</v>
      </c>
      <c r="BM139" t="s">
        <v>1</v>
      </c>
      <c r="BN139">
        <v>14800</v>
      </c>
      <c r="BO139" t="s">
        <v>1</v>
      </c>
      <c r="BP139" t="s">
        <v>1</v>
      </c>
      <c r="BQ139" t="s">
        <v>1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0</v>
      </c>
      <c r="BX139" t="s">
        <v>1</v>
      </c>
      <c r="BY139" t="s">
        <v>1</v>
      </c>
      <c r="BZ139" t="s">
        <v>1</v>
      </c>
      <c r="CA139" t="s">
        <v>1</v>
      </c>
      <c r="CB139" t="s">
        <v>277</v>
      </c>
      <c r="CD139" t="str" cm="1">
        <f t="array" aca="1" ref="CD139" ca="1">eConcatenar(A139:CB139,"|")</f>
        <v>IL2r9mk0TnIbCdQH|CAR2020-3071|3|MEMORIAL|TABASCO|CARDENAS |CARDENAS |2020-11-11|14800|0|100|50|0|0|0|0|0|0|0|0|0|0|0|0|0|0|0|HERNANDEZ|HERNANDEZ|ESTEBAN|SOLTERO|X|X|CARRETERA VECINAL A TULIPAN|SANTA ROSA|x|9371394157|x|x|x|CARRETERA VECINAL A TULIPAN|x|LUNES|X|X|X|X|X|DOMICILIO |8600|6200|X|X|X|2022-03-03|2022-03-10|X|X|X|X|X|QX002L6W9KVTQO|X|HOMBRE|X|14800|X|X|X|X|X|X|X|X|CARDENAS|X|X|X|X|FINAL</v>
      </c>
    </row>
    <row r="140" spans="1:82" x14ac:dyDescent="0.25">
      <c r="A140" t="s">
        <v>870</v>
      </c>
      <c r="B140" t="s">
        <v>871</v>
      </c>
      <c r="C140">
        <v>3</v>
      </c>
      <c r="D140" t="s">
        <v>145</v>
      </c>
      <c r="E140" t="s">
        <v>150</v>
      </c>
      <c r="F140" t="s">
        <v>0</v>
      </c>
      <c r="G140" t="s">
        <v>0</v>
      </c>
      <c r="H140" t="s">
        <v>1114</v>
      </c>
      <c r="I140">
        <v>14800</v>
      </c>
      <c r="J140">
        <v>0</v>
      </c>
      <c r="K140">
        <v>100</v>
      </c>
      <c r="L140">
        <v>50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231</v>
      </c>
      <c r="AC140" t="s">
        <v>524</v>
      </c>
      <c r="AD140" t="s">
        <v>872</v>
      </c>
      <c r="AE140" t="s">
        <v>4</v>
      </c>
      <c r="AF140" t="s">
        <v>1</v>
      </c>
      <c r="AG140" t="s">
        <v>1</v>
      </c>
      <c r="AH140" t="s">
        <v>873</v>
      </c>
      <c r="AI140" t="s">
        <v>796</v>
      </c>
      <c r="AJ140" t="s">
        <v>3</v>
      </c>
      <c r="AK140">
        <v>9373745997</v>
      </c>
      <c r="AL140" t="s">
        <v>3</v>
      </c>
      <c r="AM140" t="s">
        <v>3</v>
      </c>
      <c r="AN140" t="s">
        <v>3</v>
      </c>
      <c r="AO140" t="s">
        <v>873</v>
      </c>
      <c r="AP140" t="s">
        <v>3</v>
      </c>
      <c r="AQ140" t="s">
        <v>2</v>
      </c>
      <c r="AR140" t="s">
        <v>1</v>
      </c>
      <c r="AS140" t="s">
        <v>1</v>
      </c>
      <c r="AT140" t="s">
        <v>1</v>
      </c>
      <c r="AU140" t="s">
        <v>1</v>
      </c>
      <c r="AV140" t="s">
        <v>1</v>
      </c>
      <c r="AW140" t="s">
        <v>11</v>
      </c>
      <c r="AX140">
        <f>Tabla1[[#This Row],[precio del paquete]]-Tabla1[[#This Row],[Saldo_Deudor]]</f>
        <v>6950</v>
      </c>
      <c r="AY140">
        <v>7850</v>
      </c>
      <c r="AZ140" t="s">
        <v>1</v>
      </c>
      <c r="BA140" t="s">
        <v>1</v>
      </c>
      <c r="BB140" t="s">
        <v>1</v>
      </c>
      <c r="BC140" t="s">
        <v>259</v>
      </c>
      <c r="BD140" t="s">
        <v>1157</v>
      </c>
      <c r="BE140" t="s">
        <v>1</v>
      </c>
      <c r="BF140" t="s">
        <v>1</v>
      </c>
      <c r="BG140" t="s">
        <v>1</v>
      </c>
      <c r="BH140" t="s">
        <v>1</v>
      </c>
      <c r="BI140" t="s">
        <v>1</v>
      </c>
      <c r="BJ140" t="s">
        <v>272</v>
      </c>
      <c r="BK140" t="s">
        <v>1</v>
      </c>
      <c r="BL140" t="s">
        <v>132</v>
      </c>
      <c r="BM140" t="s">
        <v>1</v>
      </c>
      <c r="BN140">
        <v>14800</v>
      </c>
      <c r="BO140" t="s">
        <v>1</v>
      </c>
      <c r="BP140" t="s">
        <v>1</v>
      </c>
      <c r="BQ140" t="s">
        <v>1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0</v>
      </c>
      <c r="BX140" t="s">
        <v>1</v>
      </c>
      <c r="BY140" t="s">
        <v>1</v>
      </c>
      <c r="BZ140" t="s">
        <v>1</v>
      </c>
      <c r="CA140" t="s">
        <v>1</v>
      </c>
      <c r="CB140" t="s">
        <v>277</v>
      </c>
      <c r="CD140" t="str" cm="1">
        <f t="array" aca="1" ref="CD140" ca="1">eConcatenar(A140:CB140,"|")</f>
        <v>C7hUAGtN2fi8bIkK|CAR2020-3028|3|MEMORIAL|TABASCO|CARDENAS|CARDENAS|2020-09-08|14800|0|100|50|0|0|0|0|0|0|0|0|0|0|0|0|0|0|0|GALLEGOS|ALVARADO|CORA|SOLTERO|X|X|CARRETERA FEDERAL A CARDENAS|COLONIA NUEVA ESPERANZA|x|9373745997|x|x|x|CARRETERA FEDERAL A CARDENAS|x|LUNES|X|X|X|X|X|DOMICILIO |6950|7850|X|X|X|2022-03-03|2022-03-10|X|X|X|X|X|QX002L6W9KVTQO|X|HOMBRE|X|14800|X|X|X|X|X|X|X|X|CARDENAS|X|X|X|X|FINAL</v>
      </c>
    </row>
    <row r="141" spans="1:82" x14ac:dyDescent="0.25">
      <c r="A141" t="s">
        <v>874</v>
      </c>
      <c r="B141" t="s">
        <v>875</v>
      </c>
      <c r="C141">
        <v>3</v>
      </c>
      <c r="D141" t="s">
        <v>147</v>
      </c>
      <c r="E141" t="s">
        <v>150</v>
      </c>
      <c r="F141" t="s">
        <v>0</v>
      </c>
      <c r="G141" t="s">
        <v>0</v>
      </c>
      <c r="H141" t="s">
        <v>1118</v>
      </c>
      <c r="I141">
        <v>12900</v>
      </c>
      <c r="J141">
        <v>0</v>
      </c>
      <c r="K141">
        <v>200</v>
      </c>
      <c r="L141">
        <v>50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213</v>
      </c>
      <c r="AD141" t="s">
        <v>876</v>
      </c>
      <c r="AE141" t="s">
        <v>4</v>
      </c>
      <c r="AF141" t="s">
        <v>1</v>
      </c>
      <c r="AG141" t="s">
        <v>1</v>
      </c>
      <c r="AH141" t="s">
        <v>877</v>
      </c>
      <c r="AI141" t="s">
        <v>878</v>
      </c>
      <c r="AJ141" t="s">
        <v>3</v>
      </c>
      <c r="AK141">
        <v>9372719033</v>
      </c>
      <c r="AL141" t="s">
        <v>3</v>
      </c>
      <c r="AM141" t="s">
        <v>3</v>
      </c>
      <c r="AN141" t="s">
        <v>3</v>
      </c>
      <c r="AO141" t="s">
        <v>877</v>
      </c>
      <c r="AP141" t="s">
        <v>3</v>
      </c>
      <c r="AQ141" t="s">
        <v>2</v>
      </c>
      <c r="AR141" t="s">
        <v>1</v>
      </c>
      <c r="AS141" t="s">
        <v>1</v>
      </c>
      <c r="AT141" t="s">
        <v>1</v>
      </c>
      <c r="AU141" t="s">
        <v>1</v>
      </c>
      <c r="AV141" t="s">
        <v>1</v>
      </c>
      <c r="AW141" t="s">
        <v>11</v>
      </c>
      <c r="AX141">
        <f>Tabla1[[#This Row],[precio del paquete]]-Tabla1[[#This Row],[Saldo_Deudor]]</f>
        <v>9300</v>
      </c>
      <c r="AY141">
        <v>3600</v>
      </c>
      <c r="AZ141" t="s">
        <v>1</v>
      </c>
      <c r="BA141" t="s">
        <v>1</v>
      </c>
      <c r="BB141" t="s">
        <v>1</v>
      </c>
      <c r="BC141" t="s">
        <v>259</v>
      </c>
      <c r="BD141" t="s">
        <v>1157</v>
      </c>
      <c r="BE141" t="s">
        <v>1</v>
      </c>
      <c r="BF141" t="s">
        <v>1</v>
      </c>
      <c r="BG141" t="s">
        <v>1</v>
      </c>
      <c r="BH141" t="s">
        <v>1</v>
      </c>
      <c r="BI141" t="s">
        <v>1</v>
      </c>
      <c r="BJ141" t="s">
        <v>272</v>
      </c>
      <c r="BK141" t="s">
        <v>1</v>
      </c>
      <c r="BL141" t="s">
        <v>132</v>
      </c>
      <c r="BM141" t="s">
        <v>1</v>
      </c>
      <c r="BN141">
        <v>12900</v>
      </c>
      <c r="BO141" t="s">
        <v>1</v>
      </c>
      <c r="BP141" t="s">
        <v>1</v>
      </c>
      <c r="BQ141" t="s">
        <v>1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0</v>
      </c>
      <c r="BX141" t="s">
        <v>1</v>
      </c>
      <c r="BY141" t="s">
        <v>1</v>
      </c>
      <c r="BZ141" t="s">
        <v>1</v>
      </c>
      <c r="CA141" t="s">
        <v>1</v>
      </c>
      <c r="CB141" t="s">
        <v>277</v>
      </c>
      <c r="CD141" t="str" cm="1">
        <f t="array" aca="1" ref="CD141" ca="1">eConcatenar(A141:CB141,"|")</f>
        <v>zIHOQUw60S3i9AWH|CAR2018-1446|3|ECONOLINE|TABASCO|CARDENAS|CARDENAS|2018-08-18|12900|0|200|50|1|0|0|0|0|0|0|0|0|0|0|0|0|0|0|OLAN||MARIO RIVERA|SOLTERO|X|X|CARRETERA A CARDENAS ENTRADA AL DESHUESADERO |COLONIA MIGUEL HIDALGO|x|9372719033|x|x|x|CARRETERA A CARDENAS ENTRADA AL DESHUESADERO |x|LUNES|X|X|X|X|X|DOMICILIO |9300|3600|X|X|X|2022-03-03|2022-03-10|X|X|X|X|X|QX002L6W9KVTQO|X|HOMBRE|X|12900|X|X|X|X|X|X|X|X|CARDENAS|X|X|X|X|FINAL</v>
      </c>
    </row>
    <row r="142" spans="1:82" x14ac:dyDescent="0.25">
      <c r="A142" t="s">
        <v>879</v>
      </c>
      <c r="B142" t="s">
        <v>880</v>
      </c>
      <c r="C142">
        <v>3</v>
      </c>
      <c r="D142" t="s">
        <v>147</v>
      </c>
      <c r="E142" t="s">
        <v>150</v>
      </c>
      <c r="F142" t="s">
        <v>10</v>
      </c>
      <c r="G142" t="s">
        <v>10</v>
      </c>
      <c r="H142" t="s">
        <v>1119</v>
      </c>
      <c r="I142">
        <v>12900</v>
      </c>
      <c r="J142">
        <v>0</v>
      </c>
      <c r="K142">
        <v>100</v>
      </c>
      <c r="L142">
        <v>50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205</v>
      </c>
      <c r="AC142" t="s">
        <v>202</v>
      </c>
      <c r="AD142" t="s">
        <v>429</v>
      </c>
      <c r="AE142" t="s">
        <v>4</v>
      </c>
      <c r="AF142" t="s">
        <v>1</v>
      </c>
      <c r="AG142" t="s">
        <v>1</v>
      </c>
      <c r="AH142" t="s">
        <v>881</v>
      </c>
      <c r="AI142" t="s">
        <v>882</v>
      </c>
      <c r="AJ142" t="s">
        <v>3</v>
      </c>
      <c r="AK142" t="s">
        <v>1</v>
      </c>
      <c r="AL142" t="s">
        <v>3</v>
      </c>
      <c r="AM142" t="s">
        <v>3</v>
      </c>
      <c r="AN142" t="s">
        <v>3</v>
      </c>
      <c r="AO142" t="s">
        <v>881</v>
      </c>
      <c r="AP142" t="s">
        <v>3</v>
      </c>
      <c r="AQ142" t="s">
        <v>2</v>
      </c>
      <c r="AR142" t="s">
        <v>1</v>
      </c>
      <c r="AS142" t="s">
        <v>1</v>
      </c>
      <c r="AT142" t="s">
        <v>1</v>
      </c>
      <c r="AU142" t="s">
        <v>1</v>
      </c>
      <c r="AV142" t="s">
        <v>1</v>
      </c>
      <c r="AW142" t="s">
        <v>11</v>
      </c>
      <c r="AX142">
        <f>Tabla1[[#This Row],[precio del paquete]]-Tabla1[[#This Row],[Saldo_Deudor]]</f>
        <v>9200</v>
      </c>
      <c r="AY142">
        <v>3700</v>
      </c>
      <c r="AZ142" t="s">
        <v>1</v>
      </c>
      <c r="BA142" t="s">
        <v>1</v>
      </c>
      <c r="BB142" t="s">
        <v>1</v>
      </c>
      <c r="BC142" t="s">
        <v>259</v>
      </c>
      <c r="BD142" t="s">
        <v>1157</v>
      </c>
      <c r="BE142" t="s">
        <v>1</v>
      </c>
      <c r="BF142" t="s">
        <v>1</v>
      </c>
      <c r="BG142" t="s">
        <v>1</v>
      </c>
      <c r="BH142" t="s">
        <v>1</v>
      </c>
      <c r="BI142" t="s">
        <v>1</v>
      </c>
      <c r="BJ142" t="s">
        <v>272</v>
      </c>
      <c r="BK142" t="s">
        <v>1</v>
      </c>
      <c r="BL142" t="s">
        <v>132</v>
      </c>
      <c r="BM142" t="s">
        <v>1</v>
      </c>
      <c r="BN142">
        <v>12900</v>
      </c>
      <c r="BO142" t="s">
        <v>1</v>
      </c>
      <c r="BP142" t="s">
        <v>1</v>
      </c>
      <c r="BQ142" t="s">
        <v>1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0</v>
      </c>
      <c r="BX142" t="s">
        <v>1</v>
      </c>
      <c r="BY142" t="s">
        <v>1</v>
      </c>
      <c r="BZ142" t="s">
        <v>1</v>
      </c>
      <c r="CA142" t="s">
        <v>1</v>
      </c>
      <c r="CB142" t="s">
        <v>277</v>
      </c>
      <c r="CD142" t="str" cm="1">
        <f t="array" aca="1" ref="CD142" ca="1">eConcatenar(A142:CB142,"|")</f>
        <v>68AXWUCjiHvk4Mby|CAR2018-1443|3|ECONOLINE|TABASCO|CARDENAS |CARDENAS |2018-09-17|12900|0|100|50|0|0|0|0|0|0|0|0|0|0|0|0|0|0|0|HERNANDEZ|CRUZ|REYES|SOLTERO|X|X|CAMINO VECINAL A CARDENAS|COLONIA LOS SANTOS|x|X|x|x|x|CAMINO VECINAL A CARDENAS|x|LUNES|X|X|X|X|X|DOMICILIO |9200|3700|X|X|X|2022-03-03|2022-03-10|X|X|X|X|X|QX002L6W9KVTQO|X|HOMBRE|X|12900|X|X|X|X|X|X|X|X|CARDENAS|X|X|X|X|FINAL</v>
      </c>
    </row>
    <row r="143" spans="1:82" x14ac:dyDescent="0.25">
      <c r="A143" t="s">
        <v>883</v>
      </c>
      <c r="B143" t="s">
        <v>884</v>
      </c>
      <c r="C143">
        <v>3</v>
      </c>
      <c r="D143" t="s">
        <v>144</v>
      </c>
      <c r="E143" t="s">
        <v>150</v>
      </c>
      <c r="F143" t="s">
        <v>10</v>
      </c>
      <c r="G143" t="s">
        <v>10</v>
      </c>
      <c r="H143" t="s">
        <v>1120</v>
      </c>
      <c r="I143">
        <v>12900</v>
      </c>
      <c r="J143">
        <v>0</v>
      </c>
      <c r="K143">
        <v>200</v>
      </c>
      <c r="L143">
        <v>50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512</v>
      </c>
      <c r="AC143" t="s">
        <v>210</v>
      </c>
      <c r="AD143" t="s">
        <v>885</v>
      </c>
      <c r="AE143" t="s">
        <v>4</v>
      </c>
      <c r="AF143" t="s">
        <v>1</v>
      </c>
      <c r="AG143" t="s">
        <v>1</v>
      </c>
      <c r="AH143" t="s">
        <v>886</v>
      </c>
      <c r="AI143" t="s">
        <v>887</v>
      </c>
      <c r="AJ143" t="s">
        <v>3</v>
      </c>
      <c r="AK143">
        <v>9371203182</v>
      </c>
      <c r="AL143" t="s">
        <v>3</v>
      </c>
      <c r="AM143" t="s">
        <v>3</v>
      </c>
      <c r="AN143" t="s">
        <v>3</v>
      </c>
      <c r="AO143" t="s">
        <v>886</v>
      </c>
      <c r="AP143" t="s">
        <v>3</v>
      </c>
      <c r="AQ143" t="s">
        <v>2</v>
      </c>
      <c r="AR143" t="s">
        <v>1</v>
      </c>
      <c r="AS143" t="s">
        <v>1</v>
      </c>
      <c r="AT143" t="s">
        <v>1</v>
      </c>
      <c r="AU143" t="s">
        <v>1</v>
      </c>
      <c r="AV143" t="s">
        <v>1</v>
      </c>
      <c r="AW143" t="s">
        <v>11</v>
      </c>
      <c r="AX143">
        <f>Tabla1[[#This Row],[precio del paquete]]-Tabla1[[#This Row],[Saldo_Deudor]]</f>
        <v>4800</v>
      </c>
      <c r="AY143">
        <v>8100</v>
      </c>
      <c r="AZ143" t="s">
        <v>1</v>
      </c>
      <c r="BA143" t="s">
        <v>1</v>
      </c>
      <c r="BB143" t="s">
        <v>1</v>
      </c>
      <c r="BC143" t="s">
        <v>259</v>
      </c>
      <c r="BD143" t="s">
        <v>1157</v>
      </c>
      <c r="BE143" t="s">
        <v>1</v>
      </c>
      <c r="BF143" t="s">
        <v>1</v>
      </c>
      <c r="BG143" t="s">
        <v>1</v>
      </c>
      <c r="BH143" t="s">
        <v>1</v>
      </c>
      <c r="BI143" t="s">
        <v>1</v>
      </c>
      <c r="BJ143" t="s">
        <v>272</v>
      </c>
      <c r="BK143" t="s">
        <v>1</v>
      </c>
      <c r="BL143" t="s">
        <v>132</v>
      </c>
      <c r="BM143" t="s">
        <v>1</v>
      </c>
      <c r="BN143">
        <v>12900</v>
      </c>
      <c r="BO143" t="s">
        <v>1</v>
      </c>
      <c r="BP143" t="s">
        <v>1</v>
      </c>
      <c r="BQ143" t="s">
        <v>1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0</v>
      </c>
      <c r="BX143" t="s">
        <v>1</v>
      </c>
      <c r="BY143" t="s">
        <v>1</v>
      </c>
      <c r="BZ143" t="s">
        <v>1</v>
      </c>
      <c r="CA143" t="s">
        <v>1</v>
      </c>
      <c r="CB143" t="s">
        <v>277</v>
      </c>
      <c r="CD143" t="str" cm="1">
        <f t="array" aca="1" ref="CD143" ca="1">eConcatenar(A143:CB143,"|")</f>
        <v>xo4MqYI0q1CYMLb1|CAR2020-4215|3|IMPERIAL DE LUJO|TABASCO|CARDENAS |CARDENAS |2020-10-21|12900|0|200|50|1|0|0|0|0|0|0|0|0|0|0|0|0|0|0|LARA|DE LA CRUZ|MINERVA|SOLTERO|X|X|CALLE JOSEFA ORTIZ DE DOMINGUEZ CERRADA DEL MACUILI|COLONIA LAZARO CARDENAS DEL RIO|x|9371203182|x|x|x|CALLE JOSEFA ORTIZ DE DOMINGUEZ CERRADA DEL MACUILI|x|LUNES|X|X|X|X|X|DOMICILIO |4800|8100|X|X|X|2022-03-03|2022-03-10|X|X|X|X|X|QX002L6W9KVTQO|X|HOMBRE|X|12900|X|X|X|X|X|X|X|X|CARDENAS|X|X|X|X|FINAL</v>
      </c>
    </row>
    <row r="144" spans="1:82" x14ac:dyDescent="0.25">
      <c r="A144" t="s">
        <v>888</v>
      </c>
      <c r="B144" t="s">
        <v>889</v>
      </c>
      <c r="C144">
        <v>3</v>
      </c>
      <c r="D144" t="s">
        <v>145</v>
      </c>
      <c r="E144" t="s">
        <v>150</v>
      </c>
      <c r="F144" t="s">
        <v>10</v>
      </c>
      <c r="G144" t="s">
        <v>10</v>
      </c>
      <c r="H144" t="s">
        <v>181</v>
      </c>
      <c r="I144">
        <v>14800</v>
      </c>
      <c r="J144">
        <v>0</v>
      </c>
      <c r="K144">
        <v>200</v>
      </c>
      <c r="L144">
        <v>50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215</v>
      </c>
      <c r="AC144" t="s">
        <v>890</v>
      </c>
      <c r="AD144" t="s">
        <v>891</v>
      </c>
      <c r="AE144" t="s">
        <v>4</v>
      </c>
      <c r="AF144" t="s">
        <v>1</v>
      </c>
      <c r="AG144" t="s">
        <v>1</v>
      </c>
      <c r="AH144" t="s">
        <v>892</v>
      </c>
      <c r="AI144" t="s">
        <v>841</v>
      </c>
      <c r="AJ144" t="s">
        <v>3</v>
      </c>
      <c r="AK144">
        <v>9371114790</v>
      </c>
      <c r="AL144" t="s">
        <v>3</v>
      </c>
      <c r="AM144" t="s">
        <v>3</v>
      </c>
      <c r="AN144" t="s">
        <v>3</v>
      </c>
      <c r="AO144" t="s">
        <v>892</v>
      </c>
      <c r="AP144" t="s">
        <v>3</v>
      </c>
      <c r="AQ144" t="s">
        <v>2</v>
      </c>
      <c r="AR144" t="s">
        <v>1</v>
      </c>
      <c r="AS144" t="s">
        <v>1</v>
      </c>
      <c r="AT144" t="s">
        <v>1</v>
      </c>
      <c r="AU144" t="s">
        <v>1</v>
      </c>
      <c r="AV144" t="s">
        <v>1</v>
      </c>
      <c r="AW144" t="s">
        <v>11</v>
      </c>
      <c r="AX144">
        <f>Tabla1[[#This Row],[precio del paquete]]-Tabla1[[#This Row],[Saldo_Deudor]]</f>
        <v>2000</v>
      </c>
      <c r="AY144">
        <v>12800</v>
      </c>
      <c r="AZ144" t="s">
        <v>1</v>
      </c>
      <c r="BA144" t="s">
        <v>1</v>
      </c>
      <c r="BB144" t="s">
        <v>1</v>
      </c>
      <c r="BC144" t="s">
        <v>173</v>
      </c>
      <c r="BD144" t="s">
        <v>159</v>
      </c>
      <c r="BE144" t="s">
        <v>1</v>
      </c>
      <c r="BF144" t="s">
        <v>1</v>
      </c>
      <c r="BG144" t="s">
        <v>1</v>
      </c>
      <c r="BH144" t="s">
        <v>1</v>
      </c>
      <c r="BI144" t="s">
        <v>1</v>
      </c>
      <c r="BJ144" t="s">
        <v>272</v>
      </c>
      <c r="BK144" t="s">
        <v>1</v>
      </c>
      <c r="BL144" t="s">
        <v>132</v>
      </c>
      <c r="BM144" t="s">
        <v>1</v>
      </c>
      <c r="BN144">
        <v>14800</v>
      </c>
      <c r="BO144" t="s">
        <v>1</v>
      </c>
      <c r="BP144" t="s">
        <v>1</v>
      </c>
      <c r="BQ144" t="s">
        <v>1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0</v>
      </c>
      <c r="BX144" t="s">
        <v>1</v>
      </c>
      <c r="BY144" t="s">
        <v>1</v>
      </c>
      <c r="BZ144" t="s">
        <v>1</v>
      </c>
      <c r="CA144" t="s">
        <v>1</v>
      </c>
      <c r="CB144" t="s">
        <v>277</v>
      </c>
      <c r="CD144" t="str" cm="1">
        <f t="array" aca="1" ref="CD144" ca="1">eConcatenar(A144:CB144,"|")</f>
        <v>OOhE9woNaFU2CubU|CAR2020-6427|3|MEMORIAL|TABASCO|CARDENAS |CARDENAS |2021-10-25|14800|0|200|50|0|0|0|0|0|0|0|0|0|0|0|0|0|0|0|SANCHEZ|CASTRO|NAYVI MARIAYAZMIN|SOLTERO|X|X|CARRETERA CARDENAS COMALCALCO|COLONIA MELCHOR OCAMPO|x|9371114790|x|x|x|CARRETERA CARDENAS COMALCALCO|x|LUNES|X|X|X|X|X|DOMICILIO |2000|12800|X|X|X|2022-02-03|2022-02-10|X|X|X|X|X|QX002L6W9KVTQO|X|HOMBRE|X|14800|X|X|X|X|X|X|X|X|CARDENAS|X|X|X|X|FINAL</v>
      </c>
    </row>
    <row r="145" spans="1:82" x14ac:dyDescent="0.25">
      <c r="A145" t="s">
        <v>893</v>
      </c>
      <c r="B145" t="s">
        <v>894</v>
      </c>
      <c r="C145">
        <v>3</v>
      </c>
      <c r="D145" t="s">
        <v>145</v>
      </c>
      <c r="E145" t="s">
        <v>150</v>
      </c>
      <c r="F145" t="s">
        <v>0</v>
      </c>
      <c r="G145" t="s">
        <v>0</v>
      </c>
      <c r="H145" t="s">
        <v>181</v>
      </c>
      <c r="I145">
        <v>14800</v>
      </c>
      <c r="J145">
        <v>0</v>
      </c>
      <c r="K145">
        <v>200</v>
      </c>
      <c r="L145">
        <v>50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208</v>
      </c>
      <c r="AC145" t="s">
        <v>215</v>
      </c>
      <c r="AD145" t="s">
        <v>895</v>
      </c>
      <c r="AE145" t="s">
        <v>4</v>
      </c>
      <c r="AF145" t="s">
        <v>1</v>
      </c>
      <c r="AG145" t="s">
        <v>1</v>
      </c>
      <c r="AH145" t="s">
        <v>892</v>
      </c>
      <c r="AI145" t="s">
        <v>841</v>
      </c>
      <c r="AJ145" t="s">
        <v>3</v>
      </c>
      <c r="AK145">
        <v>9831821789</v>
      </c>
      <c r="AL145" t="s">
        <v>3</v>
      </c>
      <c r="AM145" t="s">
        <v>3</v>
      </c>
      <c r="AN145" t="s">
        <v>3</v>
      </c>
      <c r="AO145" t="s">
        <v>892</v>
      </c>
      <c r="AP145" t="s">
        <v>3</v>
      </c>
      <c r="AQ145" t="s">
        <v>2</v>
      </c>
      <c r="AR145" t="s">
        <v>1</v>
      </c>
      <c r="AS145" t="s">
        <v>1</v>
      </c>
      <c r="AT145" t="s">
        <v>1</v>
      </c>
      <c r="AU145" t="s">
        <v>1</v>
      </c>
      <c r="AV145" t="s">
        <v>1</v>
      </c>
      <c r="AW145" t="s">
        <v>11</v>
      </c>
      <c r="AX145">
        <f>Tabla1[[#This Row],[precio del paquete]]-Tabla1[[#This Row],[Saldo_Deudor]]</f>
        <v>2000</v>
      </c>
      <c r="AY145">
        <v>12800</v>
      </c>
      <c r="AZ145" t="s">
        <v>1</v>
      </c>
      <c r="BA145" t="s">
        <v>1</v>
      </c>
      <c r="BB145" t="s">
        <v>1</v>
      </c>
      <c r="BC145" t="s">
        <v>259</v>
      </c>
      <c r="BD145" t="s">
        <v>1157</v>
      </c>
      <c r="BE145" t="s">
        <v>1</v>
      </c>
      <c r="BF145" t="s">
        <v>1</v>
      </c>
      <c r="BG145" t="s">
        <v>1</v>
      </c>
      <c r="BH145" t="s">
        <v>1</v>
      </c>
      <c r="BI145" t="s">
        <v>1</v>
      </c>
      <c r="BJ145" t="s">
        <v>272</v>
      </c>
      <c r="BK145" t="s">
        <v>1</v>
      </c>
      <c r="BL145" t="s">
        <v>132</v>
      </c>
      <c r="BM145" t="s">
        <v>1</v>
      </c>
      <c r="BN145">
        <v>14800</v>
      </c>
      <c r="BO145" t="s">
        <v>1</v>
      </c>
      <c r="BP145" t="s">
        <v>1</v>
      </c>
      <c r="BQ145" t="s">
        <v>1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0</v>
      </c>
      <c r="BX145" t="s">
        <v>1</v>
      </c>
      <c r="BY145" t="s">
        <v>1</v>
      </c>
      <c r="BZ145" t="s">
        <v>1</v>
      </c>
      <c r="CA145" t="s">
        <v>1</v>
      </c>
      <c r="CB145" t="s">
        <v>277</v>
      </c>
      <c r="CD145" t="str" cm="1">
        <f t="array" aca="1" ref="CD145" ca="1">eConcatenar(A145:CB145,"|")</f>
        <v>h96hkjJkiIciWZvC|CAR2021-6429|3|MEMORIAL|TABASCO|CARDENAS|CARDENAS|2021-10-25|14800|0|200|50|0|0|0|0|0|0|0|0|0|0|0|0|0|0|0|MARTINEZ|SANCHEZ|JAIME CARLOS|SOLTERO|X|X|CARRETERA CARDENAS COMALCALCO|COLONIA MELCHOR OCAMPO|x|9831821789|x|x|x|CARRETERA CARDENAS COMALCALCO|x|LUNES|X|X|X|X|X|DOMICILIO |2000|12800|X|X|X|2022-03-03|2022-03-10|X|X|X|X|X|QX002L6W9KVTQO|X|HOMBRE|X|14800|X|X|X|X|X|X|X|X|CARDENAS|X|X|X|X|FINAL</v>
      </c>
    </row>
    <row r="146" spans="1:82" x14ac:dyDescent="0.25">
      <c r="A146" t="s">
        <v>896</v>
      </c>
      <c r="B146" t="s">
        <v>897</v>
      </c>
      <c r="C146">
        <v>3</v>
      </c>
      <c r="D146" t="s">
        <v>148</v>
      </c>
      <c r="E146" t="s">
        <v>150</v>
      </c>
      <c r="F146" t="s">
        <v>0</v>
      </c>
      <c r="G146" t="s">
        <v>0</v>
      </c>
      <c r="H146" t="s">
        <v>1121</v>
      </c>
      <c r="I146">
        <v>24500</v>
      </c>
      <c r="J146">
        <v>0</v>
      </c>
      <c r="K146">
        <v>150</v>
      </c>
      <c r="L146">
        <v>50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898</v>
      </c>
      <c r="AC146" t="s">
        <v>212</v>
      </c>
      <c r="AD146" t="s">
        <v>899</v>
      </c>
      <c r="AE146" t="s">
        <v>4</v>
      </c>
      <c r="AF146" t="s">
        <v>1</v>
      </c>
      <c r="AG146" t="s">
        <v>1</v>
      </c>
      <c r="AH146" t="s">
        <v>900</v>
      </c>
      <c r="AI146" t="s">
        <v>243</v>
      </c>
      <c r="AJ146" t="s">
        <v>3</v>
      </c>
      <c r="AK146">
        <v>9371252350</v>
      </c>
      <c r="AL146" t="s">
        <v>3</v>
      </c>
      <c r="AM146" t="s">
        <v>3</v>
      </c>
      <c r="AN146" t="s">
        <v>3</v>
      </c>
      <c r="AO146" t="s">
        <v>900</v>
      </c>
      <c r="AP146" t="s">
        <v>3</v>
      </c>
      <c r="AQ146" t="s">
        <v>2</v>
      </c>
      <c r="AR146" t="s">
        <v>1</v>
      </c>
      <c r="AS146" t="s">
        <v>1</v>
      </c>
      <c r="AT146" t="s">
        <v>1</v>
      </c>
      <c r="AU146" t="s">
        <v>1</v>
      </c>
      <c r="AV146" t="s">
        <v>1</v>
      </c>
      <c r="AW146" t="s">
        <v>11</v>
      </c>
      <c r="AX146">
        <f>Tabla1[[#This Row],[precio del paquete]]-Tabla1[[#This Row],[Saldo_Deudor]]</f>
        <v>5550</v>
      </c>
      <c r="AY146">
        <v>18950</v>
      </c>
      <c r="AZ146" t="s">
        <v>1</v>
      </c>
      <c r="BA146" t="s">
        <v>1</v>
      </c>
      <c r="BB146" t="s">
        <v>1</v>
      </c>
      <c r="BC146" t="s">
        <v>259</v>
      </c>
      <c r="BD146" t="s">
        <v>1157</v>
      </c>
      <c r="BE146" t="s">
        <v>1</v>
      </c>
      <c r="BF146" t="s">
        <v>1</v>
      </c>
      <c r="BG146" t="s">
        <v>1</v>
      </c>
      <c r="BH146" t="s">
        <v>1</v>
      </c>
      <c r="BI146" t="s">
        <v>1</v>
      </c>
      <c r="BJ146" t="s">
        <v>272</v>
      </c>
      <c r="BK146" t="s">
        <v>1</v>
      </c>
      <c r="BL146" t="s">
        <v>132</v>
      </c>
      <c r="BM146" t="s">
        <v>1</v>
      </c>
      <c r="BN146">
        <v>24500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0</v>
      </c>
      <c r="BX146" t="s">
        <v>1</v>
      </c>
      <c r="BY146" t="s">
        <v>1</v>
      </c>
      <c r="BZ146" t="s">
        <v>1</v>
      </c>
      <c r="CA146" t="s">
        <v>1</v>
      </c>
      <c r="CB146" t="s">
        <v>277</v>
      </c>
      <c r="CD146" t="str" cm="1">
        <f t="array" aca="1" ref="CD146" ca="1">eConcatenar(A146:CB146,"|")</f>
        <v>WNzaeNSW2YO07RZy|CAR2021-1862|3|DIGNITY|TABASCO|CARDENAS|CARDENAS|2021-05-08|24500|0|150|50|0|0|0|0|0|0|0|0|0|0|0|0|0|0|0|PEREGRINO|DOMINGUEZ|MIRELLA|SOLTERO|X|X|CALLE ANTONIO ORTIZ |COLONIA NUEVO PROGRESO|x|9371252350|x|x|x|CALLE ANTONIO ORTIZ |x|LUNES|X|X|X|X|X|DOMICILIO |5550|18950|X|X|X|2022-03-03|2022-03-10|X|X|X|X|X|QX002L6W9KVTQO|X|HOMBRE|X|24500|X|X|X|X|X|X|X|X|CARDENAS|X|X|X|X|FINAL</v>
      </c>
    </row>
    <row r="147" spans="1:82" x14ac:dyDescent="0.25">
      <c r="A147" t="s">
        <v>901</v>
      </c>
      <c r="B147" t="s">
        <v>902</v>
      </c>
      <c r="C147">
        <v>3</v>
      </c>
      <c r="D147" t="s">
        <v>145</v>
      </c>
      <c r="E147" t="s">
        <v>150</v>
      </c>
      <c r="F147" t="s">
        <v>0</v>
      </c>
      <c r="G147" t="s">
        <v>0</v>
      </c>
      <c r="H147" t="s">
        <v>165</v>
      </c>
      <c r="I147">
        <v>14800</v>
      </c>
      <c r="J147">
        <v>0</v>
      </c>
      <c r="K147">
        <v>100</v>
      </c>
      <c r="L147">
        <v>50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210</v>
      </c>
      <c r="AC147" t="s">
        <v>903</v>
      </c>
      <c r="AD147" t="s">
        <v>904</v>
      </c>
      <c r="AE147" t="s">
        <v>4</v>
      </c>
      <c r="AF147" t="s">
        <v>1</v>
      </c>
      <c r="AG147" t="s">
        <v>1</v>
      </c>
      <c r="AH147" t="s">
        <v>905</v>
      </c>
      <c r="AI147" t="s">
        <v>243</v>
      </c>
      <c r="AJ147" t="s">
        <v>3</v>
      </c>
      <c r="AK147">
        <v>9543744574</v>
      </c>
      <c r="AL147" t="s">
        <v>3</v>
      </c>
      <c r="AM147" t="s">
        <v>3</v>
      </c>
      <c r="AN147" t="s">
        <v>3</v>
      </c>
      <c r="AO147" t="s">
        <v>905</v>
      </c>
      <c r="AP147" t="s">
        <v>3</v>
      </c>
      <c r="AQ147" t="s">
        <v>2</v>
      </c>
      <c r="AR147" t="s">
        <v>1</v>
      </c>
      <c r="AS147" t="s">
        <v>1</v>
      </c>
      <c r="AT147" t="s">
        <v>1</v>
      </c>
      <c r="AU147" t="s">
        <v>1</v>
      </c>
      <c r="AV147" t="s">
        <v>1</v>
      </c>
      <c r="AW147" t="s">
        <v>11</v>
      </c>
      <c r="AX147">
        <f>Tabla1[[#This Row],[precio del paquete]]-Tabla1[[#This Row],[Saldo_Deudor]]</f>
        <v>3000</v>
      </c>
      <c r="AY147">
        <v>11800</v>
      </c>
      <c r="AZ147" t="s">
        <v>1</v>
      </c>
      <c r="BA147" t="s">
        <v>1</v>
      </c>
      <c r="BB147" t="s">
        <v>1</v>
      </c>
      <c r="BC147" t="s">
        <v>259</v>
      </c>
      <c r="BD147" t="s">
        <v>1157</v>
      </c>
      <c r="BE147" t="s">
        <v>1</v>
      </c>
      <c r="BF147" t="s">
        <v>1</v>
      </c>
      <c r="BG147" t="s">
        <v>1</v>
      </c>
      <c r="BH147" t="s">
        <v>1</v>
      </c>
      <c r="BI147" t="s">
        <v>1</v>
      </c>
      <c r="BJ147" t="s">
        <v>272</v>
      </c>
      <c r="BK147" t="s">
        <v>1</v>
      </c>
      <c r="BL147" t="s">
        <v>132</v>
      </c>
      <c r="BM147" t="s">
        <v>1</v>
      </c>
      <c r="BN147">
        <v>14800</v>
      </c>
      <c r="BO147" t="s">
        <v>1</v>
      </c>
      <c r="BP147" t="s">
        <v>1</v>
      </c>
      <c r="BQ147" t="s">
        <v>1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0</v>
      </c>
      <c r="BX147" t="s">
        <v>1</v>
      </c>
      <c r="BY147" t="s">
        <v>1</v>
      </c>
      <c r="BZ147" t="s">
        <v>1</v>
      </c>
      <c r="CA147" t="s">
        <v>1</v>
      </c>
      <c r="CB147" t="s">
        <v>277</v>
      </c>
      <c r="CD147" t="str" cm="1">
        <f t="array" aca="1" ref="CD147" ca="1">eConcatenar(A147:CB147,"|")</f>
        <v>cKXMyDyf0ucRsOqj|CAR2021-6058|3|MEMORIAL|TABASCO|CARDENAS|CARDENAS|2021-10-12|14800|0|100|50|0|0|0|0|0|0|0|0|0|0|0|0|0|0|0|DE LA CRUZ|ORTIZ|CARLOS|SOLTERO|X|X|CALLE LUIS DONALDO COLOSIO SIN NUMERO|COLONIA NUEVO PROGRESO|x|9543744574|x|x|x|CALLE LUIS DONALDO COLOSIO SIN NUMERO|x|LUNES|X|X|X|X|X|DOMICILIO |3000|11800|X|X|X|2022-03-03|2022-03-10|X|X|X|X|X|QX002L6W9KVTQO|X|HOMBRE|X|14800|X|X|X|X|X|X|X|X|CARDENAS|X|X|X|X|FINAL</v>
      </c>
    </row>
    <row r="148" spans="1:82" x14ac:dyDescent="0.25">
      <c r="A148" t="s">
        <v>906</v>
      </c>
      <c r="B148" t="s">
        <v>907</v>
      </c>
      <c r="C148">
        <v>3</v>
      </c>
      <c r="D148" t="s">
        <v>144</v>
      </c>
      <c r="E148" t="s">
        <v>150</v>
      </c>
      <c r="F148" t="s">
        <v>0</v>
      </c>
      <c r="G148" t="s">
        <v>0</v>
      </c>
      <c r="H148" t="s">
        <v>1122</v>
      </c>
      <c r="I148">
        <v>14800</v>
      </c>
      <c r="J148">
        <v>0</v>
      </c>
      <c r="K148">
        <v>200</v>
      </c>
      <c r="L148">
        <v>50</v>
      </c>
      <c r="M148">
        <v>1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908</v>
      </c>
      <c r="AC148" t="s">
        <v>8</v>
      </c>
      <c r="AD148" t="s">
        <v>909</v>
      </c>
      <c r="AE148" t="s">
        <v>4</v>
      </c>
      <c r="AF148" t="s">
        <v>1</v>
      </c>
      <c r="AG148" t="s">
        <v>1</v>
      </c>
      <c r="AH148" t="s">
        <v>910</v>
      </c>
      <c r="AI148" t="s">
        <v>243</v>
      </c>
      <c r="AJ148" t="s">
        <v>3</v>
      </c>
      <c r="AK148">
        <v>9371273175</v>
      </c>
      <c r="AL148" t="s">
        <v>3</v>
      </c>
      <c r="AM148" t="s">
        <v>3</v>
      </c>
      <c r="AN148" t="s">
        <v>3</v>
      </c>
      <c r="AO148" t="s">
        <v>910</v>
      </c>
      <c r="AP148" t="s">
        <v>3</v>
      </c>
      <c r="AQ148" t="s">
        <v>2</v>
      </c>
      <c r="AR148" t="s">
        <v>1</v>
      </c>
      <c r="AS148" t="s">
        <v>1</v>
      </c>
      <c r="AT148" t="s">
        <v>1</v>
      </c>
      <c r="AU148" t="s">
        <v>1</v>
      </c>
      <c r="AV148" t="s">
        <v>1</v>
      </c>
      <c r="AW148" t="s">
        <v>11</v>
      </c>
      <c r="AX148">
        <f>Tabla1[[#This Row],[precio del paquete]]-Tabla1[[#This Row],[Saldo_Deudor]]</f>
        <v>7500</v>
      </c>
      <c r="AY148">
        <v>7300</v>
      </c>
      <c r="AZ148" t="s">
        <v>1</v>
      </c>
      <c r="BA148" t="s">
        <v>1</v>
      </c>
      <c r="BB148" t="s">
        <v>1</v>
      </c>
      <c r="BC148" t="s">
        <v>259</v>
      </c>
      <c r="BD148" t="s">
        <v>1157</v>
      </c>
      <c r="BE148" t="s">
        <v>1</v>
      </c>
      <c r="BF148" t="s">
        <v>1</v>
      </c>
      <c r="BG148" t="s">
        <v>1</v>
      </c>
      <c r="BH148" t="s">
        <v>1</v>
      </c>
      <c r="BI148" t="s">
        <v>1</v>
      </c>
      <c r="BJ148" t="s">
        <v>272</v>
      </c>
      <c r="BK148" t="s">
        <v>1</v>
      </c>
      <c r="BL148" t="s">
        <v>132</v>
      </c>
      <c r="BM148" t="s">
        <v>1</v>
      </c>
      <c r="BN148">
        <v>14800</v>
      </c>
      <c r="BO148" t="s">
        <v>1</v>
      </c>
      <c r="BP148" t="s">
        <v>1</v>
      </c>
      <c r="BQ148" t="s">
        <v>1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0</v>
      </c>
      <c r="BX148" t="s">
        <v>1</v>
      </c>
      <c r="BY148" t="s">
        <v>1</v>
      </c>
      <c r="BZ148" t="s">
        <v>1</v>
      </c>
      <c r="CA148" t="s">
        <v>1</v>
      </c>
      <c r="CB148" t="s">
        <v>277</v>
      </c>
      <c r="CD148" t="str" cm="1">
        <f t="array" aca="1" ref="CD148" ca="1">eConcatenar(A148:CB148,"|")</f>
        <v>hQzxuQ683qoVilQx|CAR2020-4026|3|IMPERIAL DE LUJO|TABASCO|CARDENAS|CARDENAS|2020-10-15|14800|0|200|50|1|0|0|0|0|0|0|0|0|0|0|0|0|0|0|LUCIANO|GOMEZ|ANGELA|SOLTERO|X|X|CALLE MENDEZ NUMERO 146|COLONIA NUEVO PROGRESO|x|9371273175|x|x|x|CALLE MENDEZ NUMERO 146|x|LUNES|X|X|X|X|X|DOMICILIO |7500|7300|X|X|X|2022-03-03|2022-03-10|X|X|X|X|X|QX002L6W9KVTQO|X|HOMBRE|X|14800|X|X|X|X|X|X|X|X|CARDENAS|X|X|X|X|FINAL</v>
      </c>
    </row>
    <row r="149" spans="1:82" x14ac:dyDescent="0.25">
      <c r="A149" t="s">
        <v>911</v>
      </c>
      <c r="B149" t="s">
        <v>912</v>
      </c>
      <c r="C149">
        <v>3</v>
      </c>
      <c r="D149" t="s">
        <v>145</v>
      </c>
      <c r="E149" t="s">
        <v>150</v>
      </c>
      <c r="F149" t="s">
        <v>0</v>
      </c>
      <c r="G149" t="s">
        <v>0</v>
      </c>
      <c r="H149" t="s">
        <v>1113</v>
      </c>
      <c r="I149">
        <v>14800</v>
      </c>
      <c r="J149">
        <v>0</v>
      </c>
      <c r="K149">
        <v>100</v>
      </c>
      <c r="L149">
        <v>50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203</v>
      </c>
      <c r="AC149" t="s">
        <v>758</v>
      </c>
      <c r="AD149" t="s">
        <v>832</v>
      </c>
      <c r="AE149" t="s">
        <v>4</v>
      </c>
      <c r="AF149" t="s">
        <v>1</v>
      </c>
      <c r="AG149" t="s">
        <v>1</v>
      </c>
      <c r="AH149" t="s">
        <v>913</v>
      </c>
      <c r="AI149" t="s">
        <v>243</v>
      </c>
      <c r="AJ149" t="s">
        <v>3</v>
      </c>
      <c r="AK149">
        <v>9371422831</v>
      </c>
      <c r="AL149" t="s">
        <v>3</v>
      </c>
      <c r="AM149" t="s">
        <v>3</v>
      </c>
      <c r="AN149" t="s">
        <v>3</v>
      </c>
      <c r="AO149" t="s">
        <v>913</v>
      </c>
      <c r="AP149" t="s">
        <v>3</v>
      </c>
      <c r="AQ149" t="s">
        <v>2</v>
      </c>
      <c r="AR149" t="s">
        <v>1</v>
      </c>
      <c r="AS149" t="s">
        <v>1</v>
      </c>
      <c r="AT149" t="s">
        <v>1</v>
      </c>
      <c r="AU149" t="s">
        <v>1</v>
      </c>
      <c r="AV149" t="s">
        <v>1</v>
      </c>
      <c r="AW149" t="s">
        <v>11</v>
      </c>
      <c r="AX149">
        <f>Tabla1[[#This Row],[precio del paquete]]-Tabla1[[#This Row],[Saldo_Deudor]]</f>
        <v>2300</v>
      </c>
      <c r="AY149">
        <v>12500</v>
      </c>
      <c r="AZ149" t="s">
        <v>1</v>
      </c>
      <c r="BA149" t="s">
        <v>1</v>
      </c>
      <c r="BB149" t="s">
        <v>1</v>
      </c>
      <c r="BC149" t="s">
        <v>259</v>
      </c>
      <c r="BD149" t="s">
        <v>1157</v>
      </c>
      <c r="BE149" t="s">
        <v>1</v>
      </c>
      <c r="BF149" t="s">
        <v>1</v>
      </c>
      <c r="BG149" t="s">
        <v>1</v>
      </c>
      <c r="BH149" t="s">
        <v>1</v>
      </c>
      <c r="BI149" t="s">
        <v>1</v>
      </c>
      <c r="BJ149" t="s">
        <v>272</v>
      </c>
      <c r="BK149" t="s">
        <v>1</v>
      </c>
      <c r="BL149" t="s">
        <v>132</v>
      </c>
      <c r="BM149" t="s">
        <v>1</v>
      </c>
      <c r="BN149">
        <v>14800</v>
      </c>
      <c r="BO149" t="s">
        <v>1</v>
      </c>
      <c r="BP149" t="s">
        <v>1</v>
      </c>
      <c r="BQ149" t="s">
        <v>1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0</v>
      </c>
      <c r="BX149" t="s">
        <v>1</v>
      </c>
      <c r="BY149" t="s">
        <v>1</v>
      </c>
      <c r="BZ149" t="s">
        <v>1</v>
      </c>
      <c r="CA149" t="s">
        <v>1</v>
      </c>
      <c r="CB149" t="s">
        <v>277</v>
      </c>
      <c r="CD149" t="str" cm="1">
        <f t="array" aca="1" ref="CD149" ca="1">eConcatenar(A149:CB149,"|")</f>
        <v>kk6C2wE5M6yvd3zy|CAR2020-6450|3|MEMORIAL|TABASCO|CARDENAS|CARDENAS|2021-10-27|14800|0|100|50|0|0|0|0|0|0|0|0|0|0|0|0|0|0|0|GARCIA|BAUTISTA|ROSA DEL CARMEN|SOLTERO|X|X|CALLE NARCISO MENDOZA NUMERO 126|COLONIA NUEVO PROGRESO|x|9371422831|x|x|x|CALLE NARCISO MENDOZA NUMERO 126|x|LUNES|X|X|X|X|X|DOMICILIO |2300|12500|X|X|X|2022-03-03|2022-03-10|X|X|X|X|X|QX002L6W9KVTQO|X|HOMBRE|X|14800|X|X|X|X|X|X|X|X|CARDENAS|X|X|X|X|FINAL</v>
      </c>
    </row>
    <row r="150" spans="1:82" x14ac:dyDescent="0.25">
      <c r="A150" t="s">
        <v>914</v>
      </c>
      <c r="B150" t="s">
        <v>915</v>
      </c>
      <c r="C150">
        <v>3</v>
      </c>
      <c r="D150" t="s">
        <v>145</v>
      </c>
      <c r="E150" t="s">
        <v>150</v>
      </c>
      <c r="F150" t="s">
        <v>0</v>
      </c>
      <c r="G150" t="s">
        <v>0</v>
      </c>
      <c r="H150" t="s">
        <v>1123</v>
      </c>
      <c r="I150">
        <v>14800</v>
      </c>
      <c r="J150">
        <v>0</v>
      </c>
      <c r="K150">
        <v>200</v>
      </c>
      <c r="L150">
        <v>50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916</v>
      </c>
      <c r="AC150" t="s">
        <v>7</v>
      </c>
      <c r="AD150" t="s">
        <v>917</v>
      </c>
      <c r="AE150" t="s">
        <v>4</v>
      </c>
      <c r="AF150" t="s">
        <v>1</v>
      </c>
      <c r="AG150" t="s">
        <v>1</v>
      </c>
      <c r="AH150" t="s">
        <v>918</v>
      </c>
      <c r="AI150" t="s">
        <v>243</v>
      </c>
      <c r="AJ150" t="s">
        <v>3</v>
      </c>
      <c r="AK150">
        <v>9372290487</v>
      </c>
      <c r="AL150" t="s">
        <v>3</v>
      </c>
      <c r="AM150" t="s">
        <v>3</v>
      </c>
      <c r="AN150" t="s">
        <v>3</v>
      </c>
      <c r="AO150" t="s">
        <v>918</v>
      </c>
      <c r="AP150" t="s">
        <v>3</v>
      </c>
      <c r="AQ150" t="s">
        <v>2</v>
      </c>
      <c r="AR150" t="s">
        <v>1</v>
      </c>
      <c r="AS150" t="s">
        <v>1</v>
      </c>
      <c r="AT150" t="s">
        <v>1</v>
      </c>
      <c r="AU150" t="s">
        <v>1</v>
      </c>
      <c r="AV150" t="s">
        <v>1</v>
      </c>
      <c r="AW150" t="s">
        <v>11</v>
      </c>
      <c r="AX150">
        <f>Tabla1[[#This Row],[precio del paquete]]-Tabla1[[#This Row],[Saldo_Deudor]]</f>
        <v>6800</v>
      </c>
      <c r="AY150">
        <v>8000</v>
      </c>
      <c r="AZ150" t="s">
        <v>1</v>
      </c>
      <c r="BA150" t="s">
        <v>1</v>
      </c>
      <c r="BB150" t="s">
        <v>1</v>
      </c>
      <c r="BC150" t="s">
        <v>259</v>
      </c>
      <c r="BD150" t="s">
        <v>1157</v>
      </c>
      <c r="BE150" t="s">
        <v>1</v>
      </c>
      <c r="BF150" t="s">
        <v>1</v>
      </c>
      <c r="BG150" t="s">
        <v>1</v>
      </c>
      <c r="BH150" t="s">
        <v>1</v>
      </c>
      <c r="BI150" t="s">
        <v>1</v>
      </c>
      <c r="BJ150" t="s">
        <v>272</v>
      </c>
      <c r="BK150" t="s">
        <v>1</v>
      </c>
      <c r="BL150" t="s">
        <v>132</v>
      </c>
      <c r="BM150" t="s">
        <v>1</v>
      </c>
      <c r="BN150">
        <v>14800</v>
      </c>
      <c r="BO150" t="s">
        <v>1</v>
      </c>
      <c r="BP150" t="s">
        <v>1</v>
      </c>
      <c r="BQ150" t="s">
        <v>1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0</v>
      </c>
      <c r="BX150" t="s">
        <v>1</v>
      </c>
      <c r="BY150" t="s">
        <v>1</v>
      </c>
      <c r="BZ150" t="s">
        <v>1</v>
      </c>
      <c r="CA150" t="s">
        <v>1</v>
      </c>
      <c r="CB150" t="s">
        <v>277</v>
      </c>
      <c r="CD150" t="str" cm="1">
        <f t="array" aca="1" ref="CD150" ca="1">eConcatenar(A150:CB150,"|")</f>
        <v>O8QRerEm0BGTSJEN|CAR2019-1085|3|MEMORIAL|TABASCO|CARDENAS|CARDENAS|2019-04-24|14800|0|200|50|0|0|0|0|0|0|0|0|0|0|0|0|0|0|0|CERINO|LOPEZ|LETICIA DEL CARMEN|SOLTERO|X|X|CERRADA DE ALTAMIRANO NUMERO 410|COLONIA NUEVO PROGRESO|x|9372290487|x|x|x|CERRADA DE ALTAMIRANO NUMERO 410|x|LUNES|X|X|X|X|X|DOMICILIO |6800|8000|X|X|X|2022-03-03|2022-03-10|X|X|X|X|X|QX002L6W9KVTQO|X|HOMBRE|X|14800|X|X|X|X|X|X|X|X|CARDENAS|X|X|X|X|FINAL</v>
      </c>
    </row>
    <row r="151" spans="1:82" x14ac:dyDescent="0.25">
      <c r="A151" t="s">
        <v>919</v>
      </c>
      <c r="B151" t="s">
        <v>920</v>
      </c>
      <c r="C151">
        <v>3</v>
      </c>
      <c r="D151" t="s">
        <v>145</v>
      </c>
      <c r="E151" t="s">
        <v>150</v>
      </c>
      <c r="F151" t="s">
        <v>0</v>
      </c>
      <c r="G151" t="s">
        <v>0</v>
      </c>
      <c r="H151" t="s">
        <v>1124</v>
      </c>
      <c r="I151">
        <v>14800</v>
      </c>
      <c r="J151">
        <v>0</v>
      </c>
      <c r="K151">
        <v>100</v>
      </c>
      <c r="L151">
        <v>50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228</v>
      </c>
      <c r="AC151" t="s">
        <v>921</v>
      </c>
      <c r="AD151" t="s">
        <v>922</v>
      </c>
      <c r="AE151" t="s">
        <v>4</v>
      </c>
      <c r="AF151" t="s">
        <v>1</v>
      </c>
      <c r="AG151" t="s">
        <v>1</v>
      </c>
      <c r="AH151" t="s">
        <v>923</v>
      </c>
      <c r="AI151" t="s">
        <v>924</v>
      </c>
      <c r="AJ151" t="s">
        <v>3</v>
      </c>
      <c r="AK151">
        <v>9371044485</v>
      </c>
      <c r="AL151" t="s">
        <v>3</v>
      </c>
      <c r="AM151" t="s">
        <v>3</v>
      </c>
      <c r="AN151" t="s">
        <v>3</v>
      </c>
      <c r="AO151" t="s">
        <v>923</v>
      </c>
      <c r="AP151" t="s">
        <v>3</v>
      </c>
      <c r="AQ151" t="s">
        <v>2</v>
      </c>
      <c r="AR151" t="s">
        <v>1</v>
      </c>
      <c r="AS151" t="s">
        <v>1</v>
      </c>
      <c r="AT151" t="s">
        <v>1</v>
      </c>
      <c r="AU151" t="s">
        <v>1</v>
      </c>
      <c r="AV151" t="s">
        <v>1</v>
      </c>
      <c r="AW151" t="s">
        <v>11</v>
      </c>
      <c r="AX151">
        <f>Tabla1[[#This Row],[precio del paquete]]-Tabla1[[#This Row],[Saldo_Deudor]]</f>
        <v>6200</v>
      </c>
      <c r="AY151">
        <v>8600</v>
      </c>
      <c r="AZ151" t="s">
        <v>1</v>
      </c>
      <c r="BA151" t="s">
        <v>1</v>
      </c>
      <c r="BB151" t="s">
        <v>1</v>
      </c>
      <c r="BC151" t="s">
        <v>256</v>
      </c>
      <c r="BD151" t="s">
        <v>264</v>
      </c>
      <c r="BE151" t="s">
        <v>1</v>
      </c>
      <c r="BF151" t="s">
        <v>1</v>
      </c>
      <c r="BG151" t="s">
        <v>1</v>
      </c>
      <c r="BH151" t="s">
        <v>1</v>
      </c>
      <c r="BI151" t="s">
        <v>1</v>
      </c>
      <c r="BJ151" t="s">
        <v>272</v>
      </c>
      <c r="BK151" t="s">
        <v>1</v>
      </c>
      <c r="BL151" t="s">
        <v>132</v>
      </c>
      <c r="BM151" t="s">
        <v>1</v>
      </c>
      <c r="BN151">
        <v>14800</v>
      </c>
      <c r="BO151" t="s">
        <v>1</v>
      </c>
      <c r="BP151" t="s">
        <v>1</v>
      </c>
      <c r="BQ151" t="s">
        <v>1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0</v>
      </c>
      <c r="BX151" t="s">
        <v>1</v>
      </c>
      <c r="BY151" t="s">
        <v>1</v>
      </c>
      <c r="BZ151" t="s">
        <v>1</v>
      </c>
      <c r="CA151" t="s">
        <v>1</v>
      </c>
      <c r="CB151" t="s">
        <v>277</v>
      </c>
      <c r="CD151" t="str" cm="1">
        <f t="array" aca="1" ref="CD151" ca="1">eConcatenar(A151:CB151,"|")</f>
        <v>RQlA7H2jji9NPImb|CAR2020-3453|3|MEMORIAL|TABASCO|CARDENAS|CARDENAS|2020-09-26|14800|0|100|50|0|0|0|0|0|0|0|0|0|0|0|0|0|0|0|FLORES|CASANGO|ESMERALDA|SOLTERO|X|X|CALLEJON DE LA IGLESIA |RANCHERIA ARROYO HONDO PRIMERA SECCION|x|9371044485|x|x|x|CALLEJON DE LA IGLESIA |x|LUNES|X|X|X|X|X|DOMICILIO |6200|8600|X|X|X|2022-03-02|2022-03-09|X|X|X|X|X|QX002L6W9KVTQO|X|HOMBRE|X|14800|X|X|X|X|X|X|X|X|CARDENAS|X|X|X|X|FINAL</v>
      </c>
    </row>
    <row r="152" spans="1:82" x14ac:dyDescent="0.25">
      <c r="A152" t="s">
        <v>925</v>
      </c>
      <c r="B152" t="s">
        <v>926</v>
      </c>
      <c r="C152">
        <v>3</v>
      </c>
      <c r="D152" t="s">
        <v>145</v>
      </c>
      <c r="E152" t="s">
        <v>150</v>
      </c>
      <c r="F152" t="s">
        <v>0</v>
      </c>
      <c r="G152" t="s">
        <v>0</v>
      </c>
      <c r="H152" t="s">
        <v>1124</v>
      </c>
      <c r="I152">
        <v>14800</v>
      </c>
      <c r="J152">
        <v>0</v>
      </c>
      <c r="K152">
        <v>200</v>
      </c>
      <c r="L152">
        <v>50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927</v>
      </c>
      <c r="AC152" t="s">
        <v>228</v>
      </c>
      <c r="AD152" t="s">
        <v>928</v>
      </c>
      <c r="AE152" t="s">
        <v>4</v>
      </c>
      <c r="AF152" t="s">
        <v>1</v>
      </c>
      <c r="AG152" t="s">
        <v>1</v>
      </c>
      <c r="AH152" t="s">
        <v>1</v>
      </c>
      <c r="AI152" t="s">
        <v>929</v>
      </c>
      <c r="AJ152" t="s">
        <v>3</v>
      </c>
      <c r="AK152">
        <v>9371014468</v>
      </c>
      <c r="AL152" t="s">
        <v>3</v>
      </c>
      <c r="AM152" t="s">
        <v>3</v>
      </c>
      <c r="AN152" t="s">
        <v>3</v>
      </c>
      <c r="AO152" t="s">
        <v>1</v>
      </c>
      <c r="AP152" t="s">
        <v>3</v>
      </c>
      <c r="AQ152" t="s">
        <v>2</v>
      </c>
      <c r="AR152" t="s">
        <v>1</v>
      </c>
      <c r="AS152" t="s">
        <v>1</v>
      </c>
      <c r="AT152" t="s">
        <v>1</v>
      </c>
      <c r="AU152" t="s">
        <v>1</v>
      </c>
      <c r="AV152" t="s">
        <v>1</v>
      </c>
      <c r="AW152" t="s">
        <v>11</v>
      </c>
      <c r="AX152">
        <f>Tabla1[[#This Row],[precio del paquete]]-Tabla1[[#This Row],[Saldo_Deudor]]</f>
        <v>7950</v>
      </c>
      <c r="AY152">
        <v>6850</v>
      </c>
      <c r="AZ152" t="s">
        <v>1</v>
      </c>
      <c r="BA152" t="s">
        <v>1</v>
      </c>
      <c r="BB152" t="s">
        <v>1</v>
      </c>
      <c r="BC152" t="s">
        <v>256</v>
      </c>
      <c r="BD152" t="s">
        <v>264</v>
      </c>
      <c r="BE152" t="s">
        <v>1</v>
      </c>
      <c r="BF152" t="s">
        <v>1</v>
      </c>
      <c r="BG152" t="s">
        <v>1</v>
      </c>
      <c r="BH152" t="s">
        <v>1</v>
      </c>
      <c r="BI152" t="s">
        <v>1</v>
      </c>
      <c r="BJ152" t="s">
        <v>272</v>
      </c>
      <c r="BK152" t="s">
        <v>1</v>
      </c>
      <c r="BL152" t="s">
        <v>132</v>
      </c>
      <c r="BM152" t="s">
        <v>1</v>
      </c>
      <c r="BN152">
        <v>14800</v>
      </c>
      <c r="BO152" t="s">
        <v>1</v>
      </c>
      <c r="BP152" t="s">
        <v>1</v>
      </c>
      <c r="BQ152" t="s">
        <v>1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0</v>
      </c>
      <c r="BX152" t="s">
        <v>1</v>
      </c>
      <c r="BY152" t="s">
        <v>1</v>
      </c>
      <c r="BZ152" t="s">
        <v>1</v>
      </c>
      <c r="CA152" t="s">
        <v>1</v>
      </c>
      <c r="CB152" t="s">
        <v>277</v>
      </c>
      <c r="CD152" t="str" cm="1">
        <f t="array" aca="1" ref="CD152" ca="1">eConcatenar(A152:CB152,"|")</f>
        <v>MCwjlhb4MM2RBDAF|CAR2020-3454|3|MEMORIAL|TABASCO|CARDENAS|CARDENAS|2020-09-26|14800|0|200|50|0|0|0|0|0|0|0|0|0|0|0|0|0|0|0|CORONEL|FLORES|INGRID VIANEY|SOLTERO|X|X|X|ARROYO HONDO SANRA TERESA|x|9371014468|x|x|x|X|x|LUNES|X|X|X|X|X|DOMICILIO |7950|6850|X|X|X|2022-03-02|2022-03-09|X|X|X|X|X|QX002L6W9KVTQO|X|HOMBRE|X|14800|X|X|X|X|X|X|X|X|CARDENAS|X|X|X|X|FINAL</v>
      </c>
    </row>
    <row r="153" spans="1:82" x14ac:dyDescent="0.25">
      <c r="A153" t="s">
        <v>930</v>
      </c>
      <c r="B153" t="s">
        <v>931</v>
      </c>
      <c r="C153">
        <v>3</v>
      </c>
      <c r="D153" t="s">
        <v>145</v>
      </c>
      <c r="E153" t="s">
        <v>150</v>
      </c>
      <c r="F153" t="s">
        <v>0</v>
      </c>
      <c r="G153" t="s">
        <v>0</v>
      </c>
      <c r="H153" t="s">
        <v>1111</v>
      </c>
      <c r="I153">
        <v>14800</v>
      </c>
      <c r="J153">
        <v>0</v>
      </c>
      <c r="K153">
        <v>200</v>
      </c>
      <c r="L153">
        <v>50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222</v>
      </c>
      <c r="AC153" t="s">
        <v>822</v>
      </c>
      <c r="AD153" t="s">
        <v>190</v>
      </c>
      <c r="AE153" t="s">
        <v>4</v>
      </c>
      <c r="AF153" t="s">
        <v>1</v>
      </c>
      <c r="AG153" t="s">
        <v>1</v>
      </c>
      <c r="AH153" t="s">
        <v>932</v>
      </c>
      <c r="AI153" t="s">
        <v>826</v>
      </c>
      <c r="AJ153" t="s">
        <v>3</v>
      </c>
      <c r="AK153">
        <v>9371043402</v>
      </c>
      <c r="AL153" t="s">
        <v>3</v>
      </c>
      <c r="AM153" t="s">
        <v>3</v>
      </c>
      <c r="AN153" t="s">
        <v>3</v>
      </c>
      <c r="AO153" t="s">
        <v>932</v>
      </c>
      <c r="AP153" t="s">
        <v>3</v>
      </c>
      <c r="AQ153" t="s">
        <v>2</v>
      </c>
      <c r="AR153" t="s">
        <v>1</v>
      </c>
      <c r="AS153" t="s">
        <v>1</v>
      </c>
      <c r="AT153" t="s">
        <v>1</v>
      </c>
      <c r="AU153" t="s">
        <v>1</v>
      </c>
      <c r="AV153" t="s">
        <v>1</v>
      </c>
      <c r="AW153" t="s">
        <v>11</v>
      </c>
      <c r="AX153">
        <f>Tabla1[[#This Row],[precio del paquete]]-Tabla1[[#This Row],[Saldo_Deudor]]</f>
        <v>1900</v>
      </c>
      <c r="AY153">
        <v>12900</v>
      </c>
      <c r="AZ153" t="s">
        <v>1</v>
      </c>
      <c r="BA153" t="s">
        <v>1</v>
      </c>
      <c r="BB153" t="s">
        <v>1</v>
      </c>
      <c r="BC153" t="s">
        <v>1145</v>
      </c>
      <c r="BD153" t="s">
        <v>1160</v>
      </c>
      <c r="BE153" t="s">
        <v>1</v>
      </c>
      <c r="BF153" t="s">
        <v>1</v>
      </c>
      <c r="BG153" t="s">
        <v>1</v>
      </c>
      <c r="BH153" t="s">
        <v>1</v>
      </c>
      <c r="BI153" t="s">
        <v>1</v>
      </c>
      <c r="BJ153" t="s">
        <v>272</v>
      </c>
      <c r="BK153" t="s">
        <v>1</v>
      </c>
      <c r="BL153" t="s">
        <v>132</v>
      </c>
      <c r="BM153" t="s">
        <v>1</v>
      </c>
      <c r="BN153">
        <v>14800</v>
      </c>
      <c r="BO153" t="s">
        <v>1</v>
      </c>
      <c r="BP153" t="s">
        <v>1</v>
      </c>
      <c r="BQ153" t="s">
        <v>1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0</v>
      </c>
      <c r="BX153" t="s">
        <v>1</v>
      </c>
      <c r="BY153" t="s">
        <v>1</v>
      </c>
      <c r="BZ153" t="s">
        <v>1</v>
      </c>
      <c r="CA153" t="s">
        <v>1</v>
      </c>
      <c r="CB153" t="s">
        <v>277</v>
      </c>
      <c r="CD153" t="str" cm="1">
        <f t="array" aca="1" ref="CD153" ca="1">eConcatenar(A153:CB153,"|")</f>
        <v>FsZYnY0b4J2IpZoY|CAR2021-7551|3|MEMORIAL|TABASCO|CARDENAS|CARDENAS|2021-12-13|14800|0|200|50|0|0|0|0|0|0|0|0|0|0|0|0|0|0|0|RAMIREZ|ESPINOZA|JOSE LUIS|SOLTERO|X|X|AVEIDA EL RETEN NUMERO 163|COLONIA CALZADA|x|9371043402|x|x|x|AVEIDA EL RETEN NUMERO 163|x|LUNES|X|X|X|X|X|DOMICILIO |1900|12900|X|X|X|2022-01-02|2022-01-09|X|X|X|X|X|QX002L6W9KVTQO|X|HOMBRE|X|14800|X|X|X|X|X|X|X|X|CARDENAS|X|X|X|X|FINAL</v>
      </c>
    </row>
    <row r="154" spans="1:82" x14ac:dyDescent="0.25">
      <c r="A154" t="s">
        <v>933</v>
      </c>
      <c r="B154" t="s">
        <v>934</v>
      </c>
      <c r="C154">
        <v>3</v>
      </c>
      <c r="D154" t="s">
        <v>147</v>
      </c>
      <c r="E154" t="s">
        <v>150</v>
      </c>
      <c r="F154" t="s">
        <v>0</v>
      </c>
      <c r="G154" t="s">
        <v>0</v>
      </c>
      <c r="H154" t="s">
        <v>1125</v>
      </c>
      <c r="I154">
        <v>12900</v>
      </c>
      <c r="J154">
        <v>0</v>
      </c>
      <c r="K154">
        <v>100</v>
      </c>
      <c r="L154">
        <v>50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232</v>
      </c>
      <c r="AC154" t="s">
        <v>805</v>
      </c>
      <c r="AD154" t="s">
        <v>195</v>
      </c>
      <c r="AE154" t="s">
        <v>4</v>
      </c>
      <c r="AF154" t="s">
        <v>1</v>
      </c>
      <c r="AG154" t="s">
        <v>1</v>
      </c>
      <c r="AH154" t="s">
        <v>1</v>
      </c>
      <c r="AI154" t="s">
        <v>814</v>
      </c>
      <c r="AJ154" t="s">
        <v>3</v>
      </c>
      <c r="AK154">
        <v>9371257245</v>
      </c>
      <c r="AL154" t="s">
        <v>3</v>
      </c>
      <c r="AM154" t="s">
        <v>3</v>
      </c>
      <c r="AN154" t="s">
        <v>3</v>
      </c>
      <c r="AO154" t="s">
        <v>1</v>
      </c>
      <c r="AP154" t="s">
        <v>3</v>
      </c>
      <c r="AQ154" t="s">
        <v>2</v>
      </c>
      <c r="AR154" t="s">
        <v>1</v>
      </c>
      <c r="AS154" t="s">
        <v>1</v>
      </c>
      <c r="AT154" t="s">
        <v>1</v>
      </c>
      <c r="AU154" t="s">
        <v>1</v>
      </c>
      <c r="AV154" t="s">
        <v>1</v>
      </c>
      <c r="AW154" t="s">
        <v>11</v>
      </c>
      <c r="AX154">
        <f>Tabla1[[#This Row],[precio del paquete]]-Tabla1[[#This Row],[Saldo_Deudor]]</f>
        <v>8500</v>
      </c>
      <c r="AY154">
        <v>4400</v>
      </c>
      <c r="AZ154" t="s">
        <v>1</v>
      </c>
      <c r="BA154" t="s">
        <v>1</v>
      </c>
      <c r="BB154" t="s">
        <v>1</v>
      </c>
      <c r="BC154" t="s">
        <v>256</v>
      </c>
      <c r="BD154" t="s">
        <v>264</v>
      </c>
      <c r="BE154" t="s">
        <v>1</v>
      </c>
      <c r="BF154" t="s">
        <v>1</v>
      </c>
      <c r="BG154" t="s">
        <v>1</v>
      </c>
      <c r="BH154" t="s">
        <v>1</v>
      </c>
      <c r="BI154" t="s">
        <v>1</v>
      </c>
      <c r="BJ154" t="s">
        <v>272</v>
      </c>
      <c r="BK154" t="s">
        <v>1</v>
      </c>
      <c r="BL154" t="s">
        <v>132</v>
      </c>
      <c r="BM154" t="s">
        <v>1</v>
      </c>
      <c r="BN154">
        <v>12900</v>
      </c>
      <c r="BO154" t="s">
        <v>1</v>
      </c>
      <c r="BP154" t="s">
        <v>1</v>
      </c>
      <c r="BQ154" t="s">
        <v>1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0</v>
      </c>
      <c r="BX154" t="s">
        <v>1</v>
      </c>
      <c r="BY154" t="s">
        <v>1</v>
      </c>
      <c r="BZ154" t="s">
        <v>1</v>
      </c>
      <c r="CA154" t="s">
        <v>1</v>
      </c>
      <c r="CB154" t="s">
        <v>277</v>
      </c>
      <c r="CD154" t="str" cm="1">
        <f t="array" aca="1" ref="CD154" ca="1">eConcatenar(A154:CB154,"|")</f>
        <v>ITFbRH38yAQJ5iEJ|CAR2018-1488|3|ECONOLINE|TABASCO|CARDENAS|CARDENAS|2018-11-28|12900|0|100|50|0|0|0|0|0|0|0|0|0|0|0|0|0|0|0|GAMAS|RIVERA|MARIA DEL ROSARIO|SOLTERO|X|X|X|COLONIA EL PALMAR|x|9371257245|x|x|x|X|x|LUNES|X|X|X|X|X|DOMICILIO |8500|4400|X|X|X|2022-03-02|2022-03-09|X|X|X|X|X|QX002L6W9KVTQO|X|HOMBRE|X|12900|X|X|X|X|X|X|X|X|CARDENAS|X|X|X|X|FINAL</v>
      </c>
    </row>
    <row r="155" spans="1:82" x14ac:dyDescent="0.25">
      <c r="A155" t="s">
        <v>935</v>
      </c>
      <c r="B155" t="s">
        <v>936</v>
      </c>
      <c r="C155">
        <v>3</v>
      </c>
      <c r="D155" t="s">
        <v>145</v>
      </c>
      <c r="E155" t="s">
        <v>150</v>
      </c>
      <c r="F155" t="s">
        <v>0</v>
      </c>
      <c r="G155" t="s">
        <v>0</v>
      </c>
      <c r="H155" t="s">
        <v>1112</v>
      </c>
      <c r="I155">
        <v>14800</v>
      </c>
      <c r="J155">
        <v>0</v>
      </c>
      <c r="K155">
        <v>400</v>
      </c>
      <c r="L155">
        <v>50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222</v>
      </c>
      <c r="AC155" t="s">
        <v>822</v>
      </c>
      <c r="AD155" t="s">
        <v>429</v>
      </c>
      <c r="AE155" t="s">
        <v>4</v>
      </c>
      <c r="AF155" t="s">
        <v>1</v>
      </c>
      <c r="AG155" t="s">
        <v>1</v>
      </c>
      <c r="AH155" t="s">
        <v>937</v>
      </c>
      <c r="AI155" t="s">
        <v>938</v>
      </c>
      <c r="AJ155" t="s">
        <v>3</v>
      </c>
      <c r="AK155">
        <v>9371835950</v>
      </c>
      <c r="AL155" t="s">
        <v>3</v>
      </c>
      <c r="AM155" t="s">
        <v>3</v>
      </c>
      <c r="AN155" t="s">
        <v>3</v>
      </c>
      <c r="AO155" t="s">
        <v>937</v>
      </c>
      <c r="AP155" t="s">
        <v>3</v>
      </c>
      <c r="AQ155" t="s">
        <v>2</v>
      </c>
      <c r="AR155" t="s">
        <v>1</v>
      </c>
      <c r="AS155" t="s">
        <v>1</v>
      </c>
      <c r="AT155" t="s">
        <v>1</v>
      </c>
      <c r="AU155" t="s">
        <v>1</v>
      </c>
      <c r="AV155" t="s">
        <v>1</v>
      </c>
      <c r="AW155" t="s">
        <v>11</v>
      </c>
      <c r="AX155">
        <f>Tabla1[[#This Row],[precio del paquete]]-Tabla1[[#This Row],[Saldo_Deudor]]</f>
        <v>1800</v>
      </c>
      <c r="AY155">
        <v>13000</v>
      </c>
      <c r="AZ155" t="s">
        <v>1</v>
      </c>
      <c r="BA155" t="s">
        <v>1</v>
      </c>
      <c r="BB155" t="s">
        <v>1</v>
      </c>
      <c r="BC155" t="s">
        <v>173</v>
      </c>
      <c r="BD155" t="s">
        <v>159</v>
      </c>
      <c r="BE155" t="s">
        <v>1</v>
      </c>
      <c r="BF155" t="s">
        <v>1</v>
      </c>
      <c r="BG155" t="s">
        <v>1</v>
      </c>
      <c r="BH155" t="s">
        <v>1</v>
      </c>
      <c r="BI155" t="s">
        <v>1</v>
      </c>
      <c r="BJ155" t="s">
        <v>272</v>
      </c>
      <c r="BK155" t="s">
        <v>1</v>
      </c>
      <c r="BL155" t="s">
        <v>132</v>
      </c>
      <c r="BM155" t="s">
        <v>1</v>
      </c>
      <c r="BN155">
        <v>14800</v>
      </c>
      <c r="BO155" t="s">
        <v>1</v>
      </c>
      <c r="BP155" t="s">
        <v>1</v>
      </c>
      <c r="BQ155" t="s">
        <v>1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0</v>
      </c>
      <c r="BX155" t="s">
        <v>1</v>
      </c>
      <c r="BY155" t="s">
        <v>1</v>
      </c>
      <c r="BZ155" t="s">
        <v>1</v>
      </c>
      <c r="CA155" t="s">
        <v>1</v>
      </c>
      <c r="CB155" t="s">
        <v>277</v>
      </c>
      <c r="CD155" t="str" cm="1">
        <f t="array" aca="1" ref="CD155" ca="1">eConcatenar(A155:CB155,"|")</f>
        <v>1PQotBMVkKs7F5ek|CAR2021-6849|3|MEMORIAL|TABASCO|CARDENAS|CARDENAS|2021-11-11|14800|0|400|50|0|0|0|0|0|0|0|0|0|0|0|0|0|0|0|RAMIREZ|ESPINOZA|REYES|SOLTERO|X|X|AVENIDA EL RETEN NUMERO 163|COLONIA CALZADA PRIMERA SECCION |x|9371835950|x|x|x|AVENIDA EL RETEN NUMERO 163|x|LUNES|X|X|X|X|X|DOMICILIO |1800|13000|X|X|X|2022-02-03|2022-02-10|X|X|X|X|X|QX002L6W9KVTQO|X|HOMBRE|X|14800|X|X|X|X|X|X|X|X|CARDENAS|X|X|X|X|FINAL</v>
      </c>
    </row>
    <row r="156" spans="1:82" x14ac:dyDescent="0.25">
      <c r="A156" t="s">
        <v>939</v>
      </c>
      <c r="B156" t="s">
        <v>940</v>
      </c>
      <c r="C156">
        <v>3</v>
      </c>
      <c r="D156" t="s">
        <v>145</v>
      </c>
      <c r="E156" t="s">
        <v>150</v>
      </c>
      <c r="F156" t="s">
        <v>0</v>
      </c>
      <c r="G156" t="s">
        <v>0</v>
      </c>
      <c r="H156" t="s">
        <v>1112</v>
      </c>
      <c r="I156">
        <v>14800</v>
      </c>
      <c r="J156">
        <v>0</v>
      </c>
      <c r="K156">
        <v>50</v>
      </c>
      <c r="L156">
        <v>50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216</v>
      </c>
      <c r="AC156" t="s">
        <v>221</v>
      </c>
      <c r="AD156" t="s">
        <v>941</v>
      </c>
      <c r="AE156" t="s">
        <v>4</v>
      </c>
      <c r="AF156" t="s">
        <v>1</v>
      </c>
      <c r="AG156" t="s">
        <v>1</v>
      </c>
      <c r="AH156" t="s">
        <v>942</v>
      </c>
      <c r="AI156" t="s">
        <v>938</v>
      </c>
      <c r="AJ156" t="s">
        <v>3</v>
      </c>
      <c r="AK156" t="s">
        <v>1</v>
      </c>
      <c r="AL156" t="s">
        <v>3</v>
      </c>
      <c r="AM156" t="s">
        <v>3</v>
      </c>
      <c r="AN156" t="s">
        <v>3</v>
      </c>
      <c r="AO156" t="s">
        <v>942</v>
      </c>
      <c r="AP156" t="s">
        <v>3</v>
      </c>
      <c r="AQ156" t="s">
        <v>2</v>
      </c>
      <c r="AR156" t="s">
        <v>1</v>
      </c>
      <c r="AS156" t="s">
        <v>1</v>
      </c>
      <c r="AT156" t="s">
        <v>1</v>
      </c>
      <c r="AU156" t="s">
        <v>1</v>
      </c>
      <c r="AV156" t="s">
        <v>1</v>
      </c>
      <c r="AW156" t="s">
        <v>11</v>
      </c>
      <c r="AX156">
        <f>Tabla1[[#This Row],[precio del paquete]]-Tabla1[[#This Row],[Saldo_Deudor]]</f>
        <v>2800</v>
      </c>
      <c r="AY156">
        <v>12000</v>
      </c>
      <c r="AZ156" t="s">
        <v>1</v>
      </c>
      <c r="BA156" t="s">
        <v>1</v>
      </c>
      <c r="BB156" t="s">
        <v>1</v>
      </c>
      <c r="BC156" t="s">
        <v>256</v>
      </c>
      <c r="BD156" t="s">
        <v>264</v>
      </c>
      <c r="BE156" t="s">
        <v>1</v>
      </c>
      <c r="BF156" t="s">
        <v>1</v>
      </c>
      <c r="BG156" t="s">
        <v>1</v>
      </c>
      <c r="BH156" t="s">
        <v>1</v>
      </c>
      <c r="BI156" t="s">
        <v>1</v>
      </c>
      <c r="BJ156" t="s">
        <v>272</v>
      </c>
      <c r="BK156" t="s">
        <v>1</v>
      </c>
      <c r="BL156" t="s">
        <v>132</v>
      </c>
      <c r="BM156" t="s">
        <v>1</v>
      </c>
      <c r="BN156">
        <v>14800</v>
      </c>
      <c r="BO156" t="s">
        <v>1</v>
      </c>
      <c r="BP156" t="s">
        <v>1</v>
      </c>
      <c r="BQ156" t="s">
        <v>1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0</v>
      </c>
      <c r="BX156" t="s">
        <v>1</v>
      </c>
      <c r="BY156" t="s">
        <v>1</v>
      </c>
      <c r="BZ156" t="s">
        <v>1</v>
      </c>
      <c r="CA156" t="s">
        <v>1</v>
      </c>
      <c r="CB156" t="s">
        <v>277</v>
      </c>
      <c r="CD156" t="str" cm="1">
        <f t="array" aca="1" ref="CD156" ca="1">eConcatenar(A156:CB156,"|")</f>
        <v>qKpNUK0K1NFKI8a3|CAR2021-6848|3|MEMORIAL|TABASCO|CARDENAS|CARDENAS|2021-11-11|14800|0|50|50|1|0|0|0|0|0|0|0|0|0|0|0|0|0|0|CHABLE|HERRERA|XOCHILT|SOLTERO|X|X|ENTRADA EL RETEN|COLONIA CALZADA PRIMERA SECCION |x|X|x|x|x|ENTRADA EL RETEN|x|LUNES|X|X|X|X|X|DOMICILIO |2800|12000|X|X|X|2022-03-02|2022-03-09|X|X|X|X|X|QX002L6W9KVTQO|X|HOMBRE|X|14800|X|X|X|X|X|X|X|X|CARDENAS|X|X|X|X|FINAL</v>
      </c>
    </row>
    <row r="157" spans="1:82" x14ac:dyDescent="0.25">
      <c r="A157" t="s">
        <v>943</v>
      </c>
      <c r="B157" t="s">
        <v>944</v>
      </c>
      <c r="C157">
        <v>3</v>
      </c>
      <c r="D157" t="s">
        <v>145</v>
      </c>
      <c r="E157" t="s">
        <v>150</v>
      </c>
      <c r="F157" t="s">
        <v>0</v>
      </c>
      <c r="G157" t="s">
        <v>0</v>
      </c>
      <c r="H157" t="s">
        <v>185</v>
      </c>
      <c r="I157">
        <v>14800</v>
      </c>
      <c r="J157">
        <v>0</v>
      </c>
      <c r="K157">
        <v>200</v>
      </c>
      <c r="L157">
        <v>50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229</v>
      </c>
      <c r="AC157" t="s">
        <v>229</v>
      </c>
      <c r="AD157" t="s">
        <v>945</v>
      </c>
      <c r="AE157" t="s">
        <v>4</v>
      </c>
      <c r="AF157" t="s">
        <v>1</v>
      </c>
      <c r="AG157" t="s">
        <v>1</v>
      </c>
      <c r="AH157" t="s">
        <v>946</v>
      </c>
      <c r="AI157" t="s">
        <v>841</v>
      </c>
      <c r="AJ157" t="s">
        <v>3</v>
      </c>
      <c r="AK157">
        <v>9371621519</v>
      </c>
      <c r="AL157" t="s">
        <v>3</v>
      </c>
      <c r="AM157" t="s">
        <v>3</v>
      </c>
      <c r="AN157" t="s">
        <v>3</v>
      </c>
      <c r="AO157" t="s">
        <v>946</v>
      </c>
      <c r="AP157" t="s">
        <v>3</v>
      </c>
      <c r="AQ157" t="s">
        <v>2</v>
      </c>
      <c r="AR157" t="s">
        <v>1</v>
      </c>
      <c r="AS157" t="s">
        <v>1</v>
      </c>
      <c r="AT157" t="s">
        <v>1</v>
      </c>
      <c r="AU157" t="s">
        <v>1</v>
      </c>
      <c r="AV157" t="s">
        <v>1</v>
      </c>
      <c r="AW157" t="s">
        <v>11</v>
      </c>
      <c r="AX157">
        <f>Tabla1[[#This Row],[precio del paquete]]-Tabla1[[#This Row],[Saldo_Deudor]]</f>
        <v>1600</v>
      </c>
      <c r="AY157">
        <v>13200</v>
      </c>
      <c r="AZ157" t="s">
        <v>1</v>
      </c>
      <c r="BA157" t="s">
        <v>1</v>
      </c>
      <c r="BB157" t="s">
        <v>1</v>
      </c>
      <c r="BC157" t="s">
        <v>256</v>
      </c>
      <c r="BD157" t="s">
        <v>264</v>
      </c>
      <c r="BE157" t="s">
        <v>1</v>
      </c>
      <c r="BF157" t="s">
        <v>1</v>
      </c>
      <c r="BG157" t="s">
        <v>1</v>
      </c>
      <c r="BH157" t="s">
        <v>1</v>
      </c>
      <c r="BI157" t="s">
        <v>1</v>
      </c>
      <c r="BJ157" t="s">
        <v>272</v>
      </c>
      <c r="BK157" t="s">
        <v>1</v>
      </c>
      <c r="BL157" t="s">
        <v>132</v>
      </c>
      <c r="BM157" t="s">
        <v>1</v>
      </c>
      <c r="BN157">
        <v>14800</v>
      </c>
      <c r="BO157" t="s">
        <v>1</v>
      </c>
      <c r="BP157" t="s">
        <v>1</v>
      </c>
      <c r="BQ157" t="s">
        <v>1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0</v>
      </c>
      <c r="BX157" t="s">
        <v>1</v>
      </c>
      <c r="BY157" t="s">
        <v>1</v>
      </c>
      <c r="BZ157" t="s">
        <v>1</v>
      </c>
      <c r="CA157" t="s">
        <v>1</v>
      </c>
      <c r="CB157" t="s">
        <v>277</v>
      </c>
      <c r="CD157" t="str" cm="1">
        <f t="array" aca="1" ref="CD157" ca="1">eConcatenar(A157:CB157,"|")</f>
        <v>P5wIjSM5OoN5JQDT|CAR2021-6867|3|MEMORIAL|TABASCO|CARDENAS|CARDENAS|2021-11-12|14800|0|200|50|1|0|0|0|0|0|0|0|0|0|0|0|0|0|0|RAMOS|RAMOS|LUCIA|SOLTERO|X|X|CERRADA CARRETERA CARDENAS COMALCALCO NUMERO 1023|COLONIA MELCHOR OCAMPO|x|9371621519|x|x|x|CERRADA CARRETERA CARDENAS COMALCALCO NUMERO 1023|x|LUNES|X|X|X|X|X|DOMICILIO |1600|13200|X|X|X|2022-03-02|2022-03-09|X|X|X|X|X|QX002L6W9KVTQO|X|HOMBRE|X|14800|X|X|X|X|X|X|X|X|CARDENAS|X|X|X|X|FINAL</v>
      </c>
    </row>
    <row r="158" spans="1:82" x14ac:dyDescent="0.25">
      <c r="A158" t="s">
        <v>947</v>
      </c>
      <c r="B158" t="s">
        <v>948</v>
      </c>
      <c r="C158">
        <v>3</v>
      </c>
      <c r="D158" t="s">
        <v>145</v>
      </c>
      <c r="E158" t="s">
        <v>150</v>
      </c>
      <c r="F158" t="s">
        <v>0</v>
      </c>
      <c r="G158" t="s">
        <v>0</v>
      </c>
      <c r="H158" t="s">
        <v>163</v>
      </c>
      <c r="I158">
        <v>14800</v>
      </c>
      <c r="J158">
        <v>0</v>
      </c>
      <c r="K158">
        <v>50</v>
      </c>
      <c r="L158">
        <v>50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235</v>
      </c>
      <c r="AC158" t="s">
        <v>205</v>
      </c>
      <c r="AD158" t="s">
        <v>949</v>
      </c>
      <c r="AE158" t="s">
        <v>4</v>
      </c>
      <c r="AF158" t="s">
        <v>1</v>
      </c>
      <c r="AG158" t="s">
        <v>1</v>
      </c>
      <c r="AH158" t="s">
        <v>950</v>
      </c>
      <c r="AI158" t="s">
        <v>951</v>
      </c>
      <c r="AJ158" t="s">
        <v>3</v>
      </c>
      <c r="AK158">
        <v>9371210734</v>
      </c>
      <c r="AL158" t="s">
        <v>3</v>
      </c>
      <c r="AM158" t="s">
        <v>3</v>
      </c>
      <c r="AN158" t="s">
        <v>3</v>
      </c>
      <c r="AO158" t="s">
        <v>950</v>
      </c>
      <c r="AP158" t="s">
        <v>3</v>
      </c>
      <c r="AQ158" t="s">
        <v>2</v>
      </c>
      <c r="AR158" t="s">
        <v>1</v>
      </c>
      <c r="AS158" t="s">
        <v>1</v>
      </c>
      <c r="AT158" t="s">
        <v>1</v>
      </c>
      <c r="AU158" t="s">
        <v>1</v>
      </c>
      <c r="AV158" t="s">
        <v>1</v>
      </c>
      <c r="AW158" t="s">
        <v>11</v>
      </c>
      <c r="AX158">
        <f>Tabla1[[#This Row],[precio del paquete]]-Tabla1[[#This Row],[Saldo_Deudor]]</f>
        <v>950</v>
      </c>
      <c r="AY158">
        <v>13850</v>
      </c>
      <c r="AZ158" t="s">
        <v>1</v>
      </c>
      <c r="BA158" t="s">
        <v>1</v>
      </c>
      <c r="BB158" t="s">
        <v>1</v>
      </c>
      <c r="BC158" t="s">
        <v>256</v>
      </c>
      <c r="BD158" t="s">
        <v>264</v>
      </c>
      <c r="BE158" t="s">
        <v>1</v>
      </c>
      <c r="BF158" t="s">
        <v>1</v>
      </c>
      <c r="BG158" t="s">
        <v>1</v>
      </c>
      <c r="BH158" t="s">
        <v>1</v>
      </c>
      <c r="BI158" t="s">
        <v>1</v>
      </c>
      <c r="BJ158" t="s">
        <v>272</v>
      </c>
      <c r="BK158" t="s">
        <v>1</v>
      </c>
      <c r="BL158" t="s">
        <v>132</v>
      </c>
      <c r="BM158" t="s">
        <v>1</v>
      </c>
      <c r="BN158">
        <v>14800</v>
      </c>
      <c r="BO158" t="s">
        <v>1</v>
      </c>
      <c r="BP158" t="s">
        <v>1</v>
      </c>
      <c r="BQ158" t="s">
        <v>1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0</v>
      </c>
      <c r="BX158" t="s">
        <v>1</v>
      </c>
      <c r="BY158" t="s">
        <v>1</v>
      </c>
      <c r="BZ158" t="s">
        <v>1</v>
      </c>
      <c r="CA158" t="s">
        <v>1</v>
      </c>
      <c r="CB158" t="s">
        <v>277</v>
      </c>
      <c r="CD158" t="str" cm="1">
        <f t="array" aca="1" ref="CD158" ca="1">eConcatenar(A158:CB158,"|")</f>
        <v>soPixQoVa8Mcnn0A|CAR2021-7593|3|MEMORIAL|TABASCO|CARDENAS|CARDENAS|2021-12-16|14800|0|50|50|0|0|0|0|0|0|0|0|0|0|0|0|0|0|0|MARIN|HERNANDEZ|YANET|SOLTERO|X|X|ENTRADA MONTE VERDE ENFRENTE AL HOTEL LAS CARRETAS|RANCHERIA RIO SECO PRIMERS SECCION|x|9371210734|x|x|x|ENTRADA MONTE VERDE ENFRENTE AL HOTEL LAS CARRETAS|x|LUNES|X|X|X|X|X|DOMICILIO |950|13850|X|X|X|2022-03-02|2022-03-09|X|X|X|X|X|QX002L6W9KVTQO|X|HOMBRE|X|14800|X|X|X|X|X|X|X|X|CARDENAS|X|X|X|X|FINAL</v>
      </c>
    </row>
    <row r="159" spans="1:82" x14ac:dyDescent="0.25">
      <c r="A159" t="s">
        <v>952</v>
      </c>
      <c r="B159" t="s">
        <v>953</v>
      </c>
      <c r="C159">
        <v>3</v>
      </c>
      <c r="D159" t="s">
        <v>145</v>
      </c>
      <c r="E159" t="s">
        <v>150</v>
      </c>
      <c r="F159" t="s">
        <v>0</v>
      </c>
      <c r="G159" t="s">
        <v>0</v>
      </c>
      <c r="H159" t="s">
        <v>1126</v>
      </c>
      <c r="I159">
        <v>14800</v>
      </c>
      <c r="J159">
        <v>0</v>
      </c>
      <c r="K159">
        <v>100</v>
      </c>
      <c r="L159">
        <v>50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7</v>
      </c>
      <c r="AC159" t="s">
        <v>206</v>
      </c>
      <c r="AD159" t="s">
        <v>954</v>
      </c>
      <c r="AE159" t="s">
        <v>4</v>
      </c>
      <c r="AF159" t="s">
        <v>1</v>
      </c>
      <c r="AG159" t="s">
        <v>1</v>
      </c>
      <c r="AH159" t="s">
        <v>955</v>
      </c>
      <c r="AI159" t="s">
        <v>859</v>
      </c>
      <c r="AJ159" t="s">
        <v>3</v>
      </c>
      <c r="AK159">
        <v>9371034078</v>
      </c>
      <c r="AL159" t="s">
        <v>3</v>
      </c>
      <c r="AM159" t="s">
        <v>3</v>
      </c>
      <c r="AN159" t="s">
        <v>3</v>
      </c>
      <c r="AO159" t="s">
        <v>955</v>
      </c>
      <c r="AP159" t="s">
        <v>3</v>
      </c>
      <c r="AQ159" t="s">
        <v>2</v>
      </c>
      <c r="AR159" t="s">
        <v>1</v>
      </c>
      <c r="AS159" t="s">
        <v>1</v>
      </c>
      <c r="AT159" t="s">
        <v>1</v>
      </c>
      <c r="AU159" t="s">
        <v>1</v>
      </c>
      <c r="AV159" t="s">
        <v>1</v>
      </c>
      <c r="AW159" t="s">
        <v>11</v>
      </c>
      <c r="AX159">
        <f>Tabla1[[#This Row],[precio del paquete]]-Tabla1[[#This Row],[Saldo_Deudor]]</f>
        <v>1000</v>
      </c>
      <c r="AY159">
        <v>13800</v>
      </c>
      <c r="AZ159" t="s">
        <v>1</v>
      </c>
      <c r="BA159" t="s">
        <v>1</v>
      </c>
      <c r="BB159" t="s">
        <v>1</v>
      </c>
      <c r="BC159" t="s">
        <v>256</v>
      </c>
      <c r="BD159" t="s">
        <v>264</v>
      </c>
      <c r="BE159" t="s">
        <v>1</v>
      </c>
      <c r="BF159" t="s">
        <v>1</v>
      </c>
      <c r="BG159" t="s">
        <v>1</v>
      </c>
      <c r="BH159" t="s">
        <v>1</v>
      </c>
      <c r="BI159" t="s">
        <v>1</v>
      </c>
      <c r="BJ159" t="s">
        <v>272</v>
      </c>
      <c r="BK159" t="s">
        <v>1</v>
      </c>
      <c r="BL159" t="s">
        <v>132</v>
      </c>
      <c r="BM159" t="s">
        <v>1</v>
      </c>
      <c r="BN159">
        <v>14800</v>
      </c>
      <c r="BO159" t="s">
        <v>1</v>
      </c>
      <c r="BP159" t="s">
        <v>1</v>
      </c>
      <c r="BQ159" t="s">
        <v>1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0</v>
      </c>
      <c r="BX159" t="s">
        <v>1</v>
      </c>
      <c r="BY159" t="s">
        <v>1</v>
      </c>
      <c r="BZ159" t="s">
        <v>1</v>
      </c>
      <c r="CA159" t="s">
        <v>1</v>
      </c>
      <c r="CB159" t="s">
        <v>277</v>
      </c>
      <c r="CD159" t="str" cm="1">
        <f t="array" aca="1" ref="CD159" ca="1">eConcatenar(A159:CB159,"|")</f>
        <v>2UBgWS5wDYrxfgUM|CAR2021-7473|3|MEMORIAL|TABASCO|CARDENAS|CARDENAS|2021-12-06|14800|0|100|50|0|0|0|0|0|0|0|0|0|0|0|0|0|0|0|LOPEZ|RODRIGUEZ|JOSE JUAN|SOLTERO|X|X|CALLE VENGALA NUMERO 36 LOTE 25 |FRACCIONAMIENTO CAÑALES III|x|9371034078|x|x|x|CALLE VENGALA NUMERO 36 LOTE 25 |x|LUNES|X|X|X|X|X|DOMICILIO |1000|13800|X|X|X|2022-03-02|2022-03-09|X|X|X|X|X|QX002L6W9KVTQO|X|HOMBRE|X|14800|X|X|X|X|X|X|X|X|CARDENAS|X|X|X|X|FINAL</v>
      </c>
    </row>
    <row r="160" spans="1:82" x14ac:dyDescent="0.25">
      <c r="A160" t="s">
        <v>956</v>
      </c>
      <c r="B160" t="s">
        <v>957</v>
      </c>
      <c r="C160">
        <v>3</v>
      </c>
      <c r="D160" t="s">
        <v>145</v>
      </c>
      <c r="E160" t="s">
        <v>150</v>
      </c>
      <c r="F160" t="s">
        <v>0</v>
      </c>
      <c r="G160" t="s">
        <v>0</v>
      </c>
      <c r="H160" t="s">
        <v>1127</v>
      </c>
      <c r="I160">
        <v>14800</v>
      </c>
      <c r="J160">
        <v>0</v>
      </c>
      <c r="K160">
        <v>100</v>
      </c>
      <c r="L160">
        <v>50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7</v>
      </c>
      <c r="AC160" t="s">
        <v>538</v>
      </c>
      <c r="AD160" t="s">
        <v>958</v>
      </c>
      <c r="AE160" t="s">
        <v>4</v>
      </c>
      <c r="AF160" t="s">
        <v>1</v>
      </c>
      <c r="AG160" t="s">
        <v>1</v>
      </c>
      <c r="AH160" t="s">
        <v>959</v>
      </c>
      <c r="AI160" t="s">
        <v>960</v>
      </c>
      <c r="AJ160" t="s">
        <v>3</v>
      </c>
      <c r="AK160">
        <v>9373779361</v>
      </c>
      <c r="AL160" t="s">
        <v>3</v>
      </c>
      <c r="AM160" t="s">
        <v>3</v>
      </c>
      <c r="AN160" t="s">
        <v>3</v>
      </c>
      <c r="AO160" t="s">
        <v>959</v>
      </c>
      <c r="AP160" t="s">
        <v>3</v>
      </c>
      <c r="AQ160" t="s">
        <v>2</v>
      </c>
      <c r="AR160" t="s">
        <v>1</v>
      </c>
      <c r="AS160" t="s">
        <v>1</v>
      </c>
      <c r="AT160" t="s">
        <v>1</v>
      </c>
      <c r="AU160" t="s">
        <v>1</v>
      </c>
      <c r="AV160" t="s">
        <v>1</v>
      </c>
      <c r="AW160" t="s">
        <v>11</v>
      </c>
      <c r="AX160">
        <f>Tabla1[[#This Row],[precio del paquete]]-Tabla1[[#This Row],[Saldo_Deudor]]</f>
        <v>2400</v>
      </c>
      <c r="AY160">
        <v>12400</v>
      </c>
      <c r="AZ160" t="s">
        <v>1</v>
      </c>
      <c r="BA160" t="s">
        <v>1</v>
      </c>
      <c r="BB160" t="s">
        <v>1</v>
      </c>
      <c r="BC160" t="s">
        <v>256</v>
      </c>
      <c r="BD160" t="s">
        <v>264</v>
      </c>
      <c r="BE160" t="s">
        <v>1</v>
      </c>
      <c r="BF160" t="s">
        <v>1</v>
      </c>
      <c r="BG160" t="s">
        <v>1</v>
      </c>
      <c r="BH160" t="s">
        <v>1</v>
      </c>
      <c r="BI160" t="s">
        <v>1</v>
      </c>
      <c r="BJ160" t="s">
        <v>272</v>
      </c>
      <c r="BK160" t="s">
        <v>1</v>
      </c>
      <c r="BL160" t="s">
        <v>132</v>
      </c>
      <c r="BM160" t="s">
        <v>1</v>
      </c>
      <c r="BN160">
        <v>14800</v>
      </c>
      <c r="BO160" t="s">
        <v>1</v>
      </c>
      <c r="BP160" t="s">
        <v>1</v>
      </c>
      <c r="BQ160" t="s">
        <v>1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0</v>
      </c>
      <c r="BX160" t="s">
        <v>1</v>
      </c>
      <c r="BY160" t="s">
        <v>1</v>
      </c>
      <c r="BZ160" t="s">
        <v>1</v>
      </c>
      <c r="CA160" t="s">
        <v>1</v>
      </c>
      <c r="CB160" t="s">
        <v>277</v>
      </c>
      <c r="CD160" t="str" cm="1">
        <f t="array" aca="1" ref="CD160" ca="1">eConcatenar(A160:CB160,"|")</f>
        <v>iyoyQiu9rg6MKs2F|CAR2021-5888|3|MEMORIAL|TABASCO|CARDENAS|CARDENAS|2021-10-07|14800|0|100|50|0|0|0|0|0|0|0|0|0|0|0|0|0|0|0|LOPEZ|DE DIOS|CELIA|SOLTERO|X|X|ANDADOR CAÑA MANZANA 2 LOTE 18 |FRACCIONAMIENTO CAÑALES 1 NORTE|x|9373779361|x|x|x|ANDADOR CAÑA MANZANA 2 LOTE 18 |x|LUNES|X|X|X|X|X|DOMICILIO |2400|12400|X|X|X|2022-03-02|2022-03-09|X|X|X|X|X|QX002L6W9KVTQO|X|HOMBRE|X|14800|X|X|X|X|X|X|X|X|CARDENAS|X|X|X|X|FINAL</v>
      </c>
    </row>
    <row r="161" spans="1:82" x14ac:dyDescent="0.25">
      <c r="A161" t="s">
        <v>961</v>
      </c>
      <c r="B161" t="s">
        <v>962</v>
      </c>
      <c r="C161">
        <v>3</v>
      </c>
      <c r="D161" t="s">
        <v>145</v>
      </c>
      <c r="E161" t="s">
        <v>150</v>
      </c>
      <c r="F161" t="s">
        <v>0</v>
      </c>
      <c r="G161" t="s">
        <v>0</v>
      </c>
      <c r="H161" t="s">
        <v>1126</v>
      </c>
      <c r="I161">
        <v>14800</v>
      </c>
      <c r="J161">
        <v>0</v>
      </c>
      <c r="K161">
        <v>100</v>
      </c>
      <c r="L161">
        <v>50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963</v>
      </c>
      <c r="AC161" t="s">
        <v>964</v>
      </c>
      <c r="AD161" t="s">
        <v>909</v>
      </c>
      <c r="AE161" t="s">
        <v>4</v>
      </c>
      <c r="AF161" t="s">
        <v>1</v>
      </c>
      <c r="AG161" t="s">
        <v>1</v>
      </c>
      <c r="AH161" t="s">
        <v>965</v>
      </c>
      <c r="AI161" t="s">
        <v>966</v>
      </c>
      <c r="AJ161" t="s">
        <v>3</v>
      </c>
      <c r="AK161">
        <v>9373788970</v>
      </c>
      <c r="AL161" t="s">
        <v>3</v>
      </c>
      <c r="AM161" t="s">
        <v>3</v>
      </c>
      <c r="AN161" t="s">
        <v>3</v>
      </c>
      <c r="AO161" t="s">
        <v>965</v>
      </c>
      <c r="AP161" t="s">
        <v>3</v>
      </c>
      <c r="AQ161" t="s">
        <v>2</v>
      </c>
      <c r="AR161" t="s">
        <v>1</v>
      </c>
      <c r="AS161" t="s">
        <v>1</v>
      </c>
      <c r="AT161" t="s">
        <v>1</v>
      </c>
      <c r="AU161" t="s">
        <v>1</v>
      </c>
      <c r="AV161" t="s">
        <v>1</v>
      </c>
      <c r="AW161" t="s">
        <v>11</v>
      </c>
      <c r="AX161">
        <f>Tabla1[[#This Row],[precio del paquete]]-Tabla1[[#This Row],[Saldo_Deudor]]</f>
        <v>1200</v>
      </c>
      <c r="AY161">
        <v>13600</v>
      </c>
      <c r="AZ161" t="s">
        <v>1</v>
      </c>
      <c r="BA161" t="s">
        <v>1</v>
      </c>
      <c r="BB161" t="s">
        <v>1</v>
      </c>
      <c r="BC161" t="s">
        <v>256</v>
      </c>
      <c r="BD161" t="s">
        <v>264</v>
      </c>
      <c r="BE161" t="s">
        <v>1</v>
      </c>
      <c r="BF161" t="s">
        <v>1</v>
      </c>
      <c r="BG161" t="s">
        <v>1</v>
      </c>
      <c r="BH161" t="s">
        <v>1</v>
      </c>
      <c r="BI161" t="s">
        <v>1</v>
      </c>
      <c r="BJ161" t="s">
        <v>272</v>
      </c>
      <c r="BK161" t="s">
        <v>1</v>
      </c>
      <c r="BL161" t="s">
        <v>132</v>
      </c>
      <c r="BM161" t="s">
        <v>1</v>
      </c>
      <c r="BN161">
        <v>14800</v>
      </c>
      <c r="BO161" t="s">
        <v>1</v>
      </c>
      <c r="BP161" t="s">
        <v>1</v>
      </c>
      <c r="BQ161" t="s">
        <v>1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0</v>
      </c>
      <c r="BX161" t="s">
        <v>1</v>
      </c>
      <c r="BY161" t="s">
        <v>1</v>
      </c>
      <c r="BZ161" t="s">
        <v>1</v>
      </c>
      <c r="CA161" t="s">
        <v>1</v>
      </c>
      <c r="CB161" t="s">
        <v>277</v>
      </c>
      <c r="CD161" t="str" cm="1">
        <f t="array" aca="1" ref="CD161" ca="1">eConcatenar(A161:CB161,"|")</f>
        <v>Y2y3gie4o0AQ3CMo|CAR2021-7474|3|MEMORIAL|TABASCO|CARDENAS|CARDENAS|2021-12-06|14800|0|100|50|1|0|0|0|0|0|0|0|0|0|0|0|0|0|0|CEJA|BRABATA|ANGELA|SOLTERO|X|X|ANDADOR CANABAL NUEMRO 18|CAÑALES PRIMERA SECCION |x|9373788970|x|x|x|ANDADOR CANABAL NUEMRO 18|x|LUNES|X|X|X|X|X|DOMICILIO |1200|13600|X|X|X|2022-03-02|2022-03-09|X|X|X|X|X|QX002L6W9KVTQO|X|HOMBRE|X|14800|X|X|X|X|X|X|X|X|CARDENAS|X|X|X|X|FINAL</v>
      </c>
    </row>
    <row r="162" spans="1:82" x14ac:dyDescent="0.25">
      <c r="A162" t="s">
        <v>967</v>
      </c>
      <c r="B162" t="s">
        <v>968</v>
      </c>
      <c r="C162">
        <v>3</v>
      </c>
      <c r="D162" t="s">
        <v>144</v>
      </c>
      <c r="E162" t="s">
        <v>150</v>
      </c>
      <c r="F162" t="s">
        <v>151</v>
      </c>
      <c r="G162" t="s">
        <v>151</v>
      </c>
      <c r="H162" t="s">
        <v>1090</v>
      </c>
      <c r="I162">
        <v>12900</v>
      </c>
      <c r="J162">
        <v>0</v>
      </c>
      <c r="K162">
        <v>200</v>
      </c>
      <c r="L162">
        <v>50</v>
      </c>
      <c r="M162">
        <v>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203</v>
      </c>
      <c r="AC162" t="s">
        <v>202</v>
      </c>
      <c r="AD162" t="s">
        <v>198</v>
      </c>
      <c r="AE162" t="s">
        <v>4</v>
      </c>
      <c r="AF162" t="s">
        <v>1</v>
      </c>
      <c r="AG162" t="s">
        <v>1</v>
      </c>
      <c r="AH162" t="s">
        <v>969</v>
      </c>
      <c r="AI162" t="s">
        <v>246</v>
      </c>
      <c r="AJ162" t="s">
        <v>3</v>
      </c>
      <c r="AK162">
        <v>9331100541</v>
      </c>
      <c r="AL162" t="s">
        <v>3</v>
      </c>
      <c r="AM162" t="s">
        <v>3</v>
      </c>
      <c r="AN162" t="s">
        <v>3</v>
      </c>
      <c r="AO162" t="s">
        <v>969</v>
      </c>
      <c r="AP162" t="s">
        <v>3</v>
      </c>
      <c r="AQ162" t="s">
        <v>2</v>
      </c>
      <c r="AR162" t="s">
        <v>1</v>
      </c>
      <c r="AS162" t="s">
        <v>1</v>
      </c>
      <c r="AT162" t="s">
        <v>1</v>
      </c>
      <c r="AU162" t="s">
        <v>1</v>
      </c>
      <c r="AV162" t="s">
        <v>1</v>
      </c>
      <c r="AW162" t="s">
        <v>11</v>
      </c>
      <c r="AX162">
        <f>Tabla1[[#This Row],[precio del paquete]]-Tabla1[[#This Row],[Saldo_Deudor]]</f>
        <v>6400</v>
      </c>
      <c r="AY162">
        <v>6500</v>
      </c>
      <c r="AZ162" t="s">
        <v>1</v>
      </c>
      <c r="BA162" t="s">
        <v>1</v>
      </c>
      <c r="BB162" t="s">
        <v>1</v>
      </c>
      <c r="BC162" t="s">
        <v>256</v>
      </c>
      <c r="BD162" t="s">
        <v>264</v>
      </c>
      <c r="BE162" t="s">
        <v>1</v>
      </c>
      <c r="BF162" t="s">
        <v>1</v>
      </c>
      <c r="BG162" t="s">
        <v>1</v>
      </c>
      <c r="BH162" t="s">
        <v>1</v>
      </c>
      <c r="BI162" t="s">
        <v>1</v>
      </c>
      <c r="BJ162" t="s">
        <v>275</v>
      </c>
      <c r="BK162" t="s">
        <v>1</v>
      </c>
      <c r="BL162" t="s">
        <v>132</v>
      </c>
      <c r="BM162" t="s">
        <v>1</v>
      </c>
      <c r="BN162">
        <v>12900</v>
      </c>
      <c r="BO162" t="s">
        <v>1</v>
      </c>
      <c r="BP162" t="s">
        <v>1</v>
      </c>
      <c r="BQ162" t="s">
        <v>1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0</v>
      </c>
      <c r="BX162" t="s">
        <v>1</v>
      </c>
      <c r="BY162" t="s">
        <v>1</v>
      </c>
      <c r="BZ162" t="s">
        <v>1</v>
      </c>
      <c r="CA162" t="s">
        <v>1</v>
      </c>
      <c r="CB162" t="s">
        <v>277</v>
      </c>
      <c r="CD162" t="str" cm="1">
        <f t="array" aca="1" ref="CD162" ca="1">eConcatenar(A162:CB162,"|")</f>
        <v>xtQuB6MRMrvSJhiV|PAR2021-0405|3|IMPERIAL DE LUJO|TABASCO|PARAISO|PARAISO|2021-02-10|12900|0|200|50|2|0|0|0|0|0|0|0|0|0|0|0|0|0|0|GARCIA|CRUZ|JOSEFA|SOLTERO|X|X|CARRETERA FEDERAL PARAISO-COMALCALCO|RANCHERIA ORIENTE PRIMERA SECCION|x|9331100541|x|x|x|CARRETERA FEDERAL PARAISO-COMALCALCO|x|LUNES|X|X|X|X|X|DOMICILIO |6400|6500|X|X|X|2022-03-02|2022-03-09|X|X|X|X|X|QWZBUE029KVTQO|X|HOMBRE|X|12900|X|X|X|X|X|X|X|X|CARDENAS|X|X|X|X|FINAL</v>
      </c>
    </row>
    <row r="163" spans="1:82" x14ac:dyDescent="0.25">
      <c r="A163" t="s">
        <v>970</v>
      </c>
      <c r="B163" t="s">
        <v>971</v>
      </c>
      <c r="C163">
        <v>3</v>
      </c>
      <c r="D163" t="s">
        <v>147</v>
      </c>
      <c r="E163" t="s">
        <v>150</v>
      </c>
      <c r="F163" t="s">
        <v>151</v>
      </c>
      <c r="G163" t="s">
        <v>151</v>
      </c>
      <c r="H163" t="s">
        <v>1076</v>
      </c>
      <c r="I163">
        <v>12900</v>
      </c>
      <c r="J163">
        <v>0</v>
      </c>
      <c r="K163">
        <v>500</v>
      </c>
      <c r="L163">
        <v>50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972</v>
      </c>
      <c r="AC163" t="s">
        <v>218</v>
      </c>
      <c r="AD163" t="s">
        <v>973</v>
      </c>
      <c r="AE163" t="s">
        <v>4</v>
      </c>
      <c r="AF163" t="s">
        <v>1</v>
      </c>
      <c r="AG163" t="s">
        <v>1</v>
      </c>
      <c r="AH163" t="s">
        <v>974</v>
      </c>
      <c r="AI163" t="s">
        <v>975</v>
      </c>
      <c r="AJ163" t="s">
        <v>3</v>
      </c>
      <c r="AK163">
        <v>9331375875</v>
      </c>
      <c r="AL163" t="s">
        <v>3</v>
      </c>
      <c r="AM163" t="s">
        <v>3</v>
      </c>
      <c r="AN163" t="s">
        <v>3</v>
      </c>
      <c r="AO163" t="s">
        <v>974</v>
      </c>
      <c r="AP163" t="s">
        <v>3</v>
      </c>
      <c r="AQ163" t="s">
        <v>2</v>
      </c>
      <c r="AR163" t="s">
        <v>1</v>
      </c>
      <c r="AS163" t="s">
        <v>1</v>
      </c>
      <c r="AT163" t="s">
        <v>1</v>
      </c>
      <c r="AU163" t="s">
        <v>1</v>
      </c>
      <c r="AV163" t="s">
        <v>1</v>
      </c>
      <c r="AW163" t="s">
        <v>11</v>
      </c>
      <c r="AX163">
        <f>Tabla1[[#This Row],[precio del paquete]]-Tabla1[[#This Row],[Saldo_Deudor]]</f>
        <v>5100</v>
      </c>
      <c r="AY163">
        <v>7800</v>
      </c>
      <c r="AZ163" t="s">
        <v>1</v>
      </c>
      <c r="BA163" t="s">
        <v>1</v>
      </c>
      <c r="BB163" t="s">
        <v>1</v>
      </c>
      <c r="BC163" t="s">
        <v>256</v>
      </c>
      <c r="BD163" t="s">
        <v>264</v>
      </c>
      <c r="BE163" t="s">
        <v>1</v>
      </c>
      <c r="BF163" t="s">
        <v>1</v>
      </c>
      <c r="BG163" t="s">
        <v>1</v>
      </c>
      <c r="BH163" t="s">
        <v>1</v>
      </c>
      <c r="BI163" t="s">
        <v>1</v>
      </c>
      <c r="BJ163" t="s">
        <v>275</v>
      </c>
      <c r="BK163" t="s">
        <v>1</v>
      </c>
      <c r="BL163" t="s">
        <v>132</v>
      </c>
      <c r="BM163" t="s">
        <v>1</v>
      </c>
      <c r="BN163">
        <v>12900</v>
      </c>
      <c r="BO163" t="s">
        <v>1</v>
      </c>
      <c r="BP163" t="s">
        <v>1</v>
      </c>
      <c r="BQ163" t="s">
        <v>1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0</v>
      </c>
      <c r="BX163" t="s">
        <v>1</v>
      </c>
      <c r="BY163" t="s">
        <v>1</v>
      </c>
      <c r="BZ163" t="s">
        <v>1</v>
      </c>
      <c r="CA163" t="s">
        <v>1</v>
      </c>
      <c r="CB163" t="s">
        <v>277</v>
      </c>
      <c r="CD163" t="str" cm="1">
        <f t="array" aca="1" ref="CD163" ca="1">eConcatenar(A163:CB163,"|")</f>
        <v>KhagHsSW4gLSWeM9|PAR2021-0368|3|ECONOLINE|TABASCO|PARAISO|PARAISO|2021-02-04|12900|0|500|50|2|0|0|0|0|0|0|0|0|0|0|0|0|0|0|CUPIL|JIMENEZ|IRMA|SOLTERO|X|X|CALLE BUGAMBULIAS|COLONIA LOS MANGOS|x|9331375875|x|x|x|CALLE BUGAMBULIAS|x|LUNES|X|X|X|X|X|DOMICILIO |5100|7800|X|X|X|2022-03-02|2022-03-09|X|X|X|X|X|QWZBUE029KVTQO|X|HOMBRE|X|12900|X|X|X|X|X|X|X|X|CARDENAS|X|X|X|X|FINAL</v>
      </c>
    </row>
    <row r="164" spans="1:82" x14ac:dyDescent="0.25">
      <c r="A164" t="s">
        <v>976</v>
      </c>
      <c r="B164" t="s">
        <v>977</v>
      </c>
      <c r="C164">
        <v>3</v>
      </c>
      <c r="D164" t="s">
        <v>145</v>
      </c>
      <c r="E164" t="s">
        <v>150</v>
      </c>
      <c r="F164" t="s">
        <v>151</v>
      </c>
      <c r="G164" t="s">
        <v>151</v>
      </c>
      <c r="H164" t="s">
        <v>1128</v>
      </c>
      <c r="I164">
        <v>14800</v>
      </c>
      <c r="J164">
        <v>0</v>
      </c>
      <c r="K164">
        <v>100</v>
      </c>
      <c r="L164">
        <v>50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978</v>
      </c>
      <c r="AC164" t="s">
        <v>210</v>
      </c>
      <c r="AD164" t="s">
        <v>196</v>
      </c>
      <c r="AE164" t="s">
        <v>4</v>
      </c>
      <c r="AF164" t="s">
        <v>1</v>
      </c>
      <c r="AG164" t="s">
        <v>1</v>
      </c>
      <c r="AH164" t="s">
        <v>979</v>
      </c>
      <c r="AI164" t="s">
        <v>980</v>
      </c>
      <c r="AJ164" t="s">
        <v>3</v>
      </c>
      <c r="AK164">
        <v>9331643135</v>
      </c>
      <c r="AL164" t="s">
        <v>3</v>
      </c>
      <c r="AM164" t="s">
        <v>3</v>
      </c>
      <c r="AN164" t="s">
        <v>3</v>
      </c>
      <c r="AO164" t="s">
        <v>979</v>
      </c>
      <c r="AP164" t="s">
        <v>3</v>
      </c>
      <c r="AQ164" t="s">
        <v>2</v>
      </c>
      <c r="AR164" t="s">
        <v>1</v>
      </c>
      <c r="AS164" t="s">
        <v>1</v>
      </c>
      <c r="AT164" t="s">
        <v>1</v>
      </c>
      <c r="AU164" t="s">
        <v>1</v>
      </c>
      <c r="AV164" t="s">
        <v>1</v>
      </c>
      <c r="AW164" t="s">
        <v>11</v>
      </c>
      <c r="AX164">
        <f>Tabla1[[#This Row],[precio del paquete]]-Tabla1[[#This Row],[Saldo_Deudor]]</f>
        <v>1400</v>
      </c>
      <c r="AY164">
        <v>13400</v>
      </c>
      <c r="AZ164" t="s">
        <v>1</v>
      </c>
      <c r="BA164" t="s">
        <v>1</v>
      </c>
      <c r="BB164" t="s">
        <v>1</v>
      </c>
      <c r="BC164" t="s">
        <v>256</v>
      </c>
      <c r="BD164" t="s">
        <v>264</v>
      </c>
      <c r="BE164" t="s">
        <v>1</v>
      </c>
      <c r="BF164" t="s">
        <v>1</v>
      </c>
      <c r="BG164" t="s">
        <v>1</v>
      </c>
      <c r="BH164" t="s">
        <v>1</v>
      </c>
      <c r="BI164" t="s">
        <v>1</v>
      </c>
      <c r="BJ164" t="s">
        <v>275</v>
      </c>
      <c r="BK164" t="s">
        <v>1</v>
      </c>
      <c r="BL164" t="s">
        <v>132</v>
      </c>
      <c r="BM164" t="s">
        <v>1</v>
      </c>
      <c r="BN164">
        <v>14800</v>
      </c>
      <c r="BO164" t="s">
        <v>1</v>
      </c>
      <c r="BP164" t="s">
        <v>1</v>
      </c>
      <c r="BQ164" t="s">
        <v>1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0</v>
      </c>
      <c r="BX164" t="s">
        <v>1</v>
      </c>
      <c r="BY164" t="s">
        <v>1</v>
      </c>
      <c r="BZ164" t="s">
        <v>1</v>
      </c>
      <c r="CA164" t="s">
        <v>1</v>
      </c>
      <c r="CB164" t="s">
        <v>277</v>
      </c>
      <c r="CD164" t="str" cm="1">
        <f t="array" aca="1" ref="CD164" ca="1">eConcatenar(A164:CB164,"|")</f>
        <v>zstAG9UAQRNQTvwW|PAR2021-3347|3|MEMORIAL|TABASCO|PARAISO|PARAISO|2021-10-22|14800|0|100|50|0|0|0|0|0|0|0|0|0|0|0|0|0|0|0|HERGANZO|DE LA CRUZ|JOSE MANUEL|SOLTERO|X|X|SECCION MONTAÑA SIN NUMERO|EJIDO PUERTO CEIBA|x|9331643135|x|x|x|SECCION MONTAÑA SIN NUMERO|x|LUNES|X|X|X|X|X|DOMICILIO |1400|13400|X|X|X|2022-03-02|2022-03-09|X|X|X|X|X|QWZBUE029KVTQO|X|HOMBRE|X|14800|X|X|X|X|X|X|X|X|CARDENAS|X|X|X|X|FINAL</v>
      </c>
    </row>
    <row r="165" spans="1:82" x14ac:dyDescent="0.25">
      <c r="A165" t="s">
        <v>981</v>
      </c>
      <c r="B165" t="s">
        <v>982</v>
      </c>
      <c r="C165">
        <v>3</v>
      </c>
      <c r="D165" t="s">
        <v>145</v>
      </c>
      <c r="E165" t="s">
        <v>150</v>
      </c>
      <c r="F165" t="s">
        <v>151</v>
      </c>
      <c r="G165" t="s">
        <v>151</v>
      </c>
      <c r="H165" t="s">
        <v>1129</v>
      </c>
      <c r="I165">
        <v>14800</v>
      </c>
      <c r="J165">
        <v>0</v>
      </c>
      <c r="K165">
        <v>200</v>
      </c>
      <c r="L165">
        <v>50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203</v>
      </c>
      <c r="AC165" t="s">
        <v>205</v>
      </c>
      <c r="AD165" t="s">
        <v>722</v>
      </c>
      <c r="AE165" t="s">
        <v>4</v>
      </c>
      <c r="AF165" t="s">
        <v>1</v>
      </c>
      <c r="AG165" t="s">
        <v>1</v>
      </c>
      <c r="AH165" t="s">
        <v>980</v>
      </c>
      <c r="AI165" t="s">
        <v>979</v>
      </c>
      <c r="AJ165" t="s">
        <v>3</v>
      </c>
      <c r="AK165">
        <v>9331156304</v>
      </c>
      <c r="AL165" t="s">
        <v>3</v>
      </c>
      <c r="AM165" t="s">
        <v>3</v>
      </c>
      <c r="AN165" t="s">
        <v>3</v>
      </c>
      <c r="AO165" t="s">
        <v>980</v>
      </c>
      <c r="AP165" t="s">
        <v>3</v>
      </c>
      <c r="AQ165" t="s">
        <v>2</v>
      </c>
      <c r="AR165" t="s">
        <v>1</v>
      </c>
      <c r="AS165" t="s">
        <v>1</v>
      </c>
      <c r="AT165" t="s">
        <v>1</v>
      </c>
      <c r="AU165" t="s">
        <v>1</v>
      </c>
      <c r="AV165" t="s">
        <v>1</v>
      </c>
      <c r="AW165" t="s">
        <v>11</v>
      </c>
      <c r="AX165">
        <f>Tabla1[[#This Row],[precio del paquete]]-Tabla1[[#This Row],[Saldo_Deudor]]</f>
        <v>1600</v>
      </c>
      <c r="AY165">
        <v>13200</v>
      </c>
      <c r="AZ165" t="s">
        <v>1</v>
      </c>
      <c r="BA165" t="s">
        <v>1</v>
      </c>
      <c r="BB165" t="s">
        <v>1</v>
      </c>
      <c r="BC165" t="s">
        <v>256</v>
      </c>
      <c r="BD165" t="s">
        <v>264</v>
      </c>
      <c r="BE165" t="s">
        <v>1</v>
      </c>
      <c r="BF165" t="s">
        <v>1</v>
      </c>
      <c r="BG165" t="s">
        <v>1</v>
      </c>
      <c r="BH165" t="s">
        <v>1</v>
      </c>
      <c r="BI165" t="s">
        <v>1</v>
      </c>
      <c r="BJ165" t="s">
        <v>275</v>
      </c>
      <c r="BK165" t="s">
        <v>1</v>
      </c>
      <c r="BL165" t="s">
        <v>132</v>
      </c>
      <c r="BM165" t="s">
        <v>1</v>
      </c>
      <c r="BN165">
        <v>14800</v>
      </c>
      <c r="BO165" t="s">
        <v>1</v>
      </c>
      <c r="BP165" t="s">
        <v>1</v>
      </c>
      <c r="BQ165" t="s">
        <v>1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0</v>
      </c>
      <c r="BX165" t="s">
        <v>1</v>
      </c>
      <c r="BY165" t="s">
        <v>1</v>
      </c>
      <c r="BZ165" t="s">
        <v>1</v>
      </c>
      <c r="CA165" t="s">
        <v>1</v>
      </c>
      <c r="CB165" t="s">
        <v>277</v>
      </c>
      <c r="CD165" t="str" cm="1">
        <f t="array" aca="1" ref="CD165" ca="1">eConcatenar(A165:CB165,"|")</f>
        <v>tpDOI0aeSJg0GS4x|PAR2021-7020|3|MEMORIAL|TABASCO|PARAISO|PARAISO|2021-11-17|14800|0|200|50|0|0|0|0|0|0|0|0|0|0|0|0|0|0|0|GARCIA|HERNANDEZ|GUADALUPE|SOLTERO|X|X|EJIDO PUERTO CEIBA|SECCION MONTAÑA SIN NUMERO|x|9331156304|x|x|x|EJIDO PUERTO CEIBA|x|LUNES|X|X|X|X|X|DOMICILIO |1600|13200|X|X|X|2022-03-02|2022-03-09|X|X|X|X|X|QWZBUE029KVTQO|X|HOMBRE|X|14800|X|X|X|X|X|X|X|X|CARDENAS|X|X|X|X|FINAL</v>
      </c>
    </row>
    <row r="166" spans="1:82" x14ac:dyDescent="0.25">
      <c r="A166" t="s">
        <v>983</v>
      </c>
      <c r="B166" t="s">
        <v>984</v>
      </c>
      <c r="C166">
        <v>3</v>
      </c>
      <c r="D166" t="s">
        <v>145</v>
      </c>
      <c r="E166" t="s">
        <v>150</v>
      </c>
      <c r="F166" t="s">
        <v>151</v>
      </c>
      <c r="G166" t="s">
        <v>151</v>
      </c>
      <c r="H166" t="s">
        <v>1130</v>
      </c>
      <c r="I166">
        <v>14800</v>
      </c>
      <c r="J166">
        <v>0</v>
      </c>
      <c r="K166">
        <v>50</v>
      </c>
      <c r="L166">
        <v>50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205</v>
      </c>
      <c r="AC166" t="s">
        <v>205</v>
      </c>
      <c r="AD166" t="s">
        <v>191</v>
      </c>
      <c r="AE166" t="s">
        <v>4</v>
      </c>
      <c r="AF166" t="s">
        <v>1</v>
      </c>
      <c r="AG166" t="s">
        <v>1</v>
      </c>
      <c r="AH166" t="s">
        <v>980</v>
      </c>
      <c r="AI166" t="s">
        <v>979</v>
      </c>
      <c r="AJ166" t="s">
        <v>3</v>
      </c>
      <c r="AK166">
        <v>9333276622</v>
      </c>
      <c r="AL166" t="s">
        <v>3</v>
      </c>
      <c r="AM166" t="s">
        <v>3</v>
      </c>
      <c r="AN166" t="s">
        <v>3</v>
      </c>
      <c r="AO166" t="s">
        <v>980</v>
      </c>
      <c r="AP166" t="s">
        <v>3</v>
      </c>
      <c r="AQ166" t="s">
        <v>2</v>
      </c>
      <c r="AR166" t="s">
        <v>1</v>
      </c>
      <c r="AS166" t="s">
        <v>1</v>
      </c>
      <c r="AT166" t="s">
        <v>1</v>
      </c>
      <c r="AU166" t="s">
        <v>1</v>
      </c>
      <c r="AV166" t="s">
        <v>1</v>
      </c>
      <c r="AW166" t="s">
        <v>11</v>
      </c>
      <c r="AX166">
        <f>Tabla1[[#This Row],[precio del paquete]]-Tabla1[[#This Row],[Saldo_Deudor]]</f>
        <v>900</v>
      </c>
      <c r="AY166">
        <v>13900</v>
      </c>
      <c r="AZ166" t="s">
        <v>1</v>
      </c>
      <c r="BA166" t="s">
        <v>1</v>
      </c>
      <c r="BB166" t="s">
        <v>1</v>
      </c>
      <c r="BC166" t="s">
        <v>256</v>
      </c>
      <c r="BD166" t="s">
        <v>264</v>
      </c>
      <c r="BE166" t="s">
        <v>1</v>
      </c>
      <c r="BF166" t="s">
        <v>1</v>
      </c>
      <c r="BG166" t="s">
        <v>1</v>
      </c>
      <c r="BH166" t="s">
        <v>1</v>
      </c>
      <c r="BI166" t="s">
        <v>1</v>
      </c>
      <c r="BJ166" t="s">
        <v>275</v>
      </c>
      <c r="BK166" t="s">
        <v>1</v>
      </c>
      <c r="BL166" t="s">
        <v>132</v>
      </c>
      <c r="BM166" t="s">
        <v>1</v>
      </c>
      <c r="BN166">
        <v>14800</v>
      </c>
      <c r="BO166" t="s">
        <v>1</v>
      </c>
      <c r="BP166" t="s">
        <v>1</v>
      </c>
      <c r="BQ166" t="s">
        <v>1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0</v>
      </c>
      <c r="BX166" t="s">
        <v>1</v>
      </c>
      <c r="BY166" t="s">
        <v>1</v>
      </c>
      <c r="BZ166" t="s">
        <v>1</v>
      </c>
      <c r="CA166" t="s">
        <v>1</v>
      </c>
      <c r="CB166" t="s">
        <v>277</v>
      </c>
      <c r="CD166" t="str" cm="1">
        <f t="array" aca="1" ref="CD166" ca="1">eConcatenar(A166:CB166,"|")</f>
        <v>s3gDW3ddMIK9EHKe|PAR2021-3358|3|MEMORIAL|TABASCO|PARAISO|PARAISO|2021-10-23|14800|0|50|50|1|0|0|0|0|0|0|0|0|0|0|0|0|0|0|HERNANDEZ|HERNANDEZ|MARIA DEL CARMEN|SOLTERO|X|X|EJIDO PUERTO CEIBA|SECCION MONTAÑA SIN NUMERO|x|9333276622|x|x|x|EJIDO PUERTO CEIBA|x|LUNES|X|X|X|X|X|DOMICILIO |900|13900|X|X|X|2022-03-02|2022-03-09|X|X|X|X|X|QWZBUE029KVTQO|X|HOMBRE|X|14800|X|X|X|X|X|X|X|X|CARDENAS|X|X|X|X|FINAL</v>
      </c>
    </row>
    <row r="167" spans="1:82" x14ac:dyDescent="0.25">
      <c r="A167" t="s">
        <v>985</v>
      </c>
      <c r="B167" t="s">
        <v>986</v>
      </c>
      <c r="C167">
        <v>3</v>
      </c>
      <c r="D167" t="s">
        <v>144</v>
      </c>
      <c r="E167" t="s">
        <v>150</v>
      </c>
      <c r="F167" t="s">
        <v>151</v>
      </c>
      <c r="G167" t="s">
        <v>151</v>
      </c>
      <c r="H167" t="s">
        <v>1131</v>
      </c>
      <c r="I167">
        <v>12900</v>
      </c>
      <c r="J167">
        <v>0</v>
      </c>
      <c r="K167">
        <v>100</v>
      </c>
      <c r="L167">
        <v>50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987</v>
      </c>
      <c r="AC167" t="s">
        <v>223</v>
      </c>
      <c r="AD167" t="s">
        <v>988</v>
      </c>
      <c r="AE167" t="s">
        <v>4</v>
      </c>
      <c r="AF167" t="s">
        <v>1</v>
      </c>
      <c r="AG167" t="s">
        <v>1</v>
      </c>
      <c r="AH167" t="s">
        <v>989</v>
      </c>
      <c r="AI167" t="s">
        <v>616</v>
      </c>
      <c r="AJ167" t="s">
        <v>3</v>
      </c>
      <c r="AK167">
        <v>933406564</v>
      </c>
      <c r="AL167" t="s">
        <v>3</v>
      </c>
      <c r="AM167" t="s">
        <v>3</v>
      </c>
      <c r="AN167" t="s">
        <v>3</v>
      </c>
      <c r="AO167" t="s">
        <v>989</v>
      </c>
      <c r="AP167" t="s">
        <v>3</v>
      </c>
      <c r="AQ167" t="s">
        <v>2</v>
      </c>
      <c r="AR167" t="s">
        <v>1</v>
      </c>
      <c r="AS167" t="s">
        <v>1</v>
      </c>
      <c r="AT167" t="s">
        <v>1</v>
      </c>
      <c r="AU167" t="s">
        <v>1</v>
      </c>
      <c r="AV167" t="s">
        <v>1</v>
      </c>
      <c r="AW167" t="s">
        <v>11</v>
      </c>
      <c r="AX167">
        <f>Tabla1[[#This Row],[precio del paquete]]-Tabla1[[#This Row],[Saldo_Deudor]]</f>
        <v>4050</v>
      </c>
      <c r="AY167">
        <v>8850</v>
      </c>
      <c r="AZ167" t="s">
        <v>1</v>
      </c>
      <c r="BA167" t="s">
        <v>1</v>
      </c>
      <c r="BB167" t="s">
        <v>1</v>
      </c>
      <c r="BC167" t="s">
        <v>256</v>
      </c>
      <c r="BD167" t="s">
        <v>264</v>
      </c>
      <c r="BE167" t="s">
        <v>1</v>
      </c>
      <c r="BF167" t="s">
        <v>1</v>
      </c>
      <c r="BG167" t="s">
        <v>1</v>
      </c>
      <c r="BH167" t="s">
        <v>1</v>
      </c>
      <c r="BI167" t="s">
        <v>1</v>
      </c>
      <c r="BJ167" t="s">
        <v>275</v>
      </c>
      <c r="BK167" t="s">
        <v>1</v>
      </c>
      <c r="BL167" t="s">
        <v>132</v>
      </c>
      <c r="BM167" t="s">
        <v>1</v>
      </c>
      <c r="BN167">
        <v>12900</v>
      </c>
      <c r="BO167" t="s">
        <v>1</v>
      </c>
      <c r="BP167" t="s">
        <v>1</v>
      </c>
      <c r="BQ167" t="s">
        <v>1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0</v>
      </c>
      <c r="BX167" t="s">
        <v>1</v>
      </c>
      <c r="BY167" t="s">
        <v>1</v>
      </c>
      <c r="BZ167" t="s">
        <v>1</v>
      </c>
      <c r="CA167" t="s">
        <v>1</v>
      </c>
      <c r="CB167" t="s">
        <v>277</v>
      </c>
      <c r="CD167" t="str" cm="1">
        <f t="array" aca="1" ref="CD167" ca="1">eConcatenar(A167:CB167,"|")</f>
        <v>tWGYRwHeGakXborK|PAR2021-0506|3|IMPERIAL DE LUJO|TABASCO|PARAISO|PARAISO|2021-02-20|12900|0|100|50|0|0|0|0|0|0|0|0|0|0|0|0|0|0|0|DEL CARMEN|GONZALEZ|FATIMA|SOLTERO|X|X|CALLE 20 DE NOVIEMBRE|PUERTO CEIBA|x|933406564|x|x|x|CALLE 20 DE NOVIEMBRE|x|LUNES|X|X|X|X|X|DOMICILIO |4050|8850|X|X|X|2022-03-02|2022-03-09|X|X|X|X|X|QWZBUE029KVTQO|X|HOMBRE|X|12900|X|X|X|X|X|X|X|X|CARDENAS|X|X|X|X|FINAL</v>
      </c>
    </row>
    <row r="168" spans="1:82" x14ac:dyDescent="0.25">
      <c r="A168" t="s">
        <v>990</v>
      </c>
      <c r="B168" t="s">
        <v>991</v>
      </c>
      <c r="C168">
        <v>3</v>
      </c>
      <c r="D168" t="s">
        <v>144</v>
      </c>
      <c r="E168" t="s">
        <v>150</v>
      </c>
      <c r="F168" t="s">
        <v>151</v>
      </c>
      <c r="G168" t="s">
        <v>151</v>
      </c>
      <c r="H168" t="s">
        <v>1132</v>
      </c>
      <c r="I168">
        <v>12900</v>
      </c>
      <c r="J168">
        <v>0</v>
      </c>
      <c r="K168">
        <v>200</v>
      </c>
      <c r="L168">
        <v>50</v>
      </c>
      <c r="M168">
        <v>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214</v>
      </c>
      <c r="AC168" t="s">
        <v>664</v>
      </c>
      <c r="AD168" t="s">
        <v>992</v>
      </c>
      <c r="AE168" t="s">
        <v>4</v>
      </c>
      <c r="AF168" t="s">
        <v>1</v>
      </c>
      <c r="AG168" t="s">
        <v>1</v>
      </c>
      <c r="AH168" t="s">
        <v>993</v>
      </c>
      <c r="AI168" t="s">
        <v>994</v>
      </c>
      <c r="AJ168" t="s">
        <v>3</v>
      </c>
      <c r="AK168">
        <v>9331330908</v>
      </c>
      <c r="AL168" t="s">
        <v>3</v>
      </c>
      <c r="AM168" t="s">
        <v>3</v>
      </c>
      <c r="AN168" t="s">
        <v>3</v>
      </c>
      <c r="AO168" t="s">
        <v>993</v>
      </c>
      <c r="AP168" t="s">
        <v>3</v>
      </c>
      <c r="AQ168" t="s">
        <v>2</v>
      </c>
      <c r="AR168" t="s">
        <v>1</v>
      </c>
      <c r="AS168" t="s">
        <v>1</v>
      </c>
      <c r="AT168" t="s">
        <v>1</v>
      </c>
      <c r="AU168" t="s">
        <v>1</v>
      </c>
      <c r="AV168" t="s">
        <v>1</v>
      </c>
      <c r="AW168" t="s">
        <v>11</v>
      </c>
      <c r="AX168">
        <f>Tabla1[[#This Row],[precio del paquete]]-Tabla1[[#This Row],[Saldo_Deudor]]</f>
        <v>7200</v>
      </c>
      <c r="AY168">
        <v>5700</v>
      </c>
      <c r="AZ168" t="s">
        <v>1</v>
      </c>
      <c r="BA168" t="s">
        <v>1</v>
      </c>
      <c r="BB168" t="s">
        <v>1</v>
      </c>
      <c r="BC168" t="s">
        <v>256</v>
      </c>
      <c r="BD168" t="s">
        <v>264</v>
      </c>
      <c r="BE168" t="s">
        <v>1</v>
      </c>
      <c r="BF168" t="s">
        <v>1</v>
      </c>
      <c r="BG168" t="s">
        <v>1</v>
      </c>
      <c r="BH168" t="s">
        <v>1</v>
      </c>
      <c r="BI168" t="s">
        <v>1</v>
      </c>
      <c r="BJ168" t="s">
        <v>275</v>
      </c>
      <c r="BK168" t="s">
        <v>1</v>
      </c>
      <c r="BL168" t="s">
        <v>132</v>
      </c>
      <c r="BM168" t="s">
        <v>1</v>
      </c>
      <c r="BN168">
        <v>12900</v>
      </c>
      <c r="BO168" t="s">
        <v>1</v>
      </c>
      <c r="BP168" t="s">
        <v>1</v>
      </c>
      <c r="BQ168" t="s">
        <v>1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0</v>
      </c>
      <c r="BX168" t="s">
        <v>1</v>
      </c>
      <c r="BY168" t="s">
        <v>1</v>
      </c>
      <c r="BZ168" t="s">
        <v>1</v>
      </c>
      <c r="CA168" t="s">
        <v>1</v>
      </c>
      <c r="CB168" t="s">
        <v>277</v>
      </c>
      <c r="CD168" t="str" cm="1">
        <f t="array" aca="1" ref="CD168" ca="1">eConcatenar(A168:CB168,"|")</f>
        <v>4AWzRLkxUoXPwwNI|PAR2021-0342|3|IMPERIAL DE LUJO|TABASCO|PARAISO|PARAISO|2021-02-02|12900|0|200|50|2|0|0|0|0|0|0|0|0|0|0|0|0|0|0|PEREZ|SANTOS|ELSA|SOLTERO|X|X|CALLE 16 DE SEPTIEMBRE NUMERO 145|VILLA PUERTO CEIBA|x|9331330908|x|x|x|CALLE 16 DE SEPTIEMBRE NUMERO 145|x|LUNES|X|X|X|X|X|DOMICILIO |7200|5700|X|X|X|2022-03-02|2022-03-09|X|X|X|X|X|QWZBUE029KVTQO|X|HOMBRE|X|12900|X|X|X|X|X|X|X|X|CARDENAS|X|X|X|X|FINAL</v>
      </c>
    </row>
    <row r="169" spans="1:82" x14ac:dyDescent="0.25">
      <c r="A169" t="s">
        <v>995</v>
      </c>
      <c r="B169" t="s">
        <v>996</v>
      </c>
      <c r="C169">
        <v>3</v>
      </c>
      <c r="D169" t="s">
        <v>145</v>
      </c>
      <c r="E169" t="s">
        <v>150</v>
      </c>
      <c r="F169" t="s">
        <v>151</v>
      </c>
      <c r="G169" t="s">
        <v>151</v>
      </c>
      <c r="H169" t="s">
        <v>1044</v>
      </c>
      <c r="I169">
        <v>14800</v>
      </c>
      <c r="J169">
        <v>0</v>
      </c>
      <c r="K169">
        <v>50</v>
      </c>
      <c r="L169">
        <v>50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203</v>
      </c>
      <c r="AC169" t="s">
        <v>212</v>
      </c>
      <c r="AD169" t="s">
        <v>997</v>
      </c>
      <c r="AE169" t="s">
        <v>4</v>
      </c>
      <c r="AF169" t="s">
        <v>1</v>
      </c>
      <c r="AG169" t="s">
        <v>1</v>
      </c>
      <c r="AH169" t="s">
        <v>998</v>
      </c>
      <c r="AI169" t="s">
        <v>999</v>
      </c>
      <c r="AJ169" t="s">
        <v>3</v>
      </c>
      <c r="AK169">
        <v>9331359311</v>
      </c>
      <c r="AL169" t="s">
        <v>3</v>
      </c>
      <c r="AM169" t="s">
        <v>3</v>
      </c>
      <c r="AN169" t="s">
        <v>3</v>
      </c>
      <c r="AO169" t="s">
        <v>998</v>
      </c>
      <c r="AP169" t="s">
        <v>3</v>
      </c>
      <c r="AQ169" t="s">
        <v>2</v>
      </c>
      <c r="AR169" t="s">
        <v>1</v>
      </c>
      <c r="AS169" t="s">
        <v>1</v>
      </c>
      <c r="AT169" t="s">
        <v>1</v>
      </c>
      <c r="AU169" t="s">
        <v>1</v>
      </c>
      <c r="AV169" t="s">
        <v>1</v>
      </c>
      <c r="AW169" t="s">
        <v>11</v>
      </c>
      <c r="AX169">
        <f>Tabla1[[#This Row],[precio del paquete]]-Tabla1[[#This Row],[Saldo_Deudor]]</f>
        <v>1700</v>
      </c>
      <c r="AY169">
        <v>13100</v>
      </c>
      <c r="AZ169" t="s">
        <v>1</v>
      </c>
      <c r="BA169" t="s">
        <v>1</v>
      </c>
      <c r="BB169" t="s">
        <v>1</v>
      </c>
      <c r="BC169" t="s">
        <v>256</v>
      </c>
      <c r="BD169" t="s">
        <v>264</v>
      </c>
      <c r="BE169" t="s">
        <v>1</v>
      </c>
      <c r="BF169" t="s">
        <v>1</v>
      </c>
      <c r="BG169" t="s">
        <v>1</v>
      </c>
      <c r="BH169" t="s">
        <v>1</v>
      </c>
      <c r="BI169" t="s">
        <v>1</v>
      </c>
      <c r="BJ169" t="s">
        <v>275</v>
      </c>
      <c r="BK169" t="s">
        <v>1</v>
      </c>
      <c r="BL169" t="s">
        <v>132</v>
      </c>
      <c r="BM169" t="s">
        <v>1</v>
      </c>
      <c r="BN169">
        <v>14800</v>
      </c>
      <c r="BO169" t="s">
        <v>1</v>
      </c>
      <c r="BP169" t="s">
        <v>1</v>
      </c>
      <c r="BQ169" t="s">
        <v>1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0</v>
      </c>
      <c r="BX169" t="s">
        <v>1</v>
      </c>
      <c r="BY169" t="s">
        <v>1</v>
      </c>
      <c r="BZ169" t="s">
        <v>1</v>
      </c>
      <c r="CA169" t="s">
        <v>1</v>
      </c>
      <c r="CB169" t="s">
        <v>277</v>
      </c>
      <c r="CD169" t="str" cm="1">
        <f t="array" aca="1" ref="CD169" ca="1">eConcatenar(A169:CB169,"|")</f>
        <v>tTbmuqLM9aPvG7Wj|PAR2021-3389|3|MEMORIAL|TABASCO|PARAISO|PARAISO|2021-10-28|14800|0|50|50|0|0|0|0|0|0|0|0|0|0|0|0|0|0|0|GARCIA|DOMINGUEZ|MARIA CRISTINA|SOLTERO|X|X|CALLE DEL PANTEON SIN NUMERO|EJIDO EL CHILTEPEC|x|9331359311|x|x|x|CALLE DEL PANTEON SIN NUMERO|x|LUNES|X|X|X|X|X|DOMICILIO |1700|13100|X|X|X|2022-03-02|2022-03-09|X|X|X|X|X|QWZBUE029KVTQO|X|HOMBRE|X|14800|X|X|X|X|X|X|X|X|CARDENAS|X|X|X|X|FINAL</v>
      </c>
    </row>
    <row r="170" spans="1:82" x14ac:dyDescent="0.25">
      <c r="A170" t="s">
        <v>1000</v>
      </c>
      <c r="B170" t="s">
        <v>1001</v>
      </c>
      <c r="C170">
        <v>3</v>
      </c>
      <c r="D170" t="s">
        <v>145</v>
      </c>
      <c r="E170" t="s">
        <v>150</v>
      </c>
      <c r="F170" t="s">
        <v>151</v>
      </c>
      <c r="G170" t="s">
        <v>151</v>
      </c>
      <c r="H170" t="s">
        <v>170</v>
      </c>
      <c r="I170">
        <v>14800</v>
      </c>
      <c r="J170">
        <v>0</v>
      </c>
      <c r="K170">
        <v>200</v>
      </c>
      <c r="L170">
        <v>50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972</v>
      </c>
      <c r="AC170" t="s">
        <v>972</v>
      </c>
      <c r="AD170" t="s">
        <v>1002</v>
      </c>
      <c r="AE170" t="s">
        <v>4</v>
      </c>
      <c r="AF170" t="s">
        <v>1</v>
      </c>
      <c r="AG170" t="s">
        <v>1</v>
      </c>
      <c r="AH170" t="s">
        <v>244</v>
      </c>
      <c r="AI170" t="s">
        <v>1003</v>
      </c>
      <c r="AJ170" t="s">
        <v>3</v>
      </c>
      <c r="AK170">
        <v>9333991577</v>
      </c>
      <c r="AL170" t="s">
        <v>3</v>
      </c>
      <c r="AM170" t="s">
        <v>3</v>
      </c>
      <c r="AN170" t="s">
        <v>3</v>
      </c>
      <c r="AO170" t="s">
        <v>244</v>
      </c>
      <c r="AP170" t="s">
        <v>3</v>
      </c>
      <c r="AQ170" t="s">
        <v>2</v>
      </c>
      <c r="AR170" t="s">
        <v>1</v>
      </c>
      <c r="AS170" t="s">
        <v>1</v>
      </c>
      <c r="AT170" t="s">
        <v>1</v>
      </c>
      <c r="AU170" t="s">
        <v>1</v>
      </c>
      <c r="AV170" t="s">
        <v>1</v>
      </c>
      <c r="AW170" t="s">
        <v>11</v>
      </c>
      <c r="AX170">
        <f>Tabla1[[#This Row],[precio del paquete]]-Tabla1[[#This Row],[Saldo_Deudor]]</f>
        <v>300</v>
      </c>
      <c r="AY170">
        <v>14500</v>
      </c>
      <c r="AZ170" t="s">
        <v>1</v>
      </c>
      <c r="BA170" t="s">
        <v>1</v>
      </c>
      <c r="BB170" t="s">
        <v>1</v>
      </c>
      <c r="BC170" t="s">
        <v>256</v>
      </c>
      <c r="BD170" t="s">
        <v>264</v>
      </c>
      <c r="BE170" t="s">
        <v>1</v>
      </c>
      <c r="BF170" t="s">
        <v>1</v>
      </c>
      <c r="BG170" t="s">
        <v>1</v>
      </c>
      <c r="BH170" t="s">
        <v>1</v>
      </c>
      <c r="BI170" t="s">
        <v>1</v>
      </c>
      <c r="BJ170" t="s">
        <v>275</v>
      </c>
      <c r="BK170" t="s">
        <v>1</v>
      </c>
      <c r="BL170" t="s">
        <v>132</v>
      </c>
      <c r="BM170" t="s">
        <v>1</v>
      </c>
      <c r="BN170">
        <v>14800</v>
      </c>
      <c r="BO170" t="s">
        <v>1</v>
      </c>
      <c r="BP170" t="s">
        <v>1</v>
      </c>
      <c r="BQ170" t="s">
        <v>1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0</v>
      </c>
      <c r="BX170" t="s">
        <v>1</v>
      </c>
      <c r="BY170" t="s">
        <v>1</v>
      </c>
      <c r="BZ170" t="s">
        <v>1</v>
      </c>
      <c r="CA170" t="s">
        <v>1</v>
      </c>
      <c r="CB170" t="s">
        <v>277</v>
      </c>
      <c r="CD170" t="str" cm="1">
        <f t="array" aca="1" ref="CD170" ca="1">eConcatenar(A170:CB170,"|")</f>
        <v>kUAGYr4ot0GsnTQw|PAR2022-0518|3|MEMORIAL|TABASCO|PARAISO|PARAISO|2022-02-11|14800|0|200|50|0|0|0|0|0|0|0|0|0|0|0|0|0|0|0|CUPIL|CUPIL|FELIX|SOLTERO|X|X|RANCHERIA JALAPITA|CALLE EL AGUILAR SIN NUMERO|x|9333991577|x|x|x|RANCHERIA JALAPITA|x|LUNES|X|X|X|X|X|DOMICILIO |300|14500|X|X|X|2022-03-02|2022-03-09|X|X|X|X|X|QWZBUE029KVTQO|X|HOMBRE|X|14800|X|X|X|X|X|X|X|X|CARDENAS|X|X|X|X|FINAL</v>
      </c>
    </row>
    <row r="171" spans="1:82" x14ac:dyDescent="0.25">
      <c r="A171" t="s">
        <v>1004</v>
      </c>
      <c r="B171" t="s">
        <v>1005</v>
      </c>
      <c r="C171">
        <v>3</v>
      </c>
      <c r="D171" t="s">
        <v>145</v>
      </c>
      <c r="E171" t="s">
        <v>150</v>
      </c>
      <c r="F171" t="s">
        <v>155</v>
      </c>
      <c r="G171" t="s">
        <v>155</v>
      </c>
      <c r="H171" t="s">
        <v>1127</v>
      </c>
      <c r="I171">
        <v>14800</v>
      </c>
      <c r="J171">
        <v>0</v>
      </c>
      <c r="K171">
        <v>200</v>
      </c>
      <c r="L171">
        <v>50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215</v>
      </c>
      <c r="AC171" t="s">
        <v>199</v>
      </c>
      <c r="AD171" t="s">
        <v>1006</v>
      </c>
      <c r="AE171" t="s">
        <v>4</v>
      </c>
      <c r="AF171" t="s">
        <v>1</v>
      </c>
      <c r="AG171" t="s">
        <v>1</v>
      </c>
      <c r="AH171" t="s">
        <v>1007</v>
      </c>
      <c r="AI171" t="s">
        <v>244</v>
      </c>
      <c r="AJ171" t="s">
        <v>3</v>
      </c>
      <c r="AK171">
        <v>9932249903</v>
      </c>
      <c r="AL171" t="s">
        <v>3</v>
      </c>
      <c r="AM171" t="s">
        <v>3</v>
      </c>
      <c r="AN171" t="s">
        <v>3</v>
      </c>
      <c r="AO171" t="s">
        <v>1007</v>
      </c>
      <c r="AP171" t="s">
        <v>3</v>
      </c>
      <c r="AQ171" t="s">
        <v>2</v>
      </c>
      <c r="AR171" t="s">
        <v>1</v>
      </c>
      <c r="AS171" t="s">
        <v>1</v>
      </c>
      <c r="AT171" t="s">
        <v>1</v>
      </c>
      <c r="AU171" t="s">
        <v>1</v>
      </c>
      <c r="AV171" t="s">
        <v>1</v>
      </c>
      <c r="AW171" t="s">
        <v>11</v>
      </c>
      <c r="AX171">
        <f>Tabla1[[#This Row],[precio del paquete]]-Tabla1[[#This Row],[Saldo_Deudor]]</f>
        <v>2200</v>
      </c>
      <c r="AY171">
        <v>12600</v>
      </c>
      <c r="AZ171" t="s">
        <v>1</v>
      </c>
      <c r="BA171" t="s">
        <v>1</v>
      </c>
      <c r="BB171" t="s">
        <v>1</v>
      </c>
      <c r="BC171" t="s">
        <v>256</v>
      </c>
      <c r="BD171" t="s">
        <v>264</v>
      </c>
      <c r="BE171" t="s">
        <v>1</v>
      </c>
      <c r="BF171" t="s">
        <v>1</v>
      </c>
      <c r="BG171" t="s">
        <v>1</v>
      </c>
      <c r="BH171" t="s">
        <v>1</v>
      </c>
      <c r="BI171" t="s">
        <v>1</v>
      </c>
      <c r="BJ171" t="s">
        <v>275</v>
      </c>
      <c r="BK171" t="s">
        <v>1</v>
      </c>
      <c r="BL171" t="s">
        <v>132</v>
      </c>
      <c r="BM171" t="s">
        <v>1</v>
      </c>
      <c r="BN171">
        <v>14800</v>
      </c>
      <c r="BO171" t="s">
        <v>1</v>
      </c>
      <c r="BP171" t="s">
        <v>1</v>
      </c>
      <c r="BQ171" t="s">
        <v>1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0</v>
      </c>
      <c r="BX171" t="s">
        <v>1</v>
      </c>
      <c r="BY171" t="s">
        <v>1</v>
      </c>
      <c r="BZ171" t="s">
        <v>1</v>
      </c>
      <c r="CA171" t="s">
        <v>1</v>
      </c>
      <c r="CB171" t="s">
        <v>277</v>
      </c>
      <c r="CD171" t="str" cm="1">
        <f t="array" aca="1" ref="CD171" ca="1">eConcatenar(A171:CB171,"|")</f>
        <v>S0M34G8XenrRjh9C|PAR2021-3231|3|MEMORIAL|TABASCO|CENTLA|CENTLA|2021-10-07|14800|0|200|50|1|0|0|0|0|0|0|0|0|0|0|0|0|0|0|SANCHEZ|JAVIER|ANGDA|SOLTERO|X|X|ENTRADA EL MARCEL CASA FRENTE A DEPOSITO|RANCHERIA JALAPITA|x|9932249903|x|x|x|ENTRADA EL MARCEL CASA FRENTE A DEPOSITO|x|LUNES|X|X|X|X|X|DOMICILIO |2200|12600|X|X|X|2022-03-02|2022-03-09|X|X|X|X|X|QWZBUE029KVTQO|X|HOMBRE|X|14800|X|X|X|X|X|X|X|X|CARDENAS|X|X|X|X|FINAL</v>
      </c>
    </row>
    <row r="172" spans="1:82" x14ac:dyDescent="0.25">
      <c r="A172" t="s">
        <v>1008</v>
      </c>
      <c r="B172" t="s">
        <v>1009</v>
      </c>
      <c r="C172">
        <v>3</v>
      </c>
      <c r="D172" t="s">
        <v>145</v>
      </c>
      <c r="E172" t="s">
        <v>150</v>
      </c>
      <c r="F172" t="s">
        <v>155</v>
      </c>
      <c r="G172" t="s">
        <v>155</v>
      </c>
      <c r="H172" t="s">
        <v>1133</v>
      </c>
      <c r="I172">
        <v>14800</v>
      </c>
      <c r="J172">
        <v>0</v>
      </c>
      <c r="K172">
        <v>200</v>
      </c>
      <c r="L172">
        <v>50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200</v>
      </c>
      <c r="AC172" t="s">
        <v>205</v>
      </c>
      <c r="AD172" t="s">
        <v>1010</v>
      </c>
      <c r="AE172" t="s">
        <v>4</v>
      </c>
      <c r="AF172" t="s">
        <v>1</v>
      </c>
      <c r="AG172" t="s">
        <v>1</v>
      </c>
      <c r="AH172" t="s">
        <v>1011</v>
      </c>
      <c r="AI172" t="s">
        <v>244</v>
      </c>
      <c r="AJ172" t="s">
        <v>3</v>
      </c>
      <c r="AK172">
        <v>9332081423</v>
      </c>
      <c r="AL172" t="s">
        <v>3</v>
      </c>
      <c r="AM172" t="s">
        <v>3</v>
      </c>
      <c r="AN172" t="s">
        <v>3</v>
      </c>
      <c r="AO172" t="s">
        <v>1011</v>
      </c>
      <c r="AP172" t="s">
        <v>3</v>
      </c>
      <c r="AQ172" t="s">
        <v>2</v>
      </c>
      <c r="AR172" t="s">
        <v>1</v>
      </c>
      <c r="AS172" t="s">
        <v>1</v>
      </c>
      <c r="AT172" t="s">
        <v>1</v>
      </c>
      <c r="AU172" t="s">
        <v>1</v>
      </c>
      <c r="AV172" t="s">
        <v>1</v>
      </c>
      <c r="AW172" t="s">
        <v>11</v>
      </c>
      <c r="AX172">
        <f>Tabla1[[#This Row],[precio del paquete]]-Tabla1[[#This Row],[Saldo_Deudor]]</f>
        <v>1500</v>
      </c>
      <c r="AY172">
        <v>13300</v>
      </c>
      <c r="AZ172" t="s">
        <v>1</v>
      </c>
      <c r="BA172" t="s">
        <v>1</v>
      </c>
      <c r="BB172" t="s">
        <v>1</v>
      </c>
      <c r="BC172" t="s">
        <v>256</v>
      </c>
      <c r="BD172" t="s">
        <v>264</v>
      </c>
      <c r="BE172" t="s">
        <v>1</v>
      </c>
      <c r="BF172" t="s">
        <v>1</v>
      </c>
      <c r="BG172" t="s">
        <v>1</v>
      </c>
      <c r="BH172" t="s">
        <v>1</v>
      </c>
      <c r="BI172" t="s">
        <v>1</v>
      </c>
      <c r="BJ172" t="s">
        <v>275</v>
      </c>
      <c r="BK172" t="s">
        <v>1</v>
      </c>
      <c r="BL172" t="s">
        <v>132</v>
      </c>
      <c r="BM172" t="s">
        <v>1</v>
      </c>
      <c r="BN172">
        <v>14800</v>
      </c>
      <c r="BO172" t="s">
        <v>1</v>
      </c>
      <c r="BP172" t="s">
        <v>1</v>
      </c>
      <c r="BQ172" t="s">
        <v>1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0</v>
      </c>
      <c r="BX172" t="s">
        <v>1</v>
      </c>
      <c r="BY172" t="s">
        <v>1</v>
      </c>
      <c r="BZ172" t="s">
        <v>1</v>
      </c>
      <c r="CA172" t="s">
        <v>1</v>
      </c>
      <c r="CB172" t="s">
        <v>277</v>
      </c>
      <c r="CD172" t="str" cm="1">
        <f t="array" aca="1" ref="CD172" ca="1">eConcatenar(A172:CB172,"|")</f>
        <v>6pVGD1gvVqavqSyY|PAR2021-3730|3|MEMORIAL|TABASCO|CENTLA|CENTLA|2021-11-18|14800|0|200|50|1|0|0|0|0|0|0|0|0|0|0|0|0|0|0|ALEJANDRO|HERNANDEZ|JUSTO|SOLTERO|X|X|CALLE DEL MORRAL SIN NUMERO|RANCHERIA JALAPITA|x|9332081423|x|x|x|CALLE DEL MORRAL SIN NUMERO|x|LUNES|X|X|X|X|X|DOMICILIO |1500|13300|X|X|X|2022-03-02|2022-03-09|X|X|X|X|X|QWZBUE029KVTQO|X|HOMBRE|X|14800|X|X|X|X|X|X|X|X|CARDENAS|X|X|X|X|FINAL</v>
      </c>
    </row>
    <row r="173" spans="1:82" x14ac:dyDescent="0.25">
      <c r="A173" t="s">
        <v>1012</v>
      </c>
      <c r="B173" t="s">
        <v>1013</v>
      </c>
      <c r="C173">
        <v>3</v>
      </c>
      <c r="D173" t="s">
        <v>145</v>
      </c>
      <c r="E173" t="s">
        <v>150</v>
      </c>
      <c r="F173" t="s">
        <v>155</v>
      </c>
      <c r="G173" t="s">
        <v>155</v>
      </c>
      <c r="H173" t="s">
        <v>1133</v>
      </c>
      <c r="I173">
        <v>14800</v>
      </c>
      <c r="J173">
        <v>0</v>
      </c>
      <c r="K173">
        <v>100</v>
      </c>
      <c r="L173">
        <v>50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7</v>
      </c>
      <c r="AC173" t="s">
        <v>1014</v>
      </c>
      <c r="AD173" t="s">
        <v>1015</v>
      </c>
      <c r="AE173" t="s">
        <v>4</v>
      </c>
      <c r="AF173" t="s">
        <v>1</v>
      </c>
      <c r="AG173" t="s">
        <v>1</v>
      </c>
      <c r="AH173" t="s">
        <v>1016</v>
      </c>
      <c r="AI173" t="s">
        <v>244</v>
      </c>
      <c r="AJ173" t="s">
        <v>3</v>
      </c>
      <c r="AK173">
        <v>9333276964</v>
      </c>
      <c r="AL173" t="s">
        <v>3</v>
      </c>
      <c r="AM173" t="s">
        <v>3</v>
      </c>
      <c r="AN173" t="s">
        <v>3</v>
      </c>
      <c r="AO173" t="s">
        <v>1016</v>
      </c>
      <c r="AP173" t="s">
        <v>3</v>
      </c>
      <c r="AQ173" t="s">
        <v>2</v>
      </c>
      <c r="AR173" t="s">
        <v>1</v>
      </c>
      <c r="AS173" t="s">
        <v>1</v>
      </c>
      <c r="AT173" t="s">
        <v>1</v>
      </c>
      <c r="AU173" t="s">
        <v>1</v>
      </c>
      <c r="AV173" t="s">
        <v>1</v>
      </c>
      <c r="AW173" t="s">
        <v>11</v>
      </c>
      <c r="AX173">
        <f>Tabla1[[#This Row],[precio del paquete]]-Tabla1[[#This Row],[Saldo_Deudor]]</f>
        <v>2100</v>
      </c>
      <c r="AY173">
        <v>12700</v>
      </c>
      <c r="AZ173" t="s">
        <v>1</v>
      </c>
      <c r="BA173" t="s">
        <v>1</v>
      </c>
      <c r="BB173" t="s">
        <v>1</v>
      </c>
      <c r="BC173" t="s">
        <v>256</v>
      </c>
      <c r="BD173" t="s">
        <v>264</v>
      </c>
      <c r="BE173" t="s">
        <v>1</v>
      </c>
      <c r="BF173" t="s">
        <v>1</v>
      </c>
      <c r="BG173" t="s">
        <v>1</v>
      </c>
      <c r="BH173" t="s">
        <v>1</v>
      </c>
      <c r="BI173" t="s">
        <v>1</v>
      </c>
      <c r="BJ173" t="s">
        <v>275</v>
      </c>
      <c r="BK173" t="s">
        <v>1</v>
      </c>
      <c r="BL173" t="s">
        <v>132</v>
      </c>
      <c r="BM173" t="s">
        <v>1</v>
      </c>
      <c r="BN173">
        <v>14800</v>
      </c>
      <c r="BO173" t="s">
        <v>1</v>
      </c>
      <c r="BP173" t="s">
        <v>1</v>
      </c>
      <c r="BQ173" t="s">
        <v>1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0</v>
      </c>
      <c r="BX173" t="s">
        <v>1</v>
      </c>
      <c r="BY173" t="s">
        <v>1</v>
      </c>
      <c r="BZ173" t="s">
        <v>1</v>
      </c>
      <c r="CA173" t="s">
        <v>1</v>
      </c>
      <c r="CB173" t="s">
        <v>277</v>
      </c>
      <c r="CD173" t="str" cm="1">
        <f t="array" aca="1" ref="CD173" ca="1">eConcatenar(A173:CB173,"|")</f>
        <v>mwppi3muJoLQaj6Y|PAR2021-3726|3|MEMORIAL|TABASCO|CENTLA|CENTLA|2021-11-18|14800|0|100|50|1|0|0|0|0|0|0|0|0|0|0|0|0|0|0|LOPEZ|CEREFINO|JUANA|SOLTERO|X|X|DESPUES DE LA TIENDA DICONSA A LA PURIFICADORA|RANCHERIA JALAPITA|x|9333276964|x|x|x|DESPUES DE LA TIENDA DICONSA A LA PURIFICADORA|x|LUNES|X|X|X|X|X|DOMICILIO |2100|12700|X|X|X|2022-03-02|2022-03-09|X|X|X|X|X|QWZBUE029KVTQO|X|HOMBRE|X|14800|X|X|X|X|X|X|X|X|CARDENAS|X|X|X|X|FINAL</v>
      </c>
    </row>
    <row r="174" spans="1:82" x14ac:dyDescent="0.25">
      <c r="A174" t="s">
        <v>1017</v>
      </c>
      <c r="B174" t="s">
        <v>1018</v>
      </c>
      <c r="C174">
        <v>3</v>
      </c>
      <c r="D174" t="s">
        <v>145</v>
      </c>
      <c r="E174" t="s">
        <v>150</v>
      </c>
      <c r="F174" t="s">
        <v>155</v>
      </c>
      <c r="G174" t="s">
        <v>155</v>
      </c>
      <c r="H174" t="s">
        <v>1067</v>
      </c>
      <c r="I174">
        <v>14800</v>
      </c>
      <c r="J174">
        <v>0</v>
      </c>
      <c r="K174">
        <v>200</v>
      </c>
      <c r="L174">
        <v>50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805</v>
      </c>
      <c r="AC174" t="s">
        <v>218</v>
      </c>
      <c r="AD174" t="s">
        <v>1015</v>
      </c>
      <c r="AE174" t="s">
        <v>4</v>
      </c>
      <c r="AF174" t="s">
        <v>1</v>
      </c>
      <c r="AG174" t="s">
        <v>1</v>
      </c>
      <c r="AH174" t="s">
        <v>1019</v>
      </c>
      <c r="AI174" t="s">
        <v>244</v>
      </c>
      <c r="AJ174" t="s">
        <v>3</v>
      </c>
      <c r="AK174">
        <v>9131101083</v>
      </c>
      <c r="AL174" t="s">
        <v>3</v>
      </c>
      <c r="AM174" t="s">
        <v>3</v>
      </c>
      <c r="AN174" t="s">
        <v>3</v>
      </c>
      <c r="AO174" t="s">
        <v>1019</v>
      </c>
      <c r="AP174" t="s">
        <v>3</v>
      </c>
      <c r="AQ174" t="s">
        <v>2</v>
      </c>
      <c r="AR174" t="s">
        <v>1</v>
      </c>
      <c r="AS174" t="s">
        <v>1</v>
      </c>
      <c r="AT174" t="s">
        <v>1</v>
      </c>
      <c r="AU174" t="s">
        <v>1</v>
      </c>
      <c r="AV174" t="s">
        <v>1</v>
      </c>
      <c r="AW174" t="s">
        <v>11</v>
      </c>
      <c r="AX174">
        <f>Tabla1[[#This Row],[precio del paquete]]-Tabla1[[#This Row],[Saldo_Deudor]]</f>
        <v>1600</v>
      </c>
      <c r="AY174">
        <v>13200</v>
      </c>
      <c r="AZ174" t="s">
        <v>1</v>
      </c>
      <c r="BA174" t="s">
        <v>1</v>
      </c>
      <c r="BB174" t="s">
        <v>1</v>
      </c>
      <c r="BC174" t="s">
        <v>256</v>
      </c>
      <c r="BD174" t="s">
        <v>264</v>
      </c>
      <c r="BE174" t="s">
        <v>1</v>
      </c>
      <c r="BF174" t="s">
        <v>1</v>
      </c>
      <c r="BG174" t="s">
        <v>1</v>
      </c>
      <c r="BH174" t="s">
        <v>1</v>
      </c>
      <c r="BI174" t="s">
        <v>1</v>
      </c>
      <c r="BJ174" t="s">
        <v>275</v>
      </c>
      <c r="BK174" t="s">
        <v>1</v>
      </c>
      <c r="BL174" t="s">
        <v>132</v>
      </c>
      <c r="BM174" t="s">
        <v>1</v>
      </c>
      <c r="BN174">
        <v>14800</v>
      </c>
      <c r="BO174" t="s">
        <v>1</v>
      </c>
      <c r="BP174" t="s">
        <v>1</v>
      </c>
      <c r="BQ174" t="s">
        <v>1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0</v>
      </c>
      <c r="BX174" t="s">
        <v>1</v>
      </c>
      <c r="BY174" t="s">
        <v>1</v>
      </c>
      <c r="BZ174" t="s">
        <v>1</v>
      </c>
      <c r="CA174" t="s">
        <v>1</v>
      </c>
      <c r="CB174" t="s">
        <v>277</v>
      </c>
      <c r="CD174" t="str" cm="1">
        <f t="array" aca="1" ref="CD174" ca="1">eConcatenar(A174:CB174,"|")</f>
        <v>knr6BXVfwPJIW3NY|PAR2021-3734|3|MEMORIAL|TABASCO|CENTLA|CENTLA|2021-11-19|14800|0|200|50|1|0|0|0|0|0|0|0|0|0|0|0|0|0|0|RIVERA|JIMENEZ|JUANA|SOLTERO|X|X|ABARROTES RODRIGUEZ CASA COLOR BLANCO|RANCHERIA JALAPITA|x|9131101083|x|x|x|ABARROTES RODRIGUEZ CASA COLOR BLANCO|x|LUNES|X|X|X|X|X|DOMICILIO |1600|13200|X|X|X|2022-03-02|2022-03-09|X|X|X|X|X|QWZBUE029KVTQO|X|HOMBRE|X|14800|X|X|X|X|X|X|X|X|CARDENAS|X|X|X|X|FINAL</v>
      </c>
    </row>
    <row r="175" spans="1:82" x14ac:dyDescent="0.25">
      <c r="A175" t="s">
        <v>1020</v>
      </c>
      <c r="B175" t="s">
        <v>1021</v>
      </c>
      <c r="C175">
        <v>3</v>
      </c>
      <c r="D175" t="s">
        <v>145</v>
      </c>
      <c r="E175" t="s">
        <v>150</v>
      </c>
      <c r="F175" t="s">
        <v>0</v>
      </c>
      <c r="G175" t="s">
        <v>0</v>
      </c>
      <c r="H175" t="s">
        <v>170</v>
      </c>
      <c r="I175">
        <v>14800</v>
      </c>
      <c r="J175">
        <v>0</v>
      </c>
      <c r="K175">
        <v>100</v>
      </c>
      <c r="L175">
        <v>50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203</v>
      </c>
      <c r="AC175" t="s">
        <v>1022</v>
      </c>
      <c r="AD175" t="s">
        <v>1023</v>
      </c>
      <c r="AE175" t="s">
        <v>4</v>
      </c>
      <c r="AF175" t="s">
        <v>1</v>
      </c>
      <c r="AG175" t="s">
        <v>1</v>
      </c>
      <c r="AH175" t="s">
        <v>1024</v>
      </c>
      <c r="AI175" t="s">
        <v>244</v>
      </c>
      <c r="AJ175" t="s">
        <v>3</v>
      </c>
      <c r="AK175">
        <v>9932229446</v>
      </c>
      <c r="AL175" t="s">
        <v>3</v>
      </c>
      <c r="AM175" t="s">
        <v>3</v>
      </c>
      <c r="AN175" t="s">
        <v>3</v>
      </c>
      <c r="AO175" t="s">
        <v>1024</v>
      </c>
      <c r="AP175" t="s">
        <v>3</v>
      </c>
      <c r="AQ175" t="s">
        <v>2</v>
      </c>
      <c r="AR175" t="s">
        <v>1</v>
      </c>
      <c r="AS175" t="s">
        <v>1</v>
      </c>
      <c r="AT175" t="s">
        <v>1</v>
      </c>
      <c r="AU175" t="s">
        <v>1</v>
      </c>
      <c r="AV175" t="s">
        <v>1</v>
      </c>
      <c r="AW175" t="s">
        <v>11</v>
      </c>
      <c r="AX175">
        <f>Tabla1[[#This Row],[precio del paquete]]-Tabla1[[#This Row],[Saldo_Deudor]]</f>
        <v>250</v>
      </c>
      <c r="AY175">
        <v>14550</v>
      </c>
      <c r="AZ175" t="s">
        <v>1</v>
      </c>
      <c r="BA175" t="s">
        <v>1</v>
      </c>
      <c r="BB175" t="s">
        <v>1</v>
      </c>
      <c r="BC175" t="s">
        <v>256</v>
      </c>
      <c r="BD175" t="s">
        <v>264</v>
      </c>
      <c r="BE175" t="s">
        <v>1</v>
      </c>
      <c r="BF175" t="s">
        <v>1</v>
      </c>
      <c r="BG175" t="s">
        <v>1</v>
      </c>
      <c r="BH175" t="s">
        <v>1</v>
      </c>
      <c r="BI175" t="s">
        <v>1</v>
      </c>
      <c r="BJ175" t="s">
        <v>275</v>
      </c>
      <c r="BK175" t="s">
        <v>1</v>
      </c>
      <c r="BL175" t="s">
        <v>132</v>
      </c>
      <c r="BM175" t="s">
        <v>1</v>
      </c>
      <c r="BN175">
        <v>14800</v>
      </c>
      <c r="BO175" t="s">
        <v>1</v>
      </c>
      <c r="BP175" t="s">
        <v>1</v>
      </c>
      <c r="BQ175" t="s">
        <v>1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0</v>
      </c>
      <c r="BX175" t="s">
        <v>1</v>
      </c>
      <c r="BY175" t="s">
        <v>1</v>
      </c>
      <c r="BZ175" t="s">
        <v>1</v>
      </c>
      <c r="CA175" t="s">
        <v>1</v>
      </c>
      <c r="CB175" t="s">
        <v>277</v>
      </c>
      <c r="CD175" t="str" cm="1">
        <f t="array" aca="1" ref="CD175" ca="1">eConcatenar(A175:CB175,"|")</f>
        <v>pWtYerusJ1jWcyw1|PAR2022-0517|3|MEMORIAL|TABASCO|CARDENAS|CARDENAS|2022-02-11|14800|0|100|50|0|0|0|0|0|0|0|0|0|0|0|0|0|0|0|GARCIA|ZALETA|OLGA|SOLTERO|X|X|CALLE PRINCIPAL SIN NUMERO|RANCHERIA JALAPITA|x|9932229446|x|x|x|CALLE PRINCIPAL SIN NUMERO|x|LUNES|X|X|X|X|X|DOMICILIO |250|14550|X|X|X|2022-03-02|2022-03-09|X|X|X|X|X|QWZBUE029KVTQO|X|HOMBRE|X|14800|X|X|X|X|X|X|X|X|CARDENAS|X|X|X|X|FINAL</v>
      </c>
    </row>
    <row r="176" spans="1:82" x14ac:dyDescent="0.25">
      <c r="A176" t="s">
        <v>1025</v>
      </c>
      <c r="B176" t="s">
        <v>1026</v>
      </c>
      <c r="C176">
        <v>3</v>
      </c>
      <c r="D176" t="s">
        <v>145</v>
      </c>
      <c r="E176" t="s">
        <v>150</v>
      </c>
      <c r="F176" t="s">
        <v>0</v>
      </c>
      <c r="G176" t="s">
        <v>0</v>
      </c>
      <c r="H176" t="s">
        <v>1095</v>
      </c>
      <c r="I176">
        <v>14800</v>
      </c>
      <c r="J176">
        <v>0</v>
      </c>
      <c r="K176">
        <v>100</v>
      </c>
      <c r="L176">
        <v>50</v>
      </c>
      <c r="M176">
        <v>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222</v>
      </c>
      <c r="AC176" t="s">
        <v>236</v>
      </c>
      <c r="AD176" t="s">
        <v>1027</v>
      </c>
      <c r="AE176" t="s">
        <v>4</v>
      </c>
      <c r="AF176" t="s">
        <v>1</v>
      </c>
      <c r="AG176" t="s">
        <v>1</v>
      </c>
      <c r="AH176" t="s">
        <v>1028</v>
      </c>
      <c r="AI176" t="s">
        <v>1029</v>
      </c>
      <c r="AJ176" t="s">
        <v>3</v>
      </c>
      <c r="AK176">
        <v>9331275323</v>
      </c>
      <c r="AL176" t="s">
        <v>3</v>
      </c>
      <c r="AM176" t="s">
        <v>3</v>
      </c>
      <c r="AN176" t="s">
        <v>3</v>
      </c>
      <c r="AO176" t="s">
        <v>1028</v>
      </c>
      <c r="AP176" t="s">
        <v>3</v>
      </c>
      <c r="AQ176" t="s">
        <v>2</v>
      </c>
      <c r="AR176" t="s">
        <v>1</v>
      </c>
      <c r="AS176" t="s">
        <v>1</v>
      </c>
      <c r="AT176" t="s">
        <v>1</v>
      </c>
      <c r="AU176" t="s">
        <v>1</v>
      </c>
      <c r="AV176" t="s">
        <v>1</v>
      </c>
      <c r="AW176" t="s">
        <v>11</v>
      </c>
      <c r="AX176">
        <f>Tabla1[[#This Row],[precio del paquete]]-Tabla1[[#This Row],[Saldo_Deudor]]</f>
        <v>7700</v>
      </c>
      <c r="AY176">
        <v>7100</v>
      </c>
      <c r="AZ176" t="s">
        <v>1</v>
      </c>
      <c r="BA176" t="s">
        <v>1</v>
      </c>
      <c r="BB176" t="s">
        <v>1</v>
      </c>
      <c r="BC176" t="s">
        <v>256</v>
      </c>
      <c r="BD176" t="s">
        <v>264</v>
      </c>
      <c r="BE176" t="s">
        <v>1</v>
      </c>
      <c r="BF176" t="s">
        <v>1</v>
      </c>
      <c r="BG176" t="s">
        <v>1</v>
      </c>
      <c r="BH176" t="s">
        <v>1</v>
      </c>
      <c r="BI176" t="s">
        <v>1</v>
      </c>
      <c r="BJ176" t="s">
        <v>275</v>
      </c>
      <c r="BK176" t="s">
        <v>1</v>
      </c>
      <c r="BL176" t="s">
        <v>132</v>
      </c>
      <c r="BM176" t="s">
        <v>1</v>
      </c>
      <c r="BN176">
        <v>14800</v>
      </c>
      <c r="BO176" t="s">
        <v>1</v>
      </c>
      <c r="BP176" t="s">
        <v>1</v>
      </c>
      <c r="BQ176" t="s">
        <v>1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0</v>
      </c>
      <c r="BX176" t="s">
        <v>1</v>
      </c>
      <c r="BY176" t="s">
        <v>1</v>
      </c>
      <c r="BZ176" t="s">
        <v>1</v>
      </c>
      <c r="CA176" t="s">
        <v>1</v>
      </c>
      <c r="CB176" t="s">
        <v>277</v>
      </c>
      <c r="CD176" t="str" cm="1">
        <f t="array" aca="1" ref="CD176" ca="1">eConcatenar(A176:CB176,"|")</f>
        <v>qyMRCwkw3YWm7Hkm|PAR2021-0138|3|MEMORIAL|TABASCO|CARDENAS|CARDENAS|2021-02-13|14800|0|100|50|2|0|0|0|0|0|0|0|0|0|0|0|0|0|0|RAMIREZ|LIGONIO|ROSA NELY|SOLTERO|X|X|PARAISO-TABASCO CASA COLOR AMARILLA ALADO DE SUPER MELANCOS|RANCHERIA AQUILES SERDAN|x|9331275323|x|x|x|PARAISO-TABASCO CASA COLOR AMARILLA ALADO DE SUPER MELANCOS|x|LUNES|X|X|X|X|X|DOMICILIO |7700|7100|X|X|X|2022-03-02|2022-03-09|X|X|X|X|X|QWZBUE029KVTQO|X|HOMBRE|X|14800|X|X|X|X|X|X|X|X|CARDENAS|X|X|X|X|FINAL</v>
      </c>
    </row>
    <row r="177" spans="1:82" x14ac:dyDescent="0.25">
      <c r="A177" t="s">
        <v>1030</v>
      </c>
      <c r="B177" t="s">
        <v>1031</v>
      </c>
      <c r="C177">
        <v>3</v>
      </c>
      <c r="D177" t="s">
        <v>145</v>
      </c>
      <c r="E177" t="s">
        <v>150</v>
      </c>
      <c r="F177" t="s">
        <v>0</v>
      </c>
      <c r="G177" t="s">
        <v>0</v>
      </c>
      <c r="H177" t="s">
        <v>182</v>
      </c>
      <c r="I177">
        <v>14800</v>
      </c>
      <c r="J177">
        <v>0</v>
      </c>
      <c r="K177">
        <v>100</v>
      </c>
      <c r="L177">
        <v>50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218</v>
      </c>
      <c r="AC177" t="s">
        <v>205</v>
      </c>
      <c r="AD177" t="s">
        <v>899</v>
      </c>
      <c r="AE177" t="s">
        <v>4</v>
      </c>
      <c r="AF177" t="s">
        <v>1</v>
      </c>
      <c r="AG177" t="s">
        <v>1</v>
      </c>
      <c r="AH177" t="s">
        <v>1032</v>
      </c>
      <c r="AI177" t="s">
        <v>1033</v>
      </c>
      <c r="AJ177" t="s">
        <v>3</v>
      </c>
      <c r="AK177">
        <v>9331331032</v>
      </c>
      <c r="AL177" t="s">
        <v>3</v>
      </c>
      <c r="AM177" t="s">
        <v>3</v>
      </c>
      <c r="AN177" t="s">
        <v>3</v>
      </c>
      <c r="AO177" t="s">
        <v>1032</v>
      </c>
      <c r="AP177" t="s">
        <v>3</v>
      </c>
      <c r="AQ177" t="s">
        <v>2</v>
      </c>
      <c r="AR177" t="s">
        <v>1</v>
      </c>
      <c r="AS177" t="s">
        <v>1</v>
      </c>
      <c r="AT177" t="s">
        <v>1</v>
      </c>
      <c r="AU177" t="s">
        <v>1</v>
      </c>
      <c r="AV177" t="s">
        <v>1</v>
      </c>
      <c r="AW177" t="s">
        <v>11</v>
      </c>
      <c r="AX177">
        <f>Tabla1[[#This Row],[precio del paquete]]-Tabla1[[#This Row],[Saldo_Deudor]]</f>
        <v>2950</v>
      </c>
      <c r="AY177">
        <v>11850</v>
      </c>
      <c r="AZ177" t="s">
        <v>1</v>
      </c>
      <c r="BA177" t="s">
        <v>1</v>
      </c>
      <c r="BB177" t="s">
        <v>1</v>
      </c>
      <c r="BC177" t="s">
        <v>256</v>
      </c>
      <c r="BD177" t="s">
        <v>264</v>
      </c>
      <c r="BE177" t="s">
        <v>1</v>
      </c>
      <c r="BF177" t="s">
        <v>1</v>
      </c>
      <c r="BG177" t="s">
        <v>1</v>
      </c>
      <c r="BH177" t="s">
        <v>1</v>
      </c>
      <c r="BI177" t="s">
        <v>1</v>
      </c>
      <c r="BJ177" t="s">
        <v>275</v>
      </c>
      <c r="BK177" t="s">
        <v>1</v>
      </c>
      <c r="BL177" t="s">
        <v>132</v>
      </c>
      <c r="BM177" t="s">
        <v>1</v>
      </c>
      <c r="BN177">
        <v>14800</v>
      </c>
      <c r="BO177" t="s">
        <v>1</v>
      </c>
      <c r="BP177" t="s">
        <v>1</v>
      </c>
      <c r="BQ177" t="s">
        <v>1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0</v>
      </c>
      <c r="BX177" t="s">
        <v>1</v>
      </c>
      <c r="BY177" t="s">
        <v>1</v>
      </c>
      <c r="BZ177" t="s">
        <v>1</v>
      </c>
      <c r="CA177" t="s">
        <v>1</v>
      </c>
      <c r="CB177" t="s">
        <v>277</v>
      </c>
      <c r="CD177" t="str" cm="1">
        <f t="array" aca="1" ref="CD177" ca="1">eConcatenar(A177:CB177,"|")</f>
        <v>fzoT7V1wSOCpc2Rv|PAR2021-3704|3|MEMORIAL|TABASCO|CARDENAS|CARDENAS|2021-11-16|14800|0|100|50|2|0|0|0|0|0|0|0|0|0|0|0|0|0|0|JIMENEZ|HERNANDEZ|MIRELLA|SOLTERO|X|X|LOCALIDAD PENJAMO SIN NUMERO|COLONIA EL PENJAMO|x|9331331032|x|x|x|LOCALIDAD PENJAMO SIN NUMERO|x|LUNES|X|X|X|X|X|DOMICILIO |2950|11850|X|X|X|2022-03-02|2022-03-09|X|X|X|X|X|QWZBUE029KVTQO|X|HOMBRE|X|14800|X|X|X|X|X|X|X|X|CARDENAS|X|X|X|X|FINAL</v>
      </c>
    </row>
    <row r="178" spans="1:82" x14ac:dyDescent="0.25">
      <c r="AD178" s="17"/>
    </row>
    <row r="179" spans="1:82" x14ac:dyDescent="0.25">
      <c r="AD179" s="17"/>
    </row>
    <row r="180" spans="1:82" x14ac:dyDescent="0.25">
      <c r="AD180" s="17"/>
    </row>
    <row r="181" spans="1:82" x14ac:dyDescent="0.25">
      <c r="AD181" s="17"/>
    </row>
    <row r="182" spans="1:82" x14ac:dyDescent="0.25">
      <c r="AD182" s="17"/>
    </row>
    <row r="183" spans="1:82" x14ac:dyDescent="0.25">
      <c r="AD183" s="17"/>
    </row>
    <row r="184" spans="1:82" x14ac:dyDescent="0.25">
      <c r="AD184" s="17"/>
    </row>
    <row r="185" spans="1:82" x14ac:dyDescent="0.25">
      <c r="AD185" s="17"/>
    </row>
    <row r="186" spans="1:82" x14ac:dyDescent="0.25">
      <c r="AD186" s="17"/>
    </row>
    <row r="187" spans="1:82" x14ac:dyDescent="0.25">
      <c r="AD187" s="17"/>
    </row>
    <row r="188" spans="1:82" x14ac:dyDescent="0.25">
      <c r="AD188" s="17"/>
    </row>
    <row r="189" spans="1:82" x14ac:dyDescent="0.25">
      <c r="AD189" s="17"/>
    </row>
    <row r="190" spans="1:82" x14ac:dyDescent="0.25">
      <c r="AD190" s="17"/>
    </row>
    <row r="191" spans="1:82" x14ac:dyDescent="0.25">
      <c r="AD191" s="17"/>
    </row>
    <row r="192" spans="1:82" x14ac:dyDescent="0.25">
      <c r="AD192" s="17"/>
    </row>
    <row r="193" spans="30:30" x14ac:dyDescent="0.25">
      <c r="AD193" s="17"/>
    </row>
    <row r="194" spans="30:30" x14ac:dyDescent="0.25">
      <c r="AD194" s="17"/>
    </row>
    <row r="195" spans="30:30" x14ac:dyDescent="0.25">
      <c r="AD195" s="17"/>
    </row>
    <row r="196" spans="30:30" x14ac:dyDescent="0.25">
      <c r="AD196" s="17"/>
    </row>
    <row r="197" spans="30:30" x14ac:dyDescent="0.25">
      <c r="AD197" s="17"/>
    </row>
    <row r="198" spans="30:30" x14ac:dyDescent="0.25">
      <c r="AD198" s="17"/>
    </row>
    <row r="199" spans="30:30" x14ac:dyDescent="0.25">
      <c r="AD199" s="17"/>
    </row>
    <row r="200" spans="30:30" x14ac:dyDescent="0.25">
      <c r="AD200" s="17"/>
    </row>
    <row r="201" spans="30:30" x14ac:dyDescent="0.25">
      <c r="AD201" s="17"/>
    </row>
    <row r="202" spans="30:30" x14ac:dyDescent="0.25">
      <c r="AD202" s="17"/>
    </row>
    <row r="203" spans="30:30" x14ac:dyDescent="0.25">
      <c r="AD203" s="17"/>
    </row>
    <row r="204" spans="30:30" x14ac:dyDescent="0.25">
      <c r="AD204" s="17"/>
    </row>
    <row r="205" spans="30:30" x14ac:dyDescent="0.25">
      <c r="AD205" s="17"/>
    </row>
    <row r="206" spans="30:30" x14ac:dyDescent="0.25">
      <c r="AD206" s="17"/>
    </row>
    <row r="207" spans="30:30" x14ac:dyDescent="0.25">
      <c r="AD207" s="17"/>
    </row>
    <row r="208" spans="30:30" x14ac:dyDescent="0.25">
      <c r="AD208" s="17"/>
    </row>
    <row r="209" spans="30:30" x14ac:dyDescent="0.25">
      <c r="AD209" s="17"/>
    </row>
    <row r="210" spans="30:30" x14ac:dyDescent="0.25">
      <c r="AD210" s="17"/>
    </row>
    <row r="211" spans="30:30" x14ac:dyDescent="0.25">
      <c r="AD211" s="17"/>
    </row>
    <row r="212" spans="30:30" x14ac:dyDescent="0.25">
      <c r="AD212" s="17"/>
    </row>
    <row r="213" spans="30:30" x14ac:dyDescent="0.25">
      <c r="AD213" s="17"/>
    </row>
    <row r="214" spans="30:30" x14ac:dyDescent="0.25">
      <c r="AD214" s="17"/>
    </row>
    <row r="215" spans="30:30" x14ac:dyDescent="0.25">
      <c r="AD215" s="17"/>
    </row>
    <row r="216" spans="30:30" x14ac:dyDescent="0.25">
      <c r="AD216" s="17"/>
    </row>
    <row r="217" spans="30:30" x14ac:dyDescent="0.25">
      <c r="AD217" s="17"/>
    </row>
    <row r="218" spans="30:30" x14ac:dyDescent="0.25">
      <c r="AD218" s="17"/>
    </row>
    <row r="219" spans="30:30" x14ac:dyDescent="0.25">
      <c r="AD219" s="17"/>
    </row>
    <row r="220" spans="30:30" x14ac:dyDescent="0.25">
      <c r="AD220" s="17"/>
    </row>
    <row r="221" spans="30:30" x14ac:dyDescent="0.25">
      <c r="AD221" s="17"/>
    </row>
    <row r="222" spans="30:30" x14ac:dyDescent="0.25">
      <c r="AD222" s="17"/>
    </row>
    <row r="223" spans="30:30" x14ac:dyDescent="0.25">
      <c r="AD223" s="17"/>
    </row>
    <row r="224" spans="30:30" x14ac:dyDescent="0.25">
      <c r="AD224" s="17"/>
    </row>
    <row r="225" spans="30:30" x14ac:dyDescent="0.25">
      <c r="AD225" s="17"/>
    </row>
    <row r="226" spans="30:30" x14ac:dyDescent="0.25">
      <c r="AD226" s="17"/>
    </row>
    <row r="227" spans="30:30" x14ac:dyDescent="0.25">
      <c r="AD227" s="17"/>
    </row>
    <row r="228" spans="30:30" x14ac:dyDescent="0.25">
      <c r="AD228" s="17"/>
    </row>
    <row r="229" spans="30:30" x14ac:dyDescent="0.25">
      <c r="AD229" s="17"/>
    </row>
    <row r="230" spans="30:30" x14ac:dyDescent="0.25">
      <c r="AD230" s="17"/>
    </row>
    <row r="231" spans="30:30" x14ac:dyDescent="0.25">
      <c r="AD231" s="17"/>
    </row>
    <row r="232" spans="30:30" x14ac:dyDescent="0.25">
      <c r="AD232" s="17"/>
    </row>
    <row r="233" spans="30:30" x14ac:dyDescent="0.25">
      <c r="AD233" s="17"/>
    </row>
    <row r="234" spans="30:30" x14ac:dyDescent="0.25">
      <c r="AD234" s="17"/>
    </row>
    <row r="235" spans="30:30" x14ac:dyDescent="0.25">
      <c r="AD235" s="17"/>
    </row>
    <row r="236" spans="30:30" x14ac:dyDescent="0.25">
      <c r="AD236" s="17"/>
    </row>
    <row r="237" spans="30:30" x14ac:dyDescent="0.25">
      <c r="AD237" s="17"/>
    </row>
    <row r="238" spans="30:30" x14ac:dyDescent="0.25">
      <c r="AD238" s="17"/>
    </row>
    <row r="239" spans="30:30" x14ac:dyDescent="0.25">
      <c r="AD239" s="17"/>
    </row>
    <row r="240" spans="30:30" x14ac:dyDescent="0.25">
      <c r="AD240" s="17"/>
    </row>
    <row r="241" spans="30:30" x14ac:dyDescent="0.25">
      <c r="AD241" s="17"/>
    </row>
    <row r="242" spans="30:30" x14ac:dyDescent="0.25">
      <c r="AD242" s="17"/>
    </row>
    <row r="243" spans="30:30" x14ac:dyDescent="0.25">
      <c r="AD243" s="17"/>
    </row>
    <row r="244" spans="30:30" x14ac:dyDescent="0.25">
      <c r="AD244" s="17"/>
    </row>
    <row r="245" spans="30:30" x14ac:dyDescent="0.25">
      <c r="AD245" s="17"/>
    </row>
    <row r="246" spans="30:30" x14ac:dyDescent="0.25">
      <c r="AD246" s="17"/>
    </row>
    <row r="247" spans="30:30" x14ac:dyDescent="0.25">
      <c r="AD247" s="17"/>
    </row>
    <row r="248" spans="30:30" x14ac:dyDescent="0.25">
      <c r="AD248" s="17"/>
    </row>
    <row r="249" spans="30:30" x14ac:dyDescent="0.25">
      <c r="AD249" s="17"/>
    </row>
    <row r="250" spans="30:30" x14ac:dyDescent="0.25">
      <c r="AD250" s="17"/>
    </row>
    <row r="251" spans="30:30" x14ac:dyDescent="0.25">
      <c r="AD251" s="17"/>
    </row>
    <row r="252" spans="30:30" x14ac:dyDescent="0.25">
      <c r="AD252" s="17"/>
    </row>
    <row r="253" spans="30:30" x14ac:dyDescent="0.25">
      <c r="AD253" s="17"/>
    </row>
    <row r="254" spans="30:30" x14ac:dyDescent="0.25">
      <c r="AD254" s="17"/>
    </row>
    <row r="255" spans="30:30" x14ac:dyDescent="0.25">
      <c r="AD255" s="17"/>
    </row>
    <row r="256" spans="30:30" x14ac:dyDescent="0.25">
      <c r="AD256" s="17"/>
    </row>
    <row r="257" spans="30:30" x14ac:dyDescent="0.25">
      <c r="AD257" s="17"/>
    </row>
    <row r="258" spans="30:30" x14ac:dyDescent="0.25">
      <c r="AD258" s="17"/>
    </row>
    <row r="259" spans="30:30" x14ac:dyDescent="0.25">
      <c r="AD259" s="17"/>
    </row>
    <row r="260" spans="30:30" x14ac:dyDescent="0.25">
      <c r="AD260" s="17"/>
    </row>
    <row r="261" spans="30:30" x14ac:dyDescent="0.25">
      <c r="AD261" s="17"/>
    </row>
    <row r="262" spans="30:30" x14ac:dyDescent="0.25">
      <c r="AD262" s="17"/>
    </row>
    <row r="263" spans="30:30" x14ac:dyDescent="0.25">
      <c r="AD263" s="17"/>
    </row>
    <row r="264" spans="30:30" x14ac:dyDescent="0.25">
      <c r="AD264" s="17"/>
    </row>
    <row r="265" spans="30:30" x14ac:dyDescent="0.25">
      <c r="AD265" s="17"/>
    </row>
    <row r="266" spans="30:30" x14ac:dyDescent="0.25">
      <c r="AD266" s="17"/>
    </row>
    <row r="289" spans="13:13" x14ac:dyDescent="0.25">
      <c r="M289" t="e" cm="1">
        <f t="array" aca="1" ref="M289" ca="1">periodicidad(TRIM(K289))</f>
        <v>#NAME?</v>
      </c>
    </row>
    <row r="290" spans="13:13" x14ac:dyDescent="0.25">
      <c r="M290" t="e" cm="1">
        <f t="array" aca="1" ref="M290" ca="1">periodicidad(TRIM(K290))</f>
        <v>#NAME?</v>
      </c>
    </row>
    <row r="291" spans="13:13" x14ac:dyDescent="0.25">
      <c r="M291" t="e" cm="1">
        <f t="array" aca="1" ref="M291" ca="1">periodicidad(TRIM(K291))</f>
        <v>#NAME?</v>
      </c>
    </row>
    <row r="292" spans="13:13" x14ac:dyDescent="0.25">
      <c r="M292" t="e" cm="1">
        <f t="array" aca="1" ref="M292" ca="1">periodicidad(TRIM(K292))</f>
        <v>#NAME?</v>
      </c>
    </row>
    <row r="293" spans="13:13" x14ac:dyDescent="0.25">
      <c r="M293" t="e" cm="1">
        <f t="array" aca="1" ref="M293" ca="1">periodicidad(TRIM(K293))</f>
        <v>#NAME?</v>
      </c>
    </row>
    <row r="294" spans="13:13" x14ac:dyDescent="0.25">
      <c r="M294" t="e" cm="1">
        <f t="array" aca="1" ref="M294" ca="1">periodicidad(TRIM(K294))</f>
        <v>#NAME?</v>
      </c>
    </row>
    <row r="295" spans="13:13" x14ac:dyDescent="0.25">
      <c r="M295" t="e" cm="1">
        <f t="array" aca="1" ref="M295" ca="1">periodicidad(TRIM(K295))</f>
        <v>#NAME?</v>
      </c>
    </row>
    <row r="296" spans="13:13" x14ac:dyDescent="0.25">
      <c r="M296" t="e" cm="1">
        <f t="array" aca="1" ref="M296" ca="1">periodicidad(TRIM(K296))</f>
        <v>#NAME?</v>
      </c>
    </row>
    <row r="297" spans="13:13" x14ac:dyDescent="0.25">
      <c r="M297" t="e" cm="1">
        <f t="array" aca="1" ref="M297" ca="1">periodicidad(TRIM(K297))</f>
        <v>#NAME?</v>
      </c>
    </row>
    <row r="298" spans="13:13" x14ac:dyDescent="0.25">
      <c r="M298" t="e" cm="1">
        <f t="array" aca="1" ref="M298" ca="1">periodicidad(TRIM(K298))</f>
        <v>#NAME?</v>
      </c>
    </row>
    <row r="299" spans="13:13" x14ac:dyDescent="0.25">
      <c r="M299" t="e" cm="1">
        <f t="array" aca="1" ref="M299" ca="1">periodicidad(TRIM(K299))</f>
        <v>#NAME?</v>
      </c>
    </row>
    <row r="300" spans="13:13" x14ac:dyDescent="0.25">
      <c r="M300" t="e" cm="1">
        <f t="array" aca="1" ref="M300" ca="1">periodicidad(TRIM(K300))</f>
        <v>#NAME?</v>
      </c>
    </row>
    <row r="301" spans="13:13" x14ac:dyDescent="0.25">
      <c r="M301" t="e" cm="1">
        <f t="array" aca="1" ref="M301" ca="1">periodicidad(TRIM(K301))</f>
        <v>#NAME?</v>
      </c>
    </row>
    <row r="302" spans="13:13" x14ac:dyDescent="0.25">
      <c r="M302" t="e" cm="1">
        <f t="array" aca="1" ref="M302" ca="1">periodicidad(TRIM(K302))</f>
        <v>#NAME?</v>
      </c>
    </row>
    <row r="303" spans="13:13" x14ac:dyDescent="0.25">
      <c r="M303" t="e" cm="1">
        <f t="array" aca="1" ref="M303" ca="1">periodicidad(TRIM(K303))</f>
        <v>#NAME?</v>
      </c>
    </row>
    <row r="304" spans="13:13" x14ac:dyDescent="0.25">
      <c r="M304" t="e" cm="1">
        <f t="array" aca="1" ref="M304" ca="1">periodicidad(TRIM(K304))</f>
        <v>#NAME?</v>
      </c>
    </row>
    <row r="305" spans="1:80" x14ac:dyDescent="0.25">
      <c r="M305" t="e" cm="1">
        <f t="array" aca="1" ref="M305" ca="1">periodicidad(TRIM(K305))</f>
        <v>#NAME?</v>
      </c>
    </row>
    <row r="306" spans="1:80" x14ac:dyDescent="0.25">
      <c r="M306" t="e" cm="1">
        <f t="array" aca="1" ref="M306" ca="1">periodicidad(TRIM(K306))</f>
        <v>#NAME?</v>
      </c>
    </row>
    <row r="307" spans="1:80" x14ac:dyDescent="0.25">
      <c r="M307" t="e" cm="1">
        <f t="array" aca="1" ref="M307" ca="1">periodicidad(TRIM(K307))</f>
        <v>#NAME?</v>
      </c>
    </row>
    <row r="308" spans="1:80" x14ac:dyDescent="0.25">
      <c r="M308" t="e" cm="1">
        <f t="array" aca="1" ref="M308" ca="1">periodicidad(TRIM(K308))</f>
        <v>#NAME?</v>
      </c>
    </row>
    <row r="309" spans="1:80" s="5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 t="e" cm="1">
        <f t="array" aca="1" ref="M309" ca="1">periodicidad(TRIM(K309))</f>
        <v>#NAME?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10" spans="1:80" x14ac:dyDescent="0.25">
      <c r="M310" t="e" cm="1">
        <f t="array" aca="1" ref="M310" ca="1">periodicidad(TRIM(K310))</f>
        <v>#NAME?</v>
      </c>
    </row>
    <row r="311" spans="1:80" x14ac:dyDescent="0.25">
      <c r="M311" t="e" cm="1">
        <f t="array" aca="1" ref="M311" ca="1">periodicidad(TRIM(K311))</f>
        <v>#NAME?</v>
      </c>
    </row>
    <row r="312" spans="1:80" x14ac:dyDescent="0.25">
      <c r="M312" t="e" cm="1">
        <f t="array" aca="1" ref="M312" ca="1">periodicidad(TRIM(K312))</f>
        <v>#NAME?</v>
      </c>
    </row>
    <row r="313" spans="1:80" x14ac:dyDescent="0.25">
      <c r="M313" t="e" cm="1">
        <f t="array" aca="1" ref="M313" ca="1">periodicidad(TRIM(K313))</f>
        <v>#NAME?</v>
      </c>
    </row>
    <row r="314" spans="1:80" x14ac:dyDescent="0.25">
      <c r="M314" t="e" cm="1">
        <f t="array" aca="1" ref="M314" ca="1">periodicidad(TRIM(K314))</f>
        <v>#NAME?</v>
      </c>
    </row>
    <row r="315" spans="1:80" x14ac:dyDescent="0.25">
      <c r="M315" t="e" cm="1">
        <f t="array" aca="1" ref="M315" ca="1">periodicidad(TRIM(K315))</f>
        <v>#NAME?</v>
      </c>
    </row>
    <row r="316" spans="1:80" x14ac:dyDescent="0.25">
      <c r="M316" t="e" cm="1">
        <f t="array" aca="1" ref="M316" ca="1">periodicidad(TRIM(K316))</f>
        <v>#NAME?</v>
      </c>
    </row>
    <row r="317" spans="1:80" x14ac:dyDescent="0.25">
      <c r="M317" t="e" cm="1">
        <f t="array" aca="1" ref="M317" ca="1">periodicidad(TRIM(K317))</f>
        <v>#NAME?</v>
      </c>
    </row>
    <row r="318" spans="1:80" x14ac:dyDescent="0.25">
      <c r="M318" t="e" cm="1">
        <f t="array" aca="1" ref="M318" ca="1">periodicidad(TRIM(K318))</f>
        <v>#NAME?</v>
      </c>
    </row>
    <row r="319" spans="1:80" x14ac:dyDescent="0.25">
      <c r="M319" t="e" cm="1">
        <f t="array" aca="1" ref="M319" ca="1">periodicidad(TRIM(K319))</f>
        <v>#NAME?</v>
      </c>
    </row>
    <row r="320" spans="1:80" x14ac:dyDescent="0.25">
      <c r="M320" t="e" cm="1">
        <f t="array" aca="1" ref="M320" ca="1">periodicidad(TRIM(K320))</f>
        <v>#NAME?</v>
      </c>
    </row>
    <row r="321" spans="13:13" x14ac:dyDescent="0.25">
      <c r="M321" t="e" cm="1">
        <f t="array" aca="1" ref="M321" ca="1">periodicidad(TRIM(K321))</f>
        <v>#NAME?</v>
      </c>
    </row>
    <row r="322" spans="13:13" x14ac:dyDescent="0.25">
      <c r="M322" t="e" cm="1">
        <f t="array" aca="1" ref="M322" ca="1">periodicidad(TRIM(K322))</f>
        <v>#NAME?</v>
      </c>
    </row>
    <row r="323" spans="13:13" x14ac:dyDescent="0.25">
      <c r="M323" t="e" cm="1">
        <f t="array" aca="1" ref="M323" ca="1">periodicidad(TRIM(K323))</f>
        <v>#NAME?</v>
      </c>
    </row>
    <row r="324" spans="13:13" x14ac:dyDescent="0.25">
      <c r="M324" t="e" cm="1">
        <f t="array" aca="1" ref="M324" ca="1">periodicidad(TRIM(K324))</f>
        <v>#NAME?</v>
      </c>
    </row>
    <row r="325" spans="13:13" x14ac:dyDescent="0.25">
      <c r="M325" t="e" cm="1">
        <f t="array" aca="1" ref="M325" ca="1">periodicidad(TRIM(K325))</f>
        <v>#NAME?</v>
      </c>
    </row>
    <row r="326" spans="13:13" x14ac:dyDescent="0.25">
      <c r="M326" t="e" cm="1">
        <f t="array" aca="1" ref="M326" ca="1">periodicidad(TRIM(K326))</f>
        <v>#NAME?</v>
      </c>
    </row>
    <row r="327" spans="13:13" x14ac:dyDescent="0.25">
      <c r="M327" t="e" cm="1">
        <f t="array" aca="1" ref="M327" ca="1">periodicidad(TRIM(K327))</f>
        <v>#NAME?</v>
      </c>
    </row>
    <row r="328" spans="13:13" x14ac:dyDescent="0.25">
      <c r="M328" t="e" cm="1">
        <f t="array" aca="1" ref="M328" ca="1">periodicidad(TRIM(K328))</f>
        <v>#NAME?</v>
      </c>
    </row>
    <row r="329" spans="13:13" x14ac:dyDescent="0.25">
      <c r="M329" t="e" cm="1">
        <f t="array" aca="1" ref="M329" ca="1">periodicidad(TRIM(K329))</f>
        <v>#NAME?</v>
      </c>
    </row>
    <row r="330" spans="13:13" x14ac:dyDescent="0.25">
      <c r="M330" t="e" cm="1">
        <f t="array" aca="1" ref="M330" ca="1">periodicidad(TRIM(K330))</f>
        <v>#NAME?</v>
      </c>
    </row>
    <row r="331" spans="13:13" x14ac:dyDescent="0.25">
      <c r="M331" t="e" cm="1">
        <f t="array" aca="1" ref="M331" ca="1">periodicidad(TRIM(K331))</f>
        <v>#NAME?</v>
      </c>
    </row>
    <row r="332" spans="13:13" x14ac:dyDescent="0.25">
      <c r="M332" t="e" cm="1">
        <f t="array" aca="1" ref="M332" ca="1">periodicidad(TRIM(K332))</f>
        <v>#NAME?</v>
      </c>
    </row>
    <row r="333" spans="13:13" x14ac:dyDescent="0.25">
      <c r="M333" t="e" cm="1">
        <f t="array" aca="1" ref="M333" ca="1">periodicidad(TRIM(K333))</f>
        <v>#NAME?</v>
      </c>
    </row>
    <row r="334" spans="13:13" x14ac:dyDescent="0.25">
      <c r="M334" t="e" cm="1">
        <f t="array" aca="1" ref="M334" ca="1">periodicidad(TRIM(K334))</f>
        <v>#NAME?</v>
      </c>
    </row>
    <row r="335" spans="13:13" x14ac:dyDescent="0.25">
      <c r="M335" t="e" cm="1">
        <f t="array" aca="1" ref="M335" ca="1">periodicidad(TRIM(K335))</f>
        <v>#NAME?</v>
      </c>
    </row>
    <row r="336" spans="13:13" x14ac:dyDescent="0.25">
      <c r="M336" t="e" cm="1">
        <f t="array" aca="1" ref="M336" ca="1">periodicidad(TRIM(K336))</f>
        <v>#NAME?</v>
      </c>
    </row>
    <row r="337" spans="13:13" x14ac:dyDescent="0.25">
      <c r="M337" t="e" cm="1">
        <f t="array" aca="1" ref="M337" ca="1">periodicidad(TRIM(K337))</f>
        <v>#NAME?</v>
      </c>
    </row>
    <row r="338" spans="13:13" x14ac:dyDescent="0.25">
      <c r="M338" t="e" cm="1">
        <f t="array" aca="1" ref="M338" ca="1">periodicidad(TRIM(K338))</f>
        <v>#NAME?</v>
      </c>
    </row>
    <row r="339" spans="13:13" x14ac:dyDescent="0.25">
      <c r="M339" t="e" cm="1">
        <f t="array" aca="1" ref="M339" ca="1">periodicidad(TRIM(K339))</f>
        <v>#NAME?</v>
      </c>
    </row>
    <row r="340" spans="13:13" x14ac:dyDescent="0.25">
      <c r="M340" t="e" cm="1">
        <f t="array" aca="1" ref="M340" ca="1">periodicidad(TRIM(K340))</f>
        <v>#NAME?</v>
      </c>
    </row>
    <row r="341" spans="13:13" x14ac:dyDescent="0.25">
      <c r="M341" t="e" cm="1">
        <f t="array" aca="1" ref="M341" ca="1">periodicidad(TRIM(K341))</f>
        <v>#NAME?</v>
      </c>
    </row>
    <row r="342" spans="13:13" x14ac:dyDescent="0.25">
      <c r="M342" t="e" cm="1">
        <f t="array" aca="1" ref="M342" ca="1">periodicidad(TRIM(K342))</f>
        <v>#NAME?</v>
      </c>
    </row>
    <row r="343" spans="13:13" x14ac:dyDescent="0.25">
      <c r="M343" t="e" cm="1">
        <f t="array" aca="1" ref="M343" ca="1">periodicidad(TRIM(K343))</f>
        <v>#NAME?</v>
      </c>
    </row>
    <row r="344" spans="13:13" x14ac:dyDescent="0.25">
      <c r="M344" t="e" cm="1">
        <f t="array" aca="1" ref="M344" ca="1">periodicidad(TRIM(K344))</f>
        <v>#NAME?</v>
      </c>
    </row>
    <row r="345" spans="13:13" x14ac:dyDescent="0.25">
      <c r="M345" t="e" cm="1">
        <f t="array" aca="1" ref="M345" ca="1">periodicidad(TRIM(K345))</f>
        <v>#NAME?</v>
      </c>
    </row>
    <row r="346" spans="13:13" x14ac:dyDescent="0.25">
      <c r="M346" t="e" cm="1">
        <f t="array" aca="1" ref="M346" ca="1">periodicidad(TRIM(K346))</f>
        <v>#NAME?</v>
      </c>
    </row>
    <row r="347" spans="13:13" x14ac:dyDescent="0.25">
      <c r="M347" t="e" cm="1">
        <f t="array" aca="1" ref="M347" ca="1">periodicidad(TRIM(K347))</f>
        <v>#NAME?</v>
      </c>
    </row>
    <row r="348" spans="13:13" x14ac:dyDescent="0.25">
      <c r="M348" t="e" cm="1">
        <f t="array" aca="1" ref="M348" ca="1">periodicidad(TRIM(K348))</f>
        <v>#NAME?</v>
      </c>
    </row>
    <row r="349" spans="13:13" x14ac:dyDescent="0.25">
      <c r="M349" t="e" cm="1">
        <f t="array" aca="1" ref="M349" ca="1">periodicidad(TRIM(K349))</f>
        <v>#NAME?</v>
      </c>
    </row>
    <row r="350" spans="13:13" x14ac:dyDescent="0.25">
      <c r="M350" t="e" cm="1">
        <f t="array" aca="1" ref="M350" ca="1">periodicidad(TRIM(K350))</f>
        <v>#NAME?</v>
      </c>
    </row>
    <row r="351" spans="13:13" x14ac:dyDescent="0.25">
      <c r="M351" t="e" cm="1">
        <f t="array" aca="1" ref="M351" ca="1">periodicidad(TRIM(K351))</f>
        <v>#NAME?</v>
      </c>
    </row>
    <row r="352" spans="13:13" x14ac:dyDescent="0.25">
      <c r="M352" t="e" cm="1">
        <f t="array" aca="1" ref="M352" ca="1">periodicidad(TRIM(K352))</f>
        <v>#NAME?</v>
      </c>
    </row>
    <row r="353" spans="13:13" x14ac:dyDescent="0.25">
      <c r="M353" t="e" cm="1">
        <f t="array" aca="1" ref="M353" ca="1">periodicidad(TRIM(K353))</f>
        <v>#NAME?</v>
      </c>
    </row>
    <row r="354" spans="13:13" x14ac:dyDescent="0.25">
      <c r="M354" t="e" cm="1">
        <f t="array" aca="1" ref="M354" ca="1">periodicidad(TRIM(K354))</f>
        <v>#NAME?</v>
      </c>
    </row>
    <row r="355" spans="13:13" x14ac:dyDescent="0.25">
      <c r="M355" t="e" cm="1">
        <f t="array" aca="1" ref="M355" ca="1">periodicidad(TRIM(K355))</f>
        <v>#NAME?</v>
      </c>
    </row>
    <row r="356" spans="13:13" x14ac:dyDescent="0.25">
      <c r="M356" t="e" cm="1">
        <f t="array" aca="1" ref="M356" ca="1">periodicidad(TRIM(K356))</f>
        <v>#NAME?</v>
      </c>
    </row>
    <row r="357" spans="13:13" x14ac:dyDescent="0.25">
      <c r="M357" t="e" cm="1">
        <f t="array" aca="1" ref="M357" ca="1">periodicidad(TRIM(K357))</f>
        <v>#NAME?</v>
      </c>
    </row>
    <row r="358" spans="13:13" x14ac:dyDescent="0.25">
      <c r="M358" t="e" cm="1">
        <f t="array" aca="1" ref="M358" ca="1">periodicidad(TRIM(K358))</f>
        <v>#NAME?</v>
      </c>
    </row>
    <row r="359" spans="13:13" x14ac:dyDescent="0.25">
      <c r="M359" t="e" cm="1">
        <f t="array" aca="1" ref="M359" ca="1">periodicidad(TRIM(K359))</f>
        <v>#NAME?</v>
      </c>
    </row>
    <row r="360" spans="13:13" x14ac:dyDescent="0.25">
      <c r="M360" t="e" cm="1">
        <f t="array" aca="1" ref="M360" ca="1">periodicidad(TRIM(K360))</f>
        <v>#NAME?</v>
      </c>
    </row>
    <row r="361" spans="13:13" x14ac:dyDescent="0.25">
      <c r="M361" t="e" cm="1">
        <f t="array" aca="1" ref="M361" ca="1">periodicidad(TRIM(K361))</f>
        <v>#NAME?</v>
      </c>
    </row>
    <row r="362" spans="13:13" x14ac:dyDescent="0.25">
      <c r="M362" t="e" cm="1">
        <f t="array" aca="1" ref="M362" ca="1">periodicidad(TRIM(K362))</f>
        <v>#NAME?</v>
      </c>
    </row>
    <row r="363" spans="13:13" x14ac:dyDescent="0.25">
      <c r="M363" t="e" cm="1">
        <f t="array" aca="1" ref="M363" ca="1">periodicidad(TRIM(K363))</f>
        <v>#NAME?</v>
      </c>
    </row>
    <row r="364" spans="13:13" x14ac:dyDescent="0.25">
      <c r="M364" t="e" cm="1">
        <f t="array" aca="1" ref="M364" ca="1">periodicidad(TRIM(K364))</f>
        <v>#NAME?</v>
      </c>
    </row>
    <row r="365" spans="13:13" x14ac:dyDescent="0.25">
      <c r="M365" t="e" cm="1">
        <f t="array" aca="1" ref="M365" ca="1">periodicidad(TRIM(K365))</f>
        <v>#NAME?</v>
      </c>
    </row>
    <row r="366" spans="13:13" x14ac:dyDescent="0.25">
      <c r="M366" t="e" cm="1">
        <f t="array" aca="1" ref="M366" ca="1">periodicidad(TRIM(K366))</f>
        <v>#NAME?</v>
      </c>
    </row>
    <row r="367" spans="13:13" x14ac:dyDescent="0.25">
      <c r="M367" t="e" cm="1">
        <f t="array" aca="1" ref="M367" ca="1">periodicidad(TRIM(K367))</f>
        <v>#NAME?</v>
      </c>
    </row>
    <row r="368" spans="13:13" x14ac:dyDescent="0.25">
      <c r="M368" t="e" cm="1">
        <f t="array" aca="1" ref="M368" ca="1">periodicidad(TRIM(K368))</f>
        <v>#NAME?</v>
      </c>
    </row>
    <row r="369" spans="1:80" x14ac:dyDescent="0.25">
      <c r="M369" t="e" cm="1">
        <f t="array" aca="1" ref="M369" ca="1">periodicidad(TRIM(K369))</f>
        <v>#NAME?</v>
      </c>
    </row>
    <row r="370" spans="1:80" x14ac:dyDescent="0.25">
      <c r="M370" t="e" cm="1">
        <f t="array" aca="1" ref="M370" ca="1">periodicidad(TRIM(K370))</f>
        <v>#NAME?</v>
      </c>
    </row>
    <row r="371" spans="1:80" x14ac:dyDescent="0.25">
      <c r="M371" t="e" cm="1">
        <f t="array" aca="1" ref="M371" ca="1">periodicidad(TRIM(K371))</f>
        <v>#NAME?</v>
      </c>
    </row>
    <row r="372" spans="1:80" x14ac:dyDescent="0.25">
      <c r="M372" t="e" cm="1">
        <f t="array" aca="1" ref="M372" ca="1">periodicidad(TRIM(K372))</f>
        <v>#NAME?</v>
      </c>
    </row>
    <row r="373" spans="1:80" x14ac:dyDescent="0.25">
      <c r="M373" t="e" cm="1">
        <f t="array" aca="1" ref="M373" ca="1">periodicidad(TRIM(K373))</f>
        <v>#NAME?</v>
      </c>
    </row>
    <row r="374" spans="1:80" x14ac:dyDescent="0.25">
      <c r="M374" t="e" cm="1">
        <f t="array" aca="1" ref="M374" ca="1">periodicidad(TRIM(K374))</f>
        <v>#NAME?</v>
      </c>
    </row>
    <row r="375" spans="1:80" x14ac:dyDescent="0.25">
      <c r="M375" t="e" cm="1">
        <f t="array" aca="1" ref="M375" ca="1">periodicidad(TRIM(K375))</f>
        <v>#NAME?</v>
      </c>
    </row>
    <row r="376" spans="1:80" x14ac:dyDescent="0.25">
      <c r="M376" t="e" cm="1">
        <f t="array" aca="1" ref="M376" ca="1">periodicidad(TRIM(K376))</f>
        <v>#NAME?</v>
      </c>
    </row>
    <row r="377" spans="1:80" x14ac:dyDescent="0.25">
      <c r="M377" t="e" cm="1">
        <f t="array" aca="1" ref="M377" ca="1">periodicidad(TRIM(K377))</f>
        <v>#NAME?</v>
      </c>
    </row>
    <row r="378" spans="1:80" x14ac:dyDescent="0.25">
      <c r="M378" t="e" cm="1">
        <f t="array" aca="1" ref="M378" ca="1">periodicidad(TRIM(K378))</f>
        <v>#NAME?</v>
      </c>
    </row>
    <row r="379" spans="1:80" x14ac:dyDescent="0.25">
      <c r="M379" t="e" cm="1">
        <f t="array" aca="1" ref="M379" ca="1">periodicidad(TRIM(K379))</f>
        <v>#NAME?</v>
      </c>
    </row>
    <row r="380" spans="1:80" x14ac:dyDescent="0.25">
      <c r="M380" t="e" cm="1">
        <f t="array" aca="1" ref="M380" ca="1">periodicidad(TRIM(K380))</f>
        <v>#NAME?</v>
      </c>
    </row>
    <row r="381" spans="1:80" x14ac:dyDescent="0.25">
      <c r="M381" t="e" cm="1">
        <f t="array" aca="1" ref="M381" ca="1">periodicidad(TRIM(K381))</f>
        <v>#NAME?</v>
      </c>
    </row>
    <row r="382" spans="1:80" x14ac:dyDescent="0.25">
      <c r="M382" t="e" cm="1">
        <f t="array" aca="1" ref="M382" ca="1">periodicidad(TRIM(K382))</f>
        <v>#NAME?</v>
      </c>
    </row>
    <row r="383" spans="1:80" x14ac:dyDescent="0.25">
      <c r="M383" t="e" cm="1">
        <f t="array" aca="1" ref="M383" ca="1">periodicidad(TRIM(K383))</f>
        <v>#NAME?</v>
      </c>
    </row>
    <row r="384" spans="1:80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 t="e" cm="1">
        <f t="array" aca="1" ref="M384" ca="1">periodicidad(TRIM(K384))</f>
        <v>#NAME?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385" spans="13:13" x14ac:dyDescent="0.25">
      <c r="M385" t="e" cm="1">
        <f t="array" aca="1" ref="M385" ca="1">periodicidad(TRIM(K385))</f>
        <v>#NAME?</v>
      </c>
    </row>
    <row r="386" spans="13:13" x14ac:dyDescent="0.25">
      <c r="M386" t="e" cm="1">
        <f t="array" aca="1" ref="M386" ca="1">periodicidad(TRIM(K386))</f>
        <v>#NAME?</v>
      </c>
    </row>
    <row r="387" spans="13:13" x14ac:dyDescent="0.25">
      <c r="M387" t="e" cm="1">
        <f t="array" aca="1" ref="M387" ca="1">periodicidad(TRIM(K387))</f>
        <v>#NAME?</v>
      </c>
    </row>
    <row r="388" spans="13:13" x14ac:dyDescent="0.25">
      <c r="M388" t="e" cm="1">
        <f t="array" aca="1" ref="M388" ca="1">periodicidad(TRIM(K388))</f>
        <v>#NAME?</v>
      </c>
    </row>
    <row r="389" spans="13:13" x14ac:dyDescent="0.25">
      <c r="M389" t="e" cm="1">
        <f t="array" aca="1" ref="M389" ca="1">periodicidad(TRIM(K389))</f>
        <v>#NAME?</v>
      </c>
    </row>
    <row r="390" spans="13:13" x14ac:dyDescent="0.25">
      <c r="M390" t="e" cm="1">
        <f t="array" aca="1" ref="M390" ca="1">periodicidad(TRIM(K390))</f>
        <v>#NAME?</v>
      </c>
    </row>
    <row r="391" spans="13:13" x14ac:dyDescent="0.25">
      <c r="M391" t="e" cm="1">
        <f t="array" aca="1" ref="M391" ca="1">periodicidad(TRIM(K391))</f>
        <v>#NAME?</v>
      </c>
    </row>
    <row r="392" spans="13:13" x14ac:dyDescent="0.25">
      <c r="M392" t="e" cm="1">
        <f t="array" aca="1" ref="M392" ca="1">periodicidad(TRIM(K392))</f>
        <v>#NAME?</v>
      </c>
    </row>
    <row r="393" spans="13:13" x14ac:dyDescent="0.25">
      <c r="M393" t="e" cm="1">
        <f t="array" aca="1" ref="M393" ca="1">periodicidad(TRIM(K393))</f>
        <v>#NAME?</v>
      </c>
    </row>
    <row r="394" spans="13:13" x14ac:dyDescent="0.25">
      <c r="M394" t="e" cm="1">
        <f t="array" aca="1" ref="M394" ca="1">periodicidad(TRIM(K394))</f>
        <v>#NAME?</v>
      </c>
    </row>
    <row r="395" spans="13:13" x14ac:dyDescent="0.25">
      <c r="M395" t="e" cm="1">
        <f t="array" aca="1" ref="M395" ca="1">periodicidad(TRIM(K395))</f>
        <v>#NAME?</v>
      </c>
    </row>
    <row r="396" spans="13:13" x14ac:dyDescent="0.25">
      <c r="M396" t="e" cm="1">
        <f t="array" aca="1" ref="M396" ca="1">periodicidad(TRIM(K396))</f>
        <v>#NAME?</v>
      </c>
    </row>
    <row r="397" spans="13:13" x14ac:dyDescent="0.25">
      <c r="M397" t="e" cm="1">
        <f t="array" aca="1" ref="M397" ca="1">periodicidad(TRIM(K397))</f>
        <v>#NAME?</v>
      </c>
    </row>
    <row r="398" spans="13:13" x14ac:dyDescent="0.25">
      <c r="M398" t="e" cm="1">
        <f t="array" aca="1" ref="M398" ca="1">periodicidad(TRIM(K398))</f>
        <v>#NAME?</v>
      </c>
    </row>
    <row r="399" spans="13:13" x14ac:dyDescent="0.25">
      <c r="M399" t="e" cm="1">
        <f t="array" aca="1" ref="M399" ca="1">periodicidad(TRIM(K399))</f>
        <v>#NAME?</v>
      </c>
    </row>
    <row r="400" spans="13:13" x14ac:dyDescent="0.25">
      <c r="M400" t="e" cm="1">
        <f t="array" aca="1" ref="M400" ca="1">periodicidad(TRIM(K400))</f>
        <v>#NAME?</v>
      </c>
    </row>
    <row r="401" spans="13:13" x14ac:dyDescent="0.25">
      <c r="M401" t="e" cm="1">
        <f t="array" aca="1" ref="M401" ca="1">periodicidad(TRIM(K401))</f>
        <v>#NAME?</v>
      </c>
    </row>
    <row r="402" spans="13:13" x14ac:dyDescent="0.25">
      <c r="M402" t="e" cm="1">
        <f t="array" aca="1" ref="M402" ca="1">periodicidad(TRIM(K402))</f>
        <v>#NAME?</v>
      </c>
    </row>
    <row r="403" spans="13:13" x14ac:dyDescent="0.25">
      <c r="M403" t="e" cm="1">
        <f t="array" aca="1" ref="M403" ca="1">periodicidad(TRIM(K403))</f>
        <v>#NAME?</v>
      </c>
    </row>
    <row r="404" spans="13:13" x14ac:dyDescent="0.25">
      <c r="M404" t="e" cm="1">
        <f t="array" aca="1" ref="M404" ca="1">periodicidad(TRIM(K404))</f>
        <v>#NAME?</v>
      </c>
    </row>
    <row r="405" spans="13:13" x14ac:dyDescent="0.25">
      <c r="M405" t="e" cm="1">
        <f t="array" aca="1" ref="M405" ca="1">periodicidad(TRIM(K405))</f>
        <v>#NAME?</v>
      </c>
    </row>
    <row r="406" spans="13:13" x14ac:dyDescent="0.25">
      <c r="M406" t="e" cm="1">
        <f t="array" aca="1" ref="M406" ca="1">periodicidad(TRIM(K406))</f>
        <v>#NAME?</v>
      </c>
    </row>
    <row r="407" spans="13:13" x14ac:dyDescent="0.25">
      <c r="M407" t="e" cm="1">
        <f t="array" aca="1" ref="M407" ca="1">periodicidad(TRIM(K407))</f>
        <v>#NAME?</v>
      </c>
    </row>
    <row r="408" spans="13:13" x14ac:dyDescent="0.25">
      <c r="M408" t="e" cm="1">
        <f t="array" aca="1" ref="M408" ca="1">periodicidad(TRIM(K408))</f>
        <v>#NAME?</v>
      </c>
    </row>
    <row r="409" spans="13:13" x14ac:dyDescent="0.25">
      <c r="M409" t="e" cm="1">
        <f t="array" aca="1" ref="M409" ca="1">periodicidad(TRIM(K409))</f>
        <v>#NAME?</v>
      </c>
    </row>
    <row r="410" spans="13:13" x14ac:dyDescent="0.25">
      <c r="M410" t="e" cm="1">
        <f t="array" aca="1" ref="M410" ca="1">periodicidad(TRIM(K410))</f>
        <v>#NAME?</v>
      </c>
    </row>
    <row r="411" spans="13:13" x14ac:dyDescent="0.25">
      <c r="M411" t="e" cm="1">
        <f t="array" aca="1" ref="M411" ca="1">periodicidad(TRIM(K411))</f>
        <v>#NAME?</v>
      </c>
    </row>
    <row r="412" spans="13:13" x14ac:dyDescent="0.25">
      <c r="M412" t="e" cm="1">
        <f t="array" aca="1" ref="M412" ca="1">periodicidad(TRIM(K412))</f>
        <v>#NAME?</v>
      </c>
    </row>
    <row r="413" spans="13:13" x14ac:dyDescent="0.25">
      <c r="M413" t="e" cm="1">
        <f t="array" aca="1" ref="M413" ca="1">periodicidad(TRIM(K413))</f>
        <v>#NAME?</v>
      </c>
    </row>
    <row r="414" spans="13:13" x14ac:dyDescent="0.25">
      <c r="M414" t="e" cm="1">
        <f t="array" aca="1" ref="M414" ca="1">periodicidad(TRIM(K414))</f>
        <v>#NAME?</v>
      </c>
    </row>
    <row r="415" spans="13:13" x14ac:dyDescent="0.25">
      <c r="M415" t="e" cm="1">
        <f t="array" aca="1" ref="M415" ca="1">periodicidad(TRIM(K415))</f>
        <v>#NAME?</v>
      </c>
    </row>
    <row r="416" spans="13:13" x14ac:dyDescent="0.25">
      <c r="M416" t="e" cm="1">
        <f t="array" aca="1" ref="M416" ca="1">periodicidad(TRIM(K416))</f>
        <v>#NAME?</v>
      </c>
    </row>
    <row r="417" spans="13:13" x14ac:dyDescent="0.25">
      <c r="M417" t="e" cm="1">
        <f t="array" aca="1" ref="M417" ca="1">periodicidad(TRIM(K417))</f>
        <v>#NAME?</v>
      </c>
    </row>
    <row r="418" spans="13:13" x14ac:dyDescent="0.25">
      <c r="M418" t="e" cm="1">
        <f t="array" aca="1" ref="M418" ca="1">periodicidad(TRIM(K418))</f>
        <v>#NAME?</v>
      </c>
    </row>
    <row r="419" spans="13:13" x14ac:dyDescent="0.25">
      <c r="M419" t="e" cm="1">
        <f t="array" aca="1" ref="M419" ca="1">periodicidad(TRIM(K419))</f>
        <v>#NAME?</v>
      </c>
    </row>
    <row r="420" spans="13:13" x14ac:dyDescent="0.25">
      <c r="M420" t="e" cm="1">
        <f t="array" aca="1" ref="M420" ca="1">periodicidad(TRIM(K420))</f>
        <v>#NAME?</v>
      </c>
    </row>
    <row r="421" spans="13:13" x14ac:dyDescent="0.25">
      <c r="M421" t="e" cm="1">
        <f t="array" aca="1" ref="M421" ca="1">periodicidad(TRIM(K421))</f>
        <v>#NAME?</v>
      </c>
    </row>
    <row r="422" spans="13:13" x14ac:dyDescent="0.25">
      <c r="M422" t="e" cm="1">
        <f t="array" aca="1" ref="M422" ca="1">periodicidad(TRIM(K422))</f>
        <v>#NAME?</v>
      </c>
    </row>
    <row r="423" spans="13:13" x14ac:dyDescent="0.25">
      <c r="M423" t="e" cm="1">
        <f t="array" aca="1" ref="M423" ca="1">periodicidad(TRIM(K423))</f>
        <v>#NAME?</v>
      </c>
    </row>
    <row r="424" spans="13:13" x14ac:dyDescent="0.25">
      <c r="M424" t="e" cm="1">
        <f t="array" aca="1" ref="M424" ca="1">periodicidad(TRIM(K424))</f>
        <v>#NAME?</v>
      </c>
    </row>
    <row r="425" spans="13:13" x14ac:dyDescent="0.25">
      <c r="M425" t="e" cm="1">
        <f t="array" aca="1" ref="M425" ca="1">periodicidad(TRIM(K425))</f>
        <v>#NAME?</v>
      </c>
    </row>
    <row r="426" spans="13:13" x14ac:dyDescent="0.25">
      <c r="M426" t="e" cm="1">
        <f t="array" aca="1" ref="M426" ca="1">periodicidad(TRIM(K426))</f>
        <v>#NAME?</v>
      </c>
    </row>
    <row r="427" spans="13:13" x14ac:dyDescent="0.25">
      <c r="M427" t="e" cm="1">
        <f t="array" aca="1" ref="M427" ca="1">periodicidad(TRIM(K427))</f>
        <v>#NAME?</v>
      </c>
    </row>
    <row r="428" spans="13:13" x14ac:dyDescent="0.25">
      <c r="M428" t="e" cm="1">
        <f t="array" aca="1" ref="M428" ca="1">periodicidad(TRIM(K428))</f>
        <v>#NAME?</v>
      </c>
    </row>
    <row r="429" spans="13:13" x14ac:dyDescent="0.25">
      <c r="M429" t="e" cm="1">
        <f t="array" aca="1" ref="M429" ca="1">periodicidad(TRIM(K429))</f>
        <v>#NAME?</v>
      </c>
    </row>
    <row r="430" spans="13:13" x14ac:dyDescent="0.25">
      <c r="M430" t="e" cm="1">
        <f t="array" aca="1" ref="M430" ca="1">periodicidad(TRIM(K430))</f>
        <v>#NAME?</v>
      </c>
    </row>
    <row r="431" spans="13:13" x14ac:dyDescent="0.25">
      <c r="M431" t="e" cm="1">
        <f t="array" aca="1" ref="M431" ca="1">periodicidad(TRIM(K431))</f>
        <v>#NAME?</v>
      </c>
    </row>
    <row r="432" spans="13:13" x14ac:dyDescent="0.25">
      <c r="M432" t="e" cm="1">
        <f t="array" aca="1" ref="M432" ca="1">periodicidad(TRIM(K432))</f>
        <v>#NAME?</v>
      </c>
    </row>
    <row r="433" spans="13:13" x14ac:dyDescent="0.25">
      <c r="M433" t="e" cm="1">
        <f t="array" aca="1" ref="M433" ca="1">periodicidad(TRIM(K433))</f>
        <v>#NAME?</v>
      </c>
    </row>
    <row r="434" spans="13:13" x14ac:dyDescent="0.25">
      <c r="M434" t="e" cm="1">
        <f t="array" aca="1" ref="M434" ca="1">periodicidad(TRIM(K434))</f>
        <v>#NAME?</v>
      </c>
    </row>
    <row r="435" spans="13:13" x14ac:dyDescent="0.25">
      <c r="M435" t="e" cm="1">
        <f t="array" aca="1" ref="M435" ca="1">periodicidad(TRIM(K435))</f>
        <v>#NAME?</v>
      </c>
    </row>
    <row r="436" spans="13:13" x14ac:dyDescent="0.25">
      <c r="M436" t="e" cm="1">
        <f t="array" aca="1" ref="M436" ca="1">periodicidad(TRIM(K436))</f>
        <v>#NAME?</v>
      </c>
    </row>
    <row r="437" spans="13:13" x14ac:dyDescent="0.25">
      <c r="M437" t="e" cm="1">
        <f t="array" aca="1" ref="M437" ca="1">periodicidad(TRIM(K437))</f>
        <v>#NAME?</v>
      </c>
    </row>
    <row r="438" spans="13:13" x14ac:dyDescent="0.25">
      <c r="M438" t="e" cm="1">
        <f t="array" aca="1" ref="M438" ca="1">periodicidad(TRIM(K438))</f>
        <v>#NAME?</v>
      </c>
    </row>
    <row r="439" spans="13:13" x14ac:dyDescent="0.25">
      <c r="M439" t="e" cm="1">
        <f t="array" aca="1" ref="M439" ca="1">periodicidad(TRIM(K439))</f>
        <v>#NAME?</v>
      </c>
    </row>
    <row r="440" spans="13:13" x14ac:dyDescent="0.25">
      <c r="M440" t="e" cm="1">
        <f t="array" aca="1" ref="M440" ca="1">periodicidad(TRIM(K440))</f>
        <v>#NAME?</v>
      </c>
    </row>
    <row r="441" spans="13:13" x14ac:dyDescent="0.25">
      <c r="M441" t="e" cm="1">
        <f t="array" aca="1" ref="M441" ca="1">periodicidad(TRIM(K441))</f>
        <v>#NAME?</v>
      </c>
    </row>
    <row r="442" spans="13:13" x14ac:dyDescent="0.25">
      <c r="M442" t="e" cm="1">
        <f t="array" aca="1" ref="M442" ca="1">periodicidad(TRIM(K442))</f>
        <v>#NAME?</v>
      </c>
    </row>
    <row r="443" spans="13:13" x14ac:dyDescent="0.25">
      <c r="M443" t="e" cm="1">
        <f t="array" aca="1" ref="M443" ca="1">periodicidad(TRIM(K443))</f>
        <v>#NAME?</v>
      </c>
    </row>
    <row r="444" spans="13:13" x14ac:dyDescent="0.25">
      <c r="M444" t="e" cm="1">
        <f t="array" aca="1" ref="M444" ca="1">periodicidad(TRIM(K444))</f>
        <v>#NAME?</v>
      </c>
    </row>
    <row r="445" spans="13:13" x14ac:dyDescent="0.25">
      <c r="M445" t="e" cm="1">
        <f t="array" aca="1" ref="M445" ca="1">periodicidad(TRIM(K445))</f>
        <v>#NAME?</v>
      </c>
    </row>
    <row r="446" spans="13:13" x14ac:dyDescent="0.25">
      <c r="M446" t="e" cm="1">
        <f t="array" aca="1" ref="M446" ca="1">periodicidad(TRIM(K446))</f>
        <v>#NAME?</v>
      </c>
    </row>
    <row r="447" spans="13:13" x14ac:dyDescent="0.25">
      <c r="M447" t="e" cm="1">
        <f t="array" aca="1" ref="M447" ca="1">periodicidad(TRIM(K447))</f>
        <v>#NAME?</v>
      </c>
    </row>
    <row r="448" spans="13:13" x14ac:dyDescent="0.25">
      <c r="M448" t="e" cm="1">
        <f t="array" aca="1" ref="M448" ca="1">periodicidad(TRIM(K448))</f>
        <v>#NAME?</v>
      </c>
    </row>
    <row r="449" spans="13:13" x14ac:dyDescent="0.25">
      <c r="M449" t="e" cm="1">
        <f t="array" aca="1" ref="M449" ca="1">periodicidad(TRIM(K449))</f>
        <v>#NAME?</v>
      </c>
    </row>
    <row r="450" spans="13:13" x14ac:dyDescent="0.25">
      <c r="M450" t="e" cm="1">
        <f t="array" aca="1" ref="M450" ca="1">periodicidad(TRIM(K450))</f>
        <v>#NAME?</v>
      </c>
    </row>
    <row r="451" spans="13:13" x14ac:dyDescent="0.25">
      <c r="M451" t="e" cm="1">
        <f t="array" aca="1" ref="M451" ca="1">periodicidad(TRIM(K451))</f>
        <v>#NAME?</v>
      </c>
    </row>
    <row r="452" spans="13:13" x14ac:dyDescent="0.25">
      <c r="M452" t="e" cm="1">
        <f t="array" aca="1" ref="M452" ca="1">periodicidad(TRIM(K452))</f>
        <v>#NAME?</v>
      </c>
    </row>
    <row r="453" spans="13:13" x14ac:dyDescent="0.25">
      <c r="M453" t="e" cm="1">
        <f t="array" aca="1" ref="M453" ca="1">periodicidad(TRIM(K453))</f>
        <v>#NAME?</v>
      </c>
    </row>
    <row r="454" spans="13:13" x14ac:dyDescent="0.25">
      <c r="M454" t="e" cm="1">
        <f t="array" aca="1" ref="M454" ca="1">periodicidad(TRIM(K454))</f>
        <v>#NAME?</v>
      </c>
    </row>
    <row r="455" spans="13:13" x14ac:dyDescent="0.25">
      <c r="M455" t="e" cm="1">
        <f t="array" aca="1" ref="M455" ca="1">periodicidad(TRIM(K455))</f>
        <v>#NAME?</v>
      </c>
    </row>
    <row r="456" spans="13:13" x14ac:dyDescent="0.25">
      <c r="M456" t="e" cm="1">
        <f t="array" aca="1" ref="M456" ca="1">periodicidad(TRIM(K456))</f>
        <v>#NAME?</v>
      </c>
    </row>
    <row r="457" spans="13:13" x14ac:dyDescent="0.25">
      <c r="M457" t="e" cm="1">
        <f t="array" aca="1" ref="M457" ca="1">periodicidad(TRIM(K457))</f>
        <v>#NAME?</v>
      </c>
    </row>
    <row r="458" spans="13:13" x14ac:dyDescent="0.25">
      <c r="M458" t="e" cm="1">
        <f t="array" aca="1" ref="M458" ca="1">periodicidad(TRIM(K458))</f>
        <v>#NAME?</v>
      </c>
    </row>
    <row r="459" spans="13:13" x14ac:dyDescent="0.25">
      <c r="M459" t="e" cm="1">
        <f t="array" aca="1" ref="M459" ca="1">periodicidad(TRIM(K459))</f>
        <v>#NAME?</v>
      </c>
    </row>
    <row r="460" spans="13:13" x14ac:dyDescent="0.25">
      <c r="M460" t="e" cm="1">
        <f t="array" aca="1" ref="M460" ca="1">periodicidad(TRIM(K460))</f>
        <v>#NAME?</v>
      </c>
    </row>
    <row r="461" spans="13:13" x14ac:dyDescent="0.25">
      <c r="M461" t="e" cm="1">
        <f t="array" aca="1" ref="M461" ca="1">periodicidad(TRIM(K461))</f>
        <v>#NAME?</v>
      </c>
    </row>
    <row r="462" spans="13:13" x14ac:dyDescent="0.25">
      <c r="M462" t="e" cm="1">
        <f t="array" aca="1" ref="M462" ca="1">periodicidad(TRIM(K462))</f>
        <v>#NAME?</v>
      </c>
    </row>
    <row r="463" spans="13:13" x14ac:dyDescent="0.25">
      <c r="M463" t="e" cm="1">
        <f t="array" aca="1" ref="M463" ca="1">periodicidad(TRIM(K463))</f>
        <v>#NAME?</v>
      </c>
    </row>
    <row r="464" spans="13:13" x14ac:dyDescent="0.25">
      <c r="M464" t="e" cm="1">
        <f t="array" aca="1" ref="M464" ca="1">periodicidad(TRIM(K464))</f>
        <v>#NAME?</v>
      </c>
    </row>
    <row r="465" spans="13:13" x14ac:dyDescent="0.25">
      <c r="M465" t="e" cm="1">
        <f t="array" aca="1" ref="M465" ca="1">periodicidad(TRIM(K465))</f>
        <v>#NAME?</v>
      </c>
    </row>
    <row r="466" spans="13:13" x14ac:dyDescent="0.25">
      <c r="M466" t="e" cm="1">
        <f t="array" aca="1" ref="M466" ca="1">periodicidad(TRIM(K466))</f>
        <v>#NAME?</v>
      </c>
    </row>
    <row r="467" spans="13:13" x14ac:dyDescent="0.25">
      <c r="M467" t="e" cm="1">
        <f t="array" aca="1" ref="M467" ca="1">periodicidad(TRIM(K467))</f>
        <v>#NAME?</v>
      </c>
    </row>
    <row r="468" spans="13:13" x14ac:dyDescent="0.25">
      <c r="M468" t="e" cm="1">
        <f t="array" aca="1" ref="M468" ca="1">periodicidad(TRIM(K468))</f>
        <v>#NAME?</v>
      </c>
    </row>
    <row r="469" spans="13:13" x14ac:dyDescent="0.25">
      <c r="M469" t="e" cm="1">
        <f t="array" aca="1" ref="M469" ca="1">periodicidad(TRIM(K469))</f>
        <v>#NAME?</v>
      </c>
    </row>
    <row r="470" spans="13:13" x14ac:dyDescent="0.25">
      <c r="M470" t="e" cm="1">
        <f t="array" aca="1" ref="M470" ca="1">periodicidad(TRIM(K470))</f>
        <v>#NAME?</v>
      </c>
    </row>
    <row r="471" spans="13:13" x14ac:dyDescent="0.25">
      <c r="M471" t="e" cm="1">
        <f t="array" aca="1" ref="M471" ca="1">periodicidad(TRIM(K471))</f>
        <v>#NAME?</v>
      </c>
    </row>
    <row r="472" spans="13:13" x14ac:dyDescent="0.25">
      <c r="M472" t="e" cm="1">
        <f t="array" aca="1" ref="M472" ca="1">periodicidad(TRIM(K472))</f>
        <v>#NAME?</v>
      </c>
    </row>
    <row r="473" spans="13:13" x14ac:dyDescent="0.25">
      <c r="M473" t="e" cm="1">
        <f t="array" aca="1" ref="M473" ca="1">periodicidad(TRIM(K473))</f>
        <v>#NAME?</v>
      </c>
    </row>
    <row r="474" spans="13:13" x14ac:dyDescent="0.25">
      <c r="M474" t="e" cm="1">
        <f t="array" aca="1" ref="M474" ca="1">periodicidad(TRIM(K474))</f>
        <v>#NAME?</v>
      </c>
    </row>
    <row r="475" spans="13:13" x14ac:dyDescent="0.25">
      <c r="M475" t="e" cm="1">
        <f t="array" aca="1" ref="M475" ca="1">periodicidad(TRIM(K475))</f>
        <v>#NAME?</v>
      </c>
    </row>
    <row r="476" spans="13:13" x14ac:dyDescent="0.25">
      <c r="M476" t="e" cm="1">
        <f t="array" aca="1" ref="M476" ca="1">periodicidad(TRIM(K476))</f>
        <v>#NAME?</v>
      </c>
    </row>
    <row r="477" spans="13:13" x14ac:dyDescent="0.25">
      <c r="M477" t="e" cm="1">
        <f t="array" aca="1" ref="M477" ca="1">periodicidad(TRIM(K477))</f>
        <v>#NAME?</v>
      </c>
    </row>
    <row r="478" spans="13:13" x14ac:dyDescent="0.25">
      <c r="M478" t="e" cm="1">
        <f t="array" aca="1" ref="M478" ca="1">periodicidad(TRIM(K478))</f>
        <v>#NAME?</v>
      </c>
    </row>
    <row r="479" spans="13:13" x14ac:dyDescent="0.25">
      <c r="M479" t="e" cm="1">
        <f t="array" aca="1" ref="M479" ca="1">periodicidad(TRIM(K479))</f>
        <v>#NAME?</v>
      </c>
    </row>
    <row r="480" spans="13:13" x14ac:dyDescent="0.25">
      <c r="M480" t="e" cm="1">
        <f t="array" aca="1" ref="M480" ca="1">periodicidad(TRIM(K480))</f>
        <v>#NAME?</v>
      </c>
    </row>
    <row r="481" spans="13:13" x14ac:dyDescent="0.25">
      <c r="M481" t="e" cm="1">
        <f t="array" aca="1" ref="M481" ca="1">periodicidad(TRIM(K481))</f>
        <v>#NAME?</v>
      </c>
    </row>
    <row r="482" spans="13:13" x14ac:dyDescent="0.25">
      <c r="M482" t="e" cm="1">
        <f t="array" aca="1" ref="M482" ca="1">periodicidad(TRIM(K482))</f>
        <v>#NAME?</v>
      </c>
    </row>
    <row r="483" spans="13:13" x14ac:dyDescent="0.25">
      <c r="M483" t="e" cm="1">
        <f t="array" aca="1" ref="M483" ca="1">periodicidad(TRIM(K483))</f>
        <v>#NAME?</v>
      </c>
    </row>
    <row r="484" spans="13:13" x14ac:dyDescent="0.25">
      <c r="M484" t="e" cm="1">
        <f t="array" aca="1" ref="M484" ca="1">periodicidad(TRIM(K484))</f>
        <v>#NAME?</v>
      </c>
    </row>
    <row r="485" spans="13:13" x14ac:dyDescent="0.25">
      <c r="M485" t="e" cm="1">
        <f t="array" aca="1" ref="M485" ca="1">periodicidad(TRIM(K485))</f>
        <v>#NAME?</v>
      </c>
    </row>
    <row r="486" spans="13:13" x14ac:dyDescent="0.25">
      <c r="M486" t="e" cm="1">
        <f t="array" aca="1" ref="M486" ca="1">periodicidad(TRIM(K486))</f>
        <v>#NAME?</v>
      </c>
    </row>
    <row r="487" spans="13:13" x14ac:dyDescent="0.25">
      <c r="M487" t="e" cm="1">
        <f t="array" aca="1" ref="M487" ca="1">periodicidad(TRIM(K487))</f>
        <v>#NAME?</v>
      </c>
    </row>
    <row r="488" spans="13:13" x14ac:dyDescent="0.25">
      <c r="M488" t="e" cm="1">
        <f t="array" aca="1" ref="M488" ca="1">periodicidad(TRIM(K488))</f>
        <v>#NAME?</v>
      </c>
    </row>
    <row r="489" spans="13:13" x14ac:dyDescent="0.25">
      <c r="M489" t="e" cm="1">
        <f t="array" aca="1" ref="M489" ca="1">periodicidad(TRIM(K489))</f>
        <v>#NAME?</v>
      </c>
    </row>
    <row r="490" spans="13:13" x14ac:dyDescent="0.25">
      <c r="M490" t="e" cm="1">
        <f t="array" aca="1" ref="M490" ca="1">periodicidad(TRIM(K490))</f>
        <v>#NAME?</v>
      </c>
    </row>
    <row r="491" spans="13:13" x14ac:dyDescent="0.25">
      <c r="M491" t="e" cm="1">
        <f t="array" aca="1" ref="M491" ca="1">periodicidad(TRIM(K491))</f>
        <v>#NAME?</v>
      </c>
    </row>
    <row r="492" spans="13:13" x14ac:dyDescent="0.25">
      <c r="M492" t="e" cm="1">
        <f t="array" aca="1" ref="M492" ca="1">periodicidad(TRIM(K492))</f>
        <v>#NAME?</v>
      </c>
    </row>
    <row r="493" spans="13:13" x14ac:dyDescent="0.25">
      <c r="M493" t="e" cm="1">
        <f t="array" aca="1" ref="M493" ca="1">periodicidad(TRIM(K493))</f>
        <v>#NAME?</v>
      </c>
    </row>
    <row r="494" spans="13:13" x14ac:dyDescent="0.25">
      <c r="M494" t="e" cm="1">
        <f t="array" aca="1" ref="M494" ca="1">periodicidad(TRIM(K494))</f>
        <v>#NAME?</v>
      </c>
    </row>
    <row r="495" spans="13:13" x14ac:dyDescent="0.25">
      <c r="M495" t="e" cm="1">
        <f t="array" aca="1" ref="M495" ca="1">periodicidad(TRIM(K495))</f>
        <v>#NAME?</v>
      </c>
    </row>
    <row r="496" spans="13:13" x14ac:dyDescent="0.25">
      <c r="M496" t="e" cm="1">
        <f t="array" aca="1" ref="M496" ca="1">periodicidad(TRIM(K496))</f>
        <v>#NAME?</v>
      </c>
    </row>
    <row r="497" spans="13:13" x14ac:dyDescent="0.25">
      <c r="M497" t="e" cm="1">
        <f t="array" aca="1" ref="M497" ca="1">periodicidad(TRIM(K497))</f>
        <v>#NAME?</v>
      </c>
    </row>
    <row r="498" spans="13:13" x14ac:dyDescent="0.25">
      <c r="M498" t="e" cm="1">
        <f t="array" aca="1" ref="M498" ca="1">periodicidad(TRIM(K498))</f>
        <v>#NAME?</v>
      </c>
    </row>
    <row r="499" spans="13:13" x14ac:dyDescent="0.25">
      <c r="M499" t="e" cm="1">
        <f t="array" aca="1" ref="M499" ca="1">periodicidad(TRIM(K499))</f>
        <v>#NAME?</v>
      </c>
    </row>
    <row r="500" spans="13:13" x14ac:dyDescent="0.25">
      <c r="M500" t="e" cm="1">
        <f t="array" aca="1" ref="M500" ca="1">periodicidad(TRIM(K500))</f>
        <v>#NAME?</v>
      </c>
    </row>
    <row r="501" spans="13:13" x14ac:dyDescent="0.25">
      <c r="M501" t="e" cm="1">
        <f t="array" aca="1" ref="M501" ca="1">periodicidad(TRIM(K501))</f>
        <v>#NAME?</v>
      </c>
    </row>
    <row r="502" spans="13:13" x14ac:dyDescent="0.25">
      <c r="M502" t="e" cm="1">
        <f t="array" aca="1" ref="M502" ca="1">periodicidad(TRIM(K502))</f>
        <v>#NAME?</v>
      </c>
    </row>
    <row r="503" spans="13:13" x14ac:dyDescent="0.25">
      <c r="M503" t="e" cm="1">
        <f t="array" aca="1" ref="M503" ca="1">periodicidad(TRIM(K503))</f>
        <v>#NAME?</v>
      </c>
    </row>
    <row r="504" spans="13:13" x14ac:dyDescent="0.25">
      <c r="M504" t="e" cm="1">
        <f t="array" aca="1" ref="M504" ca="1">periodicidad(TRIM(K504))</f>
        <v>#NAME?</v>
      </c>
    </row>
    <row r="505" spans="13:13" x14ac:dyDescent="0.25">
      <c r="M505" t="e" cm="1">
        <f t="array" aca="1" ref="M505" ca="1">periodicidad(TRIM(K505))</f>
        <v>#NAME?</v>
      </c>
    </row>
    <row r="506" spans="13:13" x14ac:dyDescent="0.25">
      <c r="M506" t="e" cm="1">
        <f t="array" aca="1" ref="M506" ca="1">periodicidad(TRIM(K506))</f>
        <v>#NAME?</v>
      </c>
    </row>
    <row r="507" spans="13:13" x14ac:dyDescent="0.25">
      <c r="M507" t="e" cm="1">
        <f t="array" aca="1" ref="M507" ca="1">periodicidad(TRIM(K507))</f>
        <v>#NAME?</v>
      </c>
    </row>
    <row r="508" spans="13:13" x14ac:dyDescent="0.25">
      <c r="M508" t="e" cm="1">
        <f t="array" aca="1" ref="M508" ca="1">periodicidad(TRIM(K508))</f>
        <v>#NAME?</v>
      </c>
    </row>
    <row r="509" spans="13:13" x14ac:dyDescent="0.25">
      <c r="M509" t="e" cm="1">
        <f t="array" aca="1" ref="M509" ca="1">periodicidad(TRIM(K509))</f>
        <v>#NAME?</v>
      </c>
    </row>
    <row r="510" spans="13:13" x14ac:dyDescent="0.25">
      <c r="M510" t="e" cm="1">
        <f t="array" aca="1" ref="M510" ca="1">periodicidad(TRIM(K510))</f>
        <v>#NAME?</v>
      </c>
    </row>
    <row r="511" spans="13:13" x14ac:dyDescent="0.25">
      <c r="M511" t="e" cm="1">
        <f t="array" aca="1" ref="M511" ca="1">periodicidad(TRIM(K511))</f>
        <v>#NAME?</v>
      </c>
    </row>
    <row r="512" spans="13:13" x14ac:dyDescent="0.25">
      <c r="M512" t="e" cm="1">
        <f t="array" aca="1" ref="M512" ca="1">periodicidad(TRIM(K512))</f>
        <v>#NAME?</v>
      </c>
    </row>
    <row r="513" spans="13:13" x14ac:dyDescent="0.25">
      <c r="M513" t="e" cm="1">
        <f t="array" aca="1" ref="M513" ca="1">periodicidad(TRIM(K513))</f>
        <v>#NAME?</v>
      </c>
    </row>
    <row r="514" spans="13:13" x14ac:dyDescent="0.25">
      <c r="M514" t="e" cm="1">
        <f t="array" aca="1" ref="M514" ca="1">periodicidad(TRIM(K514))</f>
        <v>#NAME?</v>
      </c>
    </row>
    <row r="515" spans="13:13" x14ac:dyDescent="0.25">
      <c r="M515" t="e" cm="1">
        <f t="array" aca="1" ref="M515" ca="1">periodicidad(TRIM(K515))</f>
        <v>#NAME?</v>
      </c>
    </row>
    <row r="516" spans="13:13" x14ac:dyDescent="0.25">
      <c r="M516" t="e" cm="1">
        <f t="array" aca="1" ref="M516" ca="1">periodicidad(TRIM(K516))</f>
        <v>#NAME?</v>
      </c>
    </row>
    <row r="517" spans="13:13" x14ac:dyDescent="0.25">
      <c r="M517" t="e" cm="1">
        <f t="array" aca="1" ref="M517" ca="1">periodicidad(TRIM(K517))</f>
        <v>#NAME?</v>
      </c>
    </row>
    <row r="518" spans="13:13" x14ac:dyDescent="0.25">
      <c r="M518" t="e" cm="1">
        <f t="array" aca="1" ref="M518" ca="1">periodicidad(TRIM(K518))</f>
        <v>#NAME?</v>
      </c>
    </row>
    <row r="519" spans="13:13" x14ac:dyDescent="0.25">
      <c r="M519" t="e" cm="1">
        <f t="array" aca="1" ref="M519" ca="1">periodicidad(TRIM(K519))</f>
        <v>#NAME?</v>
      </c>
    </row>
    <row r="520" spans="13:13" x14ac:dyDescent="0.25">
      <c r="M520" t="e" cm="1">
        <f t="array" aca="1" ref="M520" ca="1">periodicidad(TRIM(K520))</f>
        <v>#NAME?</v>
      </c>
    </row>
    <row r="521" spans="13:13" x14ac:dyDescent="0.25">
      <c r="M521" t="e" cm="1">
        <f t="array" aca="1" ref="M521" ca="1">periodicidad(TRIM(K521))</f>
        <v>#NAME?</v>
      </c>
    </row>
    <row r="522" spans="13:13" x14ac:dyDescent="0.25">
      <c r="M522" t="e" cm="1">
        <f t="array" aca="1" ref="M522" ca="1">periodicidad(TRIM(K522))</f>
        <v>#NAME?</v>
      </c>
    </row>
    <row r="523" spans="13:13" x14ac:dyDescent="0.25">
      <c r="M523" t="e" cm="1">
        <f t="array" aca="1" ref="M523" ca="1">periodicidad(TRIM(K523))</f>
        <v>#NAME?</v>
      </c>
    </row>
    <row r="524" spans="13:13" x14ac:dyDescent="0.25">
      <c r="M524" t="e" cm="1">
        <f t="array" aca="1" ref="M524" ca="1">periodicidad(TRIM(K524))</f>
        <v>#NAME?</v>
      </c>
    </row>
    <row r="525" spans="13:13" x14ac:dyDescent="0.25">
      <c r="M525" t="e" cm="1">
        <f t="array" aca="1" ref="M525" ca="1">periodicidad(TRIM(K525))</f>
        <v>#NAME?</v>
      </c>
    </row>
    <row r="526" spans="13:13" x14ac:dyDescent="0.25">
      <c r="M526" t="e" cm="1">
        <f t="array" aca="1" ref="M526" ca="1">periodicidad(TRIM(K526))</f>
        <v>#NAME?</v>
      </c>
    </row>
    <row r="527" spans="13:13" x14ac:dyDescent="0.25">
      <c r="M527" t="e" cm="1">
        <f t="array" aca="1" ref="M527" ca="1">periodicidad(TRIM(K527))</f>
        <v>#NAME?</v>
      </c>
    </row>
    <row r="528" spans="13:13" x14ac:dyDescent="0.25">
      <c r="M528" t="e" cm="1">
        <f t="array" aca="1" ref="M528" ca="1">periodicidad(TRIM(K528))</f>
        <v>#NAME?</v>
      </c>
    </row>
    <row r="529" spans="13:13" x14ac:dyDescent="0.25">
      <c r="M529" t="e" cm="1">
        <f t="array" aca="1" ref="M529" ca="1">periodicidad(TRIM(K529))</f>
        <v>#NAME?</v>
      </c>
    </row>
    <row r="530" spans="13:13" x14ac:dyDescent="0.25">
      <c r="M530" t="e" cm="1">
        <f t="array" aca="1" ref="M530" ca="1">periodicidad(TRIM(K530))</f>
        <v>#NAME?</v>
      </c>
    </row>
    <row r="531" spans="13:13" x14ac:dyDescent="0.25">
      <c r="M531" t="e" cm="1">
        <f t="array" aca="1" ref="M531" ca="1">periodicidad(TRIM(K531))</f>
        <v>#NAME?</v>
      </c>
    </row>
    <row r="532" spans="13:13" x14ac:dyDescent="0.25">
      <c r="M532" t="e" cm="1">
        <f t="array" aca="1" ref="M532" ca="1">periodicidad(TRIM(K532))</f>
        <v>#NAME?</v>
      </c>
    </row>
    <row r="533" spans="13:13" x14ac:dyDescent="0.25">
      <c r="M533" t="e" cm="1">
        <f t="array" aca="1" ref="M533" ca="1">periodicidad(TRIM(K533))</f>
        <v>#NAME?</v>
      </c>
    </row>
    <row r="534" spans="13:13" x14ac:dyDescent="0.25">
      <c r="M534" t="e" cm="1">
        <f t="array" aca="1" ref="M534" ca="1">periodicidad(TRIM(K534))</f>
        <v>#NAME?</v>
      </c>
    </row>
    <row r="535" spans="13:13" x14ac:dyDescent="0.25">
      <c r="M535" t="e" cm="1">
        <f t="array" aca="1" ref="M535" ca="1">periodicidad(TRIM(K535))</f>
        <v>#NAME?</v>
      </c>
    </row>
    <row r="536" spans="13:13" x14ac:dyDescent="0.25">
      <c r="M536" t="e" cm="1">
        <f t="array" aca="1" ref="M536" ca="1">periodicidad(TRIM(K536))</f>
        <v>#NAME?</v>
      </c>
    </row>
    <row r="537" spans="13:13" x14ac:dyDescent="0.25">
      <c r="M537" t="e" cm="1">
        <f t="array" aca="1" ref="M537" ca="1">periodicidad(TRIM(K537))</f>
        <v>#NAME?</v>
      </c>
    </row>
    <row r="538" spans="13:13" x14ac:dyDescent="0.25">
      <c r="M538" t="e" cm="1">
        <f t="array" aca="1" ref="M538" ca="1">periodicidad(TRIM(K538))</f>
        <v>#NAME?</v>
      </c>
    </row>
    <row r="539" spans="13:13" x14ac:dyDescent="0.25">
      <c r="M539" t="e" cm="1">
        <f t="array" aca="1" ref="M539" ca="1">periodicidad(TRIM(K539))</f>
        <v>#NAME?</v>
      </c>
    </row>
    <row r="540" spans="13:13" x14ac:dyDescent="0.25">
      <c r="M540" t="e" cm="1">
        <f t="array" aca="1" ref="M540" ca="1">periodicidad(TRIM(K540))</f>
        <v>#NAME?</v>
      </c>
    </row>
    <row r="541" spans="13:13" x14ac:dyDescent="0.25">
      <c r="M541" t="e" cm="1">
        <f t="array" aca="1" ref="M541" ca="1">periodicidad(TRIM(K541))</f>
        <v>#NAME?</v>
      </c>
    </row>
    <row r="542" spans="13:13" x14ac:dyDescent="0.25">
      <c r="M542" t="e" cm="1">
        <f t="array" aca="1" ref="M542" ca="1">periodicidad(TRIM(K542))</f>
        <v>#NAME?</v>
      </c>
    </row>
    <row r="543" spans="13:13" x14ac:dyDescent="0.25">
      <c r="M543" t="e" cm="1">
        <f t="array" aca="1" ref="M543" ca="1">periodicidad(TRIM(K543))</f>
        <v>#NAME?</v>
      </c>
    </row>
    <row r="544" spans="13:13" x14ac:dyDescent="0.25">
      <c r="M544" t="e" cm="1">
        <f t="array" aca="1" ref="M544" ca="1">periodicidad(TRIM(K544))</f>
        <v>#NAME?</v>
      </c>
    </row>
    <row r="545" spans="13:13" x14ac:dyDescent="0.25">
      <c r="M545" t="e" cm="1">
        <f t="array" aca="1" ref="M545" ca="1">periodicidad(TRIM(K545))</f>
        <v>#NAME?</v>
      </c>
    </row>
    <row r="546" spans="13:13" x14ac:dyDescent="0.25">
      <c r="M546" t="e" cm="1">
        <f t="array" aca="1" ref="M546" ca="1">periodicidad(TRIM(K546))</f>
        <v>#NAME?</v>
      </c>
    </row>
    <row r="547" spans="13:13" x14ac:dyDescent="0.25">
      <c r="M547" t="e" cm="1">
        <f t="array" aca="1" ref="M547" ca="1">periodicidad(TRIM(K547))</f>
        <v>#NAME?</v>
      </c>
    </row>
    <row r="548" spans="13:13" x14ac:dyDescent="0.25">
      <c r="M548" t="e" cm="1">
        <f t="array" aca="1" ref="M548" ca="1">periodicidad(TRIM(K548))</f>
        <v>#NAME?</v>
      </c>
    </row>
    <row r="549" spans="13:13" x14ac:dyDescent="0.25">
      <c r="M549" t="e" cm="1">
        <f t="array" aca="1" ref="M549" ca="1">periodicidad(TRIM(K549))</f>
        <v>#NAME?</v>
      </c>
    </row>
    <row r="550" spans="13:13" x14ac:dyDescent="0.25">
      <c r="M550" t="e" cm="1">
        <f t="array" aca="1" ref="M550" ca="1">periodicidad(TRIM(K550))</f>
        <v>#NAME?</v>
      </c>
    </row>
    <row r="551" spans="13:13" x14ac:dyDescent="0.25">
      <c r="M551" t="e" cm="1">
        <f t="array" aca="1" ref="M551" ca="1">periodicidad(TRIM(K551))</f>
        <v>#NAME?</v>
      </c>
    </row>
    <row r="552" spans="13:13" x14ac:dyDescent="0.25">
      <c r="M552" t="e" cm="1">
        <f t="array" aca="1" ref="M552" ca="1">periodicidad(TRIM(K552))</f>
        <v>#NAME?</v>
      </c>
    </row>
    <row r="553" spans="13:13" x14ac:dyDescent="0.25">
      <c r="M553" t="e" cm="1">
        <f t="array" aca="1" ref="M553" ca="1">periodicidad(TRIM(K553))</f>
        <v>#NAME?</v>
      </c>
    </row>
    <row r="554" spans="13:13" x14ac:dyDescent="0.25">
      <c r="M554" t="e" cm="1">
        <f t="array" aca="1" ref="M554" ca="1">periodicidad(TRIM(K554))</f>
        <v>#NAME?</v>
      </c>
    </row>
    <row r="555" spans="13:13" x14ac:dyDescent="0.25">
      <c r="M555" t="e" cm="1">
        <f t="array" aca="1" ref="M555" ca="1">periodicidad(TRIM(K555))</f>
        <v>#NAME?</v>
      </c>
    </row>
    <row r="556" spans="13:13" x14ac:dyDescent="0.25">
      <c r="M556" t="e" cm="1">
        <f t="array" aca="1" ref="M556" ca="1">periodicidad(TRIM(K556))</f>
        <v>#NAME?</v>
      </c>
    </row>
    <row r="557" spans="13:13" x14ac:dyDescent="0.25">
      <c r="M557" t="e" cm="1">
        <f t="array" aca="1" ref="M557" ca="1">periodicidad(TRIM(K557))</f>
        <v>#NAME?</v>
      </c>
    </row>
    <row r="558" spans="13:13" x14ac:dyDescent="0.25">
      <c r="M558" t="e" cm="1">
        <f t="array" aca="1" ref="M558" ca="1">periodicidad(TRIM(K558))</f>
        <v>#NAME?</v>
      </c>
    </row>
    <row r="559" spans="13:13" x14ac:dyDescent="0.25">
      <c r="M559" t="e" cm="1">
        <f t="array" aca="1" ref="M559" ca="1">periodicidad(TRIM(K559))</f>
        <v>#NAME?</v>
      </c>
    </row>
    <row r="560" spans="13:13" x14ac:dyDescent="0.25">
      <c r="M560" t="e" cm="1">
        <f t="array" aca="1" ref="M560" ca="1">periodicidad(TRIM(K560))</f>
        <v>#NAME?</v>
      </c>
    </row>
    <row r="561" spans="13:13" x14ac:dyDescent="0.25">
      <c r="M561" t="e" cm="1">
        <f t="array" aca="1" ref="M561" ca="1">periodicidad(TRIM(K561))</f>
        <v>#NAME?</v>
      </c>
    </row>
    <row r="562" spans="13:13" x14ac:dyDescent="0.25">
      <c r="M562" t="e" cm="1">
        <f t="array" aca="1" ref="M562" ca="1">periodicidad(TRIM(K562))</f>
        <v>#NAME?</v>
      </c>
    </row>
    <row r="563" spans="13:13" x14ac:dyDescent="0.25">
      <c r="M563" t="e" cm="1">
        <f t="array" aca="1" ref="M563" ca="1">periodicidad(TRIM(K563))</f>
        <v>#NAME?</v>
      </c>
    </row>
    <row r="564" spans="13:13" x14ac:dyDescent="0.25">
      <c r="M564" t="e" cm="1">
        <f t="array" aca="1" ref="M564" ca="1">periodicidad(TRIM(K564))</f>
        <v>#NAME?</v>
      </c>
    </row>
    <row r="565" spans="13:13" x14ac:dyDescent="0.25">
      <c r="M565" t="e" cm="1">
        <f t="array" aca="1" ref="M565" ca="1">periodicidad(TRIM(K565))</f>
        <v>#NAME?</v>
      </c>
    </row>
    <row r="566" spans="13:13" x14ac:dyDescent="0.25">
      <c r="M566" t="e" cm="1">
        <f t="array" aca="1" ref="M566" ca="1">periodicidad(TRIM(K566))</f>
        <v>#NAME?</v>
      </c>
    </row>
    <row r="567" spans="13:13" x14ac:dyDescent="0.25">
      <c r="M567" t="e" cm="1">
        <f t="array" aca="1" ref="M567" ca="1">periodicidad(TRIM(K567))</f>
        <v>#NAME?</v>
      </c>
    </row>
    <row r="568" spans="13:13" x14ac:dyDescent="0.25">
      <c r="M568" t="e" cm="1">
        <f t="array" aca="1" ref="M568" ca="1">periodicidad(TRIM(K568))</f>
        <v>#NAME?</v>
      </c>
    </row>
    <row r="569" spans="13:13" x14ac:dyDescent="0.25">
      <c r="M569" t="e" cm="1">
        <f t="array" aca="1" ref="M569" ca="1">periodicidad(TRIM(K569))</f>
        <v>#NAME?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2022-03-11T17:48:11Z</dcterms:modified>
</cp:coreProperties>
</file>
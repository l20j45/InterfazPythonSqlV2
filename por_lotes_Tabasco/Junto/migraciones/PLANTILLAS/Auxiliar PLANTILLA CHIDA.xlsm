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ursos\pythonTrabajo\InterfazPythonSqlV2\por_lotes_Tabasco\Junto\migraciones\PLANTILLAS\"/>
    </mc:Choice>
  </mc:AlternateContent>
  <xr:revisionPtr revIDLastSave="0" documentId="13_ncr:1_{85D8F685-762C-4EE8-825C-22CCE3617AF2}" xr6:coauthVersionLast="47" xr6:coauthVersionMax="47" xr10:uidLastSave="{00000000-0000-0000-0000-000000000000}"/>
  <bookViews>
    <workbookView xWindow="-24120" yWindow="-2175" windowWidth="24240" windowHeight="13740" firstSheet="3" activeTab="8" xr2:uid="{00000000-000D-0000-FFFF-FFFF00000000}"/>
  </bookViews>
  <sheets>
    <sheet name="Fechas" sheetId="7" r:id="rId1"/>
    <sheet name="Periodicidad" sheetId="6" r:id="rId2"/>
    <sheet name="Nombres" sheetId="4" r:id="rId3"/>
    <sheet name="Busqueda de rutas" sheetId="8" r:id="rId4"/>
    <sheet name="DiaSemana" sheetId="10" r:id="rId5"/>
    <sheet name="Sexo" sheetId="11" r:id="rId6"/>
    <sheet name="AcomodarContratos" sheetId="9" r:id="rId7"/>
    <sheet name="Vendedor" sheetId="12" r:id="rId8"/>
    <sheet name="Estatus" sheetId="13" r:id="rId9"/>
  </sheets>
  <definedNames>
    <definedName name="_xlnm._FilterDatabase" localSheetId="3" hidden="1">'Busqueda de rutas'!$A$1:$B$1084</definedName>
    <definedName name="_xlnm._FilterDatabase" localSheetId="7" hidden="1">Vendedor!$A$1:$B$5290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4" l="1" a="1"/>
  <c r="C1" i="4" s="1"/>
  <c r="B1" i="13"/>
  <c r="B2" i="12"/>
  <c r="C1" i="7" a="1"/>
  <c r="C1" i="6" a="1"/>
  <c r="C1" i="7" l="1"/>
  <c r="C1" i="6"/>
  <c r="B1" i="11" l="1"/>
  <c r="B1" i="10"/>
  <c r="F2" i="8"/>
  <c r="B2" i="8" s="1"/>
  <c r="D2" i="9"/>
  <c r="C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<sst xmlns="http://schemas.openxmlformats.org/spreadsheetml/2006/main" count="34" uniqueCount="30">
  <si>
    <t>MERCEDES</t>
  </si>
  <si>
    <t>IZQUIERDO</t>
  </si>
  <si>
    <t>DOMINGUEZ</t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</si>
  <si>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</si>
  <si>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</si>
  <si>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</si>
  <si>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</si>
  <si>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</si>
  <si>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</si>
  <si>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</si>
  <si>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</si>
  <si>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</si>
  <si>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</si>
  <si>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>RUTA 17 L</t>
  </si>
  <si>
    <t xml:space="preserve">LUNES </t>
  </si>
  <si>
    <t>HOMBRE</t>
  </si>
  <si>
    <t>AYOTLAN</t>
  </si>
  <si>
    <t>(AYO) GRUPO SIPREF AYOTLAN (EMPRESA)</t>
  </si>
  <si>
    <t>(AYO) Angelina Hernandez Enriquez</t>
  </si>
  <si>
    <t>ASESOR</t>
  </si>
  <si>
    <t>QYAAF9TM1W9DEM4</t>
  </si>
  <si>
    <t>codigo</t>
  </si>
  <si>
    <t>RUTA POR DEFECTO AYOTLAN</t>
  </si>
  <si>
    <t>2015-02-26</t>
  </si>
  <si>
    <t>Cancelado</t>
  </si>
  <si>
    <t>MA. REFUGIO GONZALEZ INFANTE</t>
  </si>
  <si>
    <t>MA. REFUGIO</t>
  </si>
  <si>
    <t>GONZALEZ</t>
  </si>
  <si>
    <t>INFANTE</t>
  </si>
  <si>
    <t>Semanal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</si>
</sst>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2" borderId="1" xfId="0" applyFill="1" applyBorder="1" applyAlignment="1">
      <alignment horizontal="center" vertical="center"/>
    </xf>
    <xf numFmtId="0" fontId="0" fillId="3" borderId="2" xfId="0" applyFill="1" applyBorder="1"/>
    <xf numFmtId="14" fontId="0" fillId="0" borderId="3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1</xdr:row>
      <xdr:rowOff>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1"/>
  <sheetViews>
    <sheetView workbookViewId="0">
      <selection activeCell="G29" sqref="G29"/>
    </sheetView>
  </sheetViews>
  <sheetFormatPr baseColWidth="10" defaultRowHeight="15" x14ac:dyDescent="0.25"/>
  <cols>
    <col min="3" max="3" width="11.85546875" bestFit="1" customWidth="1"/>
  </cols>
  <sheetData>
    <row r="1" spans="1:4" x14ac:dyDescent="0.25">
      <c r="A1" s="4">
        <v>42061</v>
      </c>
      <c r="C1" t="e" cm="1">
        <f t="array" aca="1" ref="C1" ca="1">fechaContrato(A1)</f>
        <v>#NAME?</v>
      </c>
      <c r="D1" t="s">
        <v>23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F1"/>
  <sheetViews>
    <sheetView workbookViewId="0">
      <selection activeCell="E10" sqref="E10:E11"/>
    </sheetView>
  </sheetViews>
  <sheetFormatPr baseColWidth="10" defaultRowHeight="15" x14ac:dyDescent="0.25"/>
  <sheetData>
    <row r="1" spans="1:6" s="1" customFormat="1" x14ac:dyDescent="0.25">
      <c r="A1" t="s">
        <v>29</v>
      </c>
      <c r="C1" s="1" cm="1">
        <f t="array" ref="C1">periodicidad(A1)</f>
        <v>0</v>
      </c>
      <c r="F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M1"/>
  <sheetViews>
    <sheetView workbookViewId="0">
      <selection activeCell="C8" sqref="C8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3" s="1" customFormat="1" x14ac:dyDescent="0.25">
      <c r="A1" t="s">
        <v>25</v>
      </c>
      <c r="C1" s="2" t="e" cm="1">
        <f t="array" aca="1" ref="C1" ca="1">NombreApellidos(TRIM(A1))</f>
        <v>#NAME?</v>
      </c>
      <c r="H1" s="2" t="s">
        <v>0</v>
      </c>
      <c r="I1" s="1" t="s">
        <v>1</v>
      </c>
      <c r="J1" s="1" t="s">
        <v>2</v>
      </c>
      <c r="K1" s="2" t="s">
        <v>26</v>
      </c>
      <c r="L1" s="1" t="s">
        <v>27</v>
      </c>
      <c r="M1" s="1" t="s">
        <v>28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sheetPr codeName="Hoja1"/>
  <dimension ref="A1:J2"/>
  <sheetViews>
    <sheetView workbookViewId="0">
      <selection activeCell="D18" sqref="D18"/>
    </sheetView>
  </sheetViews>
  <sheetFormatPr baseColWidth="10" defaultRowHeight="15" x14ac:dyDescent="0.25"/>
  <cols>
    <col min="1" max="1" width="18" bestFit="1" customWidth="1"/>
    <col min="5" max="5" width="27.28515625" bestFit="1" customWidth="1"/>
    <col min="16" max="16" width="13.5703125" bestFit="1" customWidth="1"/>
  </cols>
  <sheetData>
    <row r="1" spans="1:10" x14ac:dyDescent="0.25">
      <c r="A1" t="s">
        <v>3</v>
      </c>
      <c r="B1" t="s">
        <v>4</v>
      </c>
    </row>
    <row r="2" spans="1:10" s="1" customFormat="1" x14ac:dyDescent="0.25">
      <c r="A2" t="s">
        <v>22</v>
      </c>
      <c r="B2" s="1" t="e">
        <f>VLOOKUP(A2,$E$2:$F$29,2,0)</f>
        <v>#N/A</v>
      </c>
      <c r="E2" t="s">
        <v>22</v>
      </c>
      <c r="F2" s="1" t="e">
        <f>VLOOKUP(G2,$A$3:$A$8,2,0)</f>
        <v>#N/A</v>
      </c>
      <c r="G2" s="3" t="s">
        <v>13</v>
      </c>
      <c r="J2" s="3"/>
    </row>
  </sheetData>
  <autoFilter ref="A1:B5290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sheetPr codeName="Hoja3"/>
  <dimension ref="A1:D1"/>
  <sheetViews>
    <sheetView workbookViewId="0">
      <selection activeCell="D16" sqref="D16:D17"/>
    </sheetView>
  </sheetViews>
  <sheetFormatPr baseColWidth="10" defaultRowHeight="15" x14ac:dyDescent="0.25"/>
  <sheetData>
    <row r="1" spans="1:4" s="1" customFormat="1" x14ac:dyDescent="0.25">
      <c r="A1" s="3" t="s">
        <v>14</v>
      </c>
      <c r="B1" s="1">
        <f>VLOOKUP(A1,$C$1:$D$1,2,0)</f>
        <v>0</v>
      </c>
      <c r="C1" s="3" t="s">
        <v>14</v>
      </c>
      <c r="D1" s="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sheetPr codeName="Hoja4"/>
  <dimension ref="A1:D1"/>
  <sheetViews>
    <sheetView workbookViewId="0">
      <selection activeCell="F10" sqref="F10"/>
    </sheetView>
  </sheetViews>
  <sheetFormatPr baseColWidth="10" defaultRowHeight="15" x14ac:dyDescent="0.25"/>
  <cols>
    <col min="3" max="3" width="14.28515625" bestFit="1" customWidth="1"/>
  </cols>
  <sheetData>
    <row r="1" spans="1:4" s="1" customFormat="1" x14ac:dyDescent="0.25">
      <c r="A1" s="3" t="s">
        <v>15</v>
      </c>
      <c r="B1" s="1">
        <f>VLOOKUP(A1,$C$1:$D$1,2,0)</f>
        <v>0</v>
      </c>
      <c r="C1" s="3" t="s">
        <v>15</v>
      </c>
      <c r="D1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sheetPr codeName="Hoja5"/>
  <dimension ref="A1:E2"/>
  <sheetViews>
    <sheetView workbookViewId="0">
      <selection activeCell="D2" sqref="D2"/>
    </sheetView>
  </sheetViews>
  <sheetFormatPr baseColWidth="10" defaultRowHeight="15" x14ac:dyDescent="0.2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</row>
    <row r="2" spans="1:5" s="1" customFormat="1" x14ac:dyDescent="0.25">
      <c r="A2" s="1" t="s">
        <v>6</v>
      </c>
      <c r="B2" s="1" t="s">
        <v>5</v>
      </c>
      <c r="C2" s="1" t="str">
        <f t="shared" ref="C2" si="0">_xlfn.CONCAT(A2,B2)</f>
        <v>VSA2017-0034</v>
      </c>
      <c r="D2" s="1" t="str">
        <f t="shared" ref="D2" si="1">SUBSTITUTE(C2," ","")</f>
        <v>VSA2017-0034</v>
      </c>
      <c r="E2" s="1" t="s">
        <v>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9599D-CC3F-4718-8234-B1D3F688CCD5}">
  <sheetPr codeName="Hoja8"/>
  <dimension ref="A1:G2"/>
  <sheetViews>
    <sheetView workbookViewId="0">
      <selection activeCell="C12" sqref="C12:C13"/>
    </sheetView>
  </sheetViews>
  <sheetFormatPr baseColWidth="10" defaultRowHeight="15" x14ac:dyDescent="0.25"/>
  <cols>
    <col min="1" max="1" width="44.140625" bestFit="1" customWidth="1"/>
    <col min="3" max="3" width="44.140625" bestFit="1" customWidth="1"/>
    <col min="4" max="4" width="19.7109375" bestFit="1" customWidth="1"/>
    <col min="5" max="5" width="44.140625" bestFit="1" customWidth="1"/>
  </cols>
  <sheetData>
    <row r="1" spans="1:7" x14ac:dyDescent="0.25">
      <c r="A1" t="s">
        <v>19</v>
      </c>
      <c r="B1" t="s">
        <v>21</v>
      </c>
    </row>
    <row r="2" spans="1:7" x14ac:dyDescent="0.25">
      <c r="A2" t="s">
        <v>17</v>
      </c>
      <c r="B2" t="e">
        <f t="shared" ref="B2:B65" si="0">VLOOKUP(A2,$E$2:$G$30,2,0)</f>
        <v>#N/A</v>
      </c>
      <c r="E2" t="s">
        <v>18</v>
      </c>
      <c r="F2" t="s">
        <v>20</v>
      </c>
      <c r="G2" t="s">
        <v>16</v>
      </c>
    </row>
  </sheetData>
  <autoFilter ref="A1:B5290" xr:uid="{D7F9599D-CC3F-4718-8234-B1D3F688CCD5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4B8D9-635C-435C-B90A-708749E1E85F}">
  <sheetPr codeName="Hoja9"/>
  <dimension ref="A1:E1"/>
  <sheetViews>
    <sheetView tabSelected="1" workbookViewId="0">
      <selection activeCell="I17" sqref="I17"/>
    </sheetView>
  </sheetViews>
  <sheetFormatPr baseColWidth="10" defaultRowHeight="15" x14ac:dyDescent="0.25"/>
  <sheetData>
    <row r="1" spans="1:5" x14ac:dyDescent="0.25">
      <c r="A1" t="s">
        <v>24</v>
      </c>
      <c r="B1">
        <f t="shared" ref="B1:B64" si="0">VLOOKUP(A1,$D$1:$E$10,2,0)</f>
        <v>6</v>
      </c>
      <c r="D1" t="s">
        <v>24</v>
      </c>
      <c r="E1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Fechas</vt:lpstr>
      <vt:lpstr>Periodicidad</vt:lpstr>
      <vt:lpstr>Nombres</vt:lpstr>
      <vt:lpstr>Busqueda de rutas</vt:lpstr>
      <vt:lpstr>DiaSemana</vt:lpstr>
      <vt:lpstr>Sexo</vt:lpstr>
      <vt:lpstr>AcomodarContratos</vt:lpstr>
      <vt:lpstr>Vendedor</vt:lpstr>
      <vt:lpstr>Estatus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2022-11-02T23:16:46Z</dcterms:modified>
</cp:coreProperties>
</file>